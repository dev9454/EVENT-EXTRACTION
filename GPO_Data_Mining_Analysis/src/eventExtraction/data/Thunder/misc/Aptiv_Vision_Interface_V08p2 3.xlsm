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namedSheetViews/namedSheetView1.xml" ContentType="application/vnd.ms-excel.namedsheetviews+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namedSheetViews/namedSheetView2.xml" ContentType="application/vnd.ms-excel.namedsheetviews+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fileSharing readOnlyRecommended="1"/>
  <workbookPr codeName="ThisWorkbook" defaultThemeVersion="166925"/>
  <mc:AlternateContent xmlns:mc="http://schemas.openxmlformats.org/markup-compatibility/2006">
    <mc:Choice Requires="x15">
      <x15ac:absPath xmlns:x15ac="http://schemas.microsoft.com/office/spreadsheetml/2010/11/ac" url="https://onedrive.aptiv.com/personal/revanth_bhattaram_aptiv_com/Documents/Documents/DM_A/Aravind/Projects/2023/KW_49_52/eventExtraction/data/Thunder/misc/"/>
    </mc:Choice>
  </mc:AlternateContent>
  <xr:revisionPtr revIDLastSave="96" documentId="8_{79511628-D208-4F2C-80E8-89C395CCACF9}" xr6:coauthVersionLast="47" xr6:coauthVersionMax="47" xr10:uidLastSave="{30FDF07F-ED3C-4CEC-8140-116685298C3C}"/>
  <bookViews>
    <workbookView xWindow="57490" yWindow="-110" windowWidth="38620" windowHeight="21220" tabRatio="874" firstSheet="76" activeTab="84" xr2:uid="{00000000-000D-0000-FFFF-FFFF00000000}"/>
  </bookViews>
  <sheets>
    <sheet name="Revision Map" sheetId="34" r:id="rId1"/>
    <sheet name="Summary_Payload" sheetId="36" r:id="rId2"/>
    <sheet name="Aptiv_Traffic_Info_Enum" sheetId="6" r:id="rId3"/>
    <sheet name="Aptiv_Traffic_Info_Enum_Rev" sheetId="91" r:id="rId4"/>
    <sheet name="AVI_Calibration" sheetId="105" r:id="rId5"/>
    <sheet name="AVI_Calibration_Rev" sheetId="106" r:id="rId6"/>
    <sheet name="AVI_Camera_Config" sheetId="102" r:id="rId7"/>
    <sheet name="AVI_Camera_Config_Rev" sheetId="100" r:id="rId8"/>
    <sheet name="AVI_Car_Sensor" sheetId="89" r:id="rId9"/>
    <sheet name="AVI_Car_Sensor_Rev" sheetId="11" r:id="rId10"/>
    <sheet name="AVI_Common" sheetId="39" r:id="rId11"/>
    <sheet name="AVI_Common_Rev" sheetId="40" r:id="rId12"/>
    <sheet name="AVI_Common_Function_Config" sheetId="136" r:id="rId13"/>
    <sheet name="AVI_Common_Function_Config_Rev" sheetId="137" r:id="rId14"/>
    <sheet name="AVI_Construction_Area" sheetId="51" r:id="rId15"/>
    <sheet name="AVI_Construction_Area_Rev" sheetId="52" r:id="rId16"/>
    <sheet name="AVI_Construction_Area_Debug" sheetId="118" r:id="rId17"/>
    <sheet name="AVI_Construction_Area_Debug_Rev" sheetId="119" r:id="rId18"/>
    <sheet name="AVI_Failsafe" sheetId="70" r:id="rId19"/>
    <sheet name="AVI_Failsafe_Rev" sheetId="38" r:id="rId20"/>
    <sheet name="AVI_FCF_CV" sheetId="94" r:id="rId21"/>
    <sheet name="AVI_FCF_CV_Rev" sheetId="97" r:id="rId22"/>
    <sheet name="AVI_FCF_CV_Config" sheetId="138" r:id="rId23"/>
    <sheet name="AVI_FCF_CV_Config_Rev" sheetId="139" r:id="rId24"/>
    <sheet name="AVI_FCF_VD" sheetId="59" r:id="rId25"/>
    <sheet name="AVI_FCF_VD_Rev" sheetId="60" r:id="rId26"/>
    <sheet name="AVI_FCF_VD_Config" sheetId="140" r:id="rId27"/>
    <sheet name="AVI_FCF_VD_Config_Rev" sheetId="141" r:id="rId28"/>
    <sheet name="AVI_FCF_VRU" sheetId="61" r:id="rId29"/>
    <sheet name="AVI_FCF_VRU_Rev" sheetId="62" r:id="rId30"/>
    <sheet name="AVI_FCF_VRU_Config" sheetId="142" r:id="rId31"/>
    <sheet name="AVI_FCF_VRU_Config_Rev" sheetId="143" r:id="rId32"/>
    <sheet name="AVI_Freespace" sheetId="108" r:id="rId33"/>
    <sheet name="AVI_Freespace_Rev" sheetId="109" r:id="rId34"/>
    <sheet name="AVI_Freespace_Debug" sheetId="128" r:id="rId35"/>
    <sheet name="AVI_Freespace_Debug_Rev" sheetId="129" r:id="rId36"/>
    <sheet name="AVI_HLB" sheetId="72" r:id="rId37"/>
    <sheet name="AVI_HLB_Rev" sheetId="64" r:id="rId38"/>
    <sheet name="AVI_HLB_Config" sheetId="110" r:id="rId39"/>
    <sheet name="AVI_HLB_Config_Rev" sheetId="111" r:id="rId40"/>
    <sheet name="AVI_Lanes_Adjacent" sheetId="45" r:id="rId41"/>
    <sheet name="AVI_Lanes_Adjacent_Rev" sheetId="47" r:id="rId42"/>
    <sheet name="AVI_Lanes_Adjacent_Debug" sheetId="126" r:id="rId43"/>
    <sheet name="AVI_Lanes_Adjacent_Debug_Rev" sheetId="127" r:id="rId44"/>
    <sheet name="AVI_Lanes_Applications" sheetId="46" r:id="rId45"/>
    <sheet name="AVI_Lanes_Applications_Rev" sheetId="48" r:id="rId46"/>
    <sheet name="AVI_LAP_Debug" sheetId="134" r:id="rId47"/>
    <sheet name="AVI_LAP_Debug_Rev" sheetId="135" r:id="rId48"/>
    <sheet name="AVI_Lanes_Host" sheetId="41" r:id="rId49"/>
    <sheet name="AVI_Lanes_Host_Rev" sheetId="43" r:id="rId50"/>
    <sheet name="AVI_Lanes_Host_Debug" sheetId="130" r:id="rId51"/>
    <sheet name="AVI_Lanes_Host_Debug_Rev" sheetId="131" r:id="rId52"/>
    <sheet name="AVI_Lanes_Road_Edge" sheetId="42" r:id="rId53"/>
    <sheet name="AVI_Lanes_Road_Edge_Rev" sheetId="44" r:id="rId54"/>
    <sheet name="AVI_Lanes_Road_Edge_Debug" sheetId="132" r:id="rId55"/>
    <sheet name="AVI_Lanes_Road_Edge_Debug_Rev" sheetId="133" r:id="rId56"/>
    <sheet name="AVI_Light_Scene_Reflectors" sheetId="83" r:id="rId57"/>
    <sheet name="AVI_Light_Scene_Reflectors_Rev" sheetId="56" r:id="rId58"/>
    <sheet name="AVI_LSR_Debug" sheetId="114" r:id="rId59"/>
    <sheet name="AVI_LSR_Debug_Rev" sheetId="115" r:id="rId60"/>
    <sheet name="AVI_Light_Scene_Vehicles" sheetId="79" r:id="rId61"/>
    <sheet name="AVI_Light_Scene_Vehicles_Rev" sheetId="58" r:id="rId62"/>
    <sheet name="AVI_LSV_Debug" sheetId="112" r:id="rId63"/>
    <sheet name="AVI_LSV_Debug_Rev" sheetId="113" r:id="rId64"/>
    <sheet name="AVI_Objects" sheetId="27" r:id="rId65"/>
    <sheet name="AVI_Objects_Rev" sheetId="104" r:id="rId66"/>
    <sheet name="AVI_Objects_Debug" sheetId="124" r:id="rId67"/>
    <sheet name="AVI_Objects_Debug_Rev" sheetId="125" r:id="rId68"/>
    <sheet name="AVI_Traffic_Lights" sheetId="53" r:id="rId69"/>
    <sheet name="AVI_Traffic_Lights_Rev" sheetId="54" r:id="rId70"/>
    <sheet name="AVI_Traffic_Lights_Debug" sheetId="122" r:id="rId71"/>
    <sheet name="AVI_Traffic_Lights_Debug_Rev" sheetId="123" r:id="rId72"/>
    <sheet name="AVI_Traffic_Signs" sheetId="71" r:id="rId73"/>
    <sheet name="AVI_Traffic_Signs_Rev" sheetId="16" r:id="rId74"/>
    <sheet name="AVI_Traffic_Signs_Debug" sheetId="116" r:id="rId75"/>
    <sheet name="AVI_Traffic_Signs_Debug_Rev" sheetId="117" r:id="rId76"/>
    <sheet name="Calibration_Definitions" sheetId="78" r:id="rId77"/>
    <sheet name="Calibration_Definitions_Rev" sheetId="90" r:id="rId78"/>
    <sheet name="Cross-FCN_Definitions" sheetId="66" r:id="rId79"/>
    <sheet name="Cross-FCN_Definitions_Rev" sheetId="75" r:id="rId80"/>
    <sheet name="Failsafe_Definitions" sheetId="69" r:id="rId81"/>
    <sheet name="Failsafe_Definitions_Rev" sheetId="86" r:id="rId82"/>
    <sheet name="FCF_Definitions" sheetId="77" r:id="rId83"/>
    <sheet name="FCF_Definitions_Rev" sheetId="84" r:id="rId84"/>
    <sheet name="Lanes_Definitions" sheetId="74" r:id="rId85"/>
    <sheet name="Lanes_Definitions_Rev" sheetId="65" r:id="rId86"/>
    <sheet name="Light_Scene_Definitions" sheetId="73" r:id="rId87"/>
    <sheet name="Light_Scene_Definitions_Rev" sheetId="87" r:id="rId88"/>
    <sheet name="Objects_Definitions" sheetId="76" r:id="rId89"/>
    <sheet name="Objects_Definitions_ Rev" sheetId="80" r:id="rId90"/>
    <sheet name="Traffic_Lights_Definitions" sheetId="92" r:id="rId91"/>
    <sheet name="Traffic_Lights_Definitions_Rev" sheetId="93" r:id="rId92"/>
  </sheets>
  <definedNames>
    <definedName name="_xlnm._FilterDatabase" localSheetId="2" hidden="1">Aptiv_Traffic_Info_Enum!$A$1:$H$390</definedName>
    <definedName name="_xlnm._FilterDatabase" localSheetId="4" hidden="1">AVI_Calibration!$A$3:$L$30</definedName>
    <definedName name="_xlnm._FilterDatabase" localSheetId="6" hidden="1">AVI_Camera_Config!$A$1:$L$85</definedName>
    <definedName name="_xlnm._FilterDatabase" localSheetId="8" hidden="1">AVI_Car_Sensor!$A$3:$L$139</definedName>
    <definedName name="_xlnm._FilterDatabase" localSheetId="10" hidden="1">AVI_Common!$A$3:$L$3</definedName>
    <definedName name="_xlnm._FilterDatabase" localSheetId="14" hidden="1">AVI_Construction_Area!$A$3:$L$23</definedName>
    <definedName name="_xlnm._FilterDatabase" localSheetId="18" hidden="1">AVI_Failsafe!$A$3:$L$21</definedName>
    <definedName name="_xlnm._FilterDatabase" localSheetId="20" hidden="1">AVI_FCF_CV!$A$3:$L$3</definedName>
    <definedName name="_xlnm._FilterDatabase" localSheetId="24" hidden="1">AVI_FCF_VD!$A$3:$L$20</definedName>
    <definedName name="_xlnm._FilterDatabase" localSheetId="26" hidden="1">AVI_FCF_VD_Config!$A$3:$L$3</definedName>
    <definedName name="_xlnm._FilterDatabase" localSheetId="28" hidden="1">AVI_FCF_VRU!$A$3:$L$15</definedName>
    <definedName name="_xlnm._FilterDatabase" localSheetId="30" hidden="1">AVI_FCF_VRU_Config!$A$3:$L$3</definedName>
    <definedName name="_xlnm._FilterDatabase" localSheetId="32" hidden="1">AVI_Freespace!$A$3:$L$22</definedName>
    <definedName name="_xlnm._FilterDatabase" localSheetId="36" hidden="1">AVI_HLB!$A$3:$L$11</definedName>
    <definedName name="_xlnm._FilterDatabase" localSheetId="38" hidden="1">AVI_HLB_Config!$A$1:$L$205</definedName>
    <definedName name="_xlnm._FilterDatabase" localSheetId="44" hidden="1">AVI_Lanes_Applications!$A$3:$L$33</definedName>
    <definedName name="_xlnm._FilterDatabase" localSheetId="48" hidden="1">AVI_Lanes_Host!$A$3:$L$9</definedName>
    <definedName name="_xlnm._FilterDatabase" localSheetId="56" hidden="1">AVI_Light_Scene_Reflectors!$A$3:$L$16</definedName>
    <definedName name="_xlnm._FilterDatabase" localSheetId="60" hidden="1">AVI_Light_Scene_Vehicles!$A$3:$L$36</definedName>
    <definedName name="_xlnm._FilterDatabase" localSheetId="64" hidden="1">AVI_Objects!$A$3:$L$49</definedName>
    <definedName name="_xlnm._FilterDatabase" localSheetId="68" hidden="1">AVI_Traffic_Lights!$A$3:$L$3</definedName>
    <definedName name="_xlnm._FilterDatabase" localSheetId="72" hidden="1">AVI_Traffic_Signs!$A$3:$L$41</definedName>
    <definedName name="_xlnm._FilterDatabase" localSheetId="76" hidden="1">Calibration_Definitions!$A$3:$J$23</definedName>
    <definedName name="_xlnm._FilterDatabase" localSheetId="78" hidden="1">'Cross-FCN_Definitions'!$A$3:$J$3</definedName>
    <definedName name="_xlnm._FilterDatabase" localSheetId="79" hidden="1">'Cross-FCN_Definitions_Rev'!#REF!</definedName>
    <definedName name="_xlnm._FilterDatabase" localSheetId="80" hidden="1">Failsafe_Definitions!$A$3:$J$3</definedName>
    <definedName name="_xlnm._FilterDatabase" localSheetId="82" hidden="1">FCF_Definitions!$A$3:$J$3</definedName>
    <definedName name="_xlnm._FilterDatabase" localSheetId="84" hidden="1">Lanes_Definitions!$A$3:$K$3</definedName>
    <definedName name="_xlnm._FilterDatabase" localSheetId="86" hidden="1">Light_Scene_Definitions!$A$3:$J$3</definedName>
    <definedName name="_xlnm._FilterDatabase" localSheetId="88" hidden="1">Objects_Definitions!$A$3:$J$57</definedName>
    <definedName name="_xlnm._FilterDatabase" localSheetId="89" hidden="1">'Objects_Definitions_ Rev'!#REF!</definedName>
    <definedName name="_xlnm._FilterDatabase" localSheetId="0" hidden="1">'Revision Map'!#REF!</definedName>
    <definedName name="_xlnm._FilterDatabase" localSheetId="90" hidden="1">Traffic_Lights_Definitions!$A$3:$J$3</definedName>
    <definedName name="adjacent">AVI_FCF_VRU_Config!$E$1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3" i="36" l="1"/>
  <c r="B14" i="36"/>
  <c r="F1" i="66" a="1"/>
  <c r="F1" i="66" s="1"/>
  <c r="E1" i="71" a="1"/>
  <c r="E1" i="71" s="1"/>
  <c r="B25" i="36" l="1"/>
  <c r="B31" i="36"/>
  <c r="B30" i="36"/>
  <c r="B29" i="36"/>
  <c r="B28" i="36"/>
  <c r="B27" i="36"/>
  <c r="B26" i="36"/>
  <c r="B24" i="36"/>
  <c r="B23" i="36"/>
  <c r="B21" i="36"/>
  <c r="B22" i="36"/>
  <c r="E1" i="6" a="1"/>
  <c r="E1" i="6" s="1"/>
  <c r="B20" i="36" l="1"/>
  <c r="B12" i="36"/>
  <c r="B16" i="36"/>
  <c r="B10" i="36"/>
  <c r="B9" i="36"/>
  <c r="H20" i="78"/>
  <c r="B11" i="36"/>
  <c r="B19" i="36"/>
  <c r="B18" i="36"/>
  <c r="B17" i="36"/>
  <c r="B15" i="36"/>
  <c r="B13" i="36"/>
  <c r="B8" i="36"/>
  <c r="B7" i="36"/>
  <c r="B6" i="36"/>
  <c r="B5" i="36"/>
  <c r="B4" i="36"/>
  <c r="B3" i="36"/>
  <c r="B2" i="36"/>
  <c r="H18" i="66" l="1"/>
  <c r="F18" i="6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tc={CDBF9593-7977-4589-939F-B9C32EC4D4F9}</author>
  </authors>
  <commentList>
    <comment ref="A6" authorId="0" shapeId="0" xr:uid="{CDBF9593-7977-4589-939F-B9C32EC4D4F9}">
      <text>
        <t>[Threaded comment]
Your version of Excel allows you to read this threaded comment; however, any edits to it will get removed if the file is opened in a newer version of Excel. Learn more: https://go.microsoft.com/fwlink/?linkid=870924
Comment:
    to replace lens &amp; imager version?
Reply:
    pending M Konkel feedback</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<sst xmlns="http://schemas.openxmlformats.org/spreadsheetml/2006/main" count="22166" uniqueCount="5297">
  <si>
    <t>Revision Map</t>
  </si>
  <si>
    <t>Description:</t>
  </si>
  <si>
    <t>Date:</t>
  </si>
  <si>
    <t>AVI Protocol Version</t>
  </si>
  <si>
    <t>Camera_Config</t>
  </si>
  <si>
    <t>Common_Function_Config</t>
  </si>
  <si>
    <t>FCF_CV_Config</t>
  </si>
  <si>
    <t>FCF_VD_Config</t>
  </si>
  <si>
    <t>FCF_VRU_Config</t>
  </si>
  <si>
    <t>HLB_Config</t>
  </si>
  <si>
    <t>Construction_Area_Debug</t>
  </si>
  <si>
    <t>Freespace_Debug</t>
  </si>
  <si>
    <t>Lanes_Adjacent_Debug</t>
  </si>
  <si>
    <t>LAP_Debug</t>
  </si>
  <si>
    <t>Lanes_Host_Debug</t>
  </si>
  <si>
    <t>Lanes_Road_Edge_Debug</t>
  </si>
  <si>
    <t>LSR_Debug</t>
  </si>
  <si>
    <t>LSV_Debug</t>
  </si>
  <si>
    <t>Objects_Debug</t>
  </si>
  <si>
    <t>Road_Markings_Debug</t>
  </si>
  <si>
    <t>Traffic_Lights_Debug</t>
  </si>
  <si>
    <t>Traffic_Signs_Debug</t>
  </si>
  <si>
    <t>Objects</t>
  </si>
  <si>
    <t>FCF_VD</t>
  </si>
  <si>
    <t>FCF_VRU</t>
  </si>
  <si>
    <t>FCF_CV</t>
  </si>
  <si>
    <t>Car Sensor</t>
  </si>
  <si>
    <t>GPS Sensor</t>
  </si>
  <si>
    <t>Failsafe</t>
  </si>
  <si>
    <t>Traffic Signs</t>
  </si>
  <si>
    <t>Traffic_Lights</t>
  </si>
  <si>
    <t>Road Markings</t>
  </si>
  <si>
    <t>Construction Area</t>
  </si>
  <si>
    <t>Road Profile</t>
  </si>
  <si>
    <t>Light_Scene_Vehicles</t>
  </si>
  <si>
    <t>Light_Scene_Reflectors</t>
  </si>
  <si>
    <t>HLB</t>
  </si>
  <si>
    <t>Calibration</t>
  </si>
  <si>
    <t>Calibration_Dynamic</t>
  </si>
  <si>
    <t>Calibration_Static</t>
  </si>
  <si>
    <t>Lanes_Host</t>
  </si>
  <si>
    <t>Lanes_Adjacent</t>
  </si>
  <si>
    <t>Lanes_Applications</t>
  </si>
  <si>
    <t>Lanes_Road_Edge</t>
  </si>
  <si>
    <t>FreeSpace</t>
  </si>
  <si>
    <t>Common</t>
  </si>
  <si>
    <t>Draft version</t>
  </si>
  <si>
    <t>N/A</t>
  </si>
  <si>
    <t>NA</t>
  </si>
  <si>
    <t>1</t>
  </si>
  <si>
    <t>Na</t>
  </si>
  <si>
    <t>Baseline v1</t>
  </si>
  <si>
    <t>Baseline v2</t>
  </si>
  <si>
    <t>Baseline v3</t>
  </si>
  <si>
    <t>Baseline v4</t>
  </si>
  <si>
    <t>Baseline v5</t>
  </si>
  <si>
    <t>Baseline v6</t>
  </si>
  <si>
    <t>Baseline v7</t>
  </si>
  <si>
    <t>Baseline v7.1</t>
  </si>
  <si>
    <t>7.1</t>
  </si>
  <si>
    <t>Baseline v8</t>
  </si>
  <si>
    <t>Baseline v8.1</t>
  </si>
  <si>
    <t>8.1</t>
  </si>
  <si>
    <t>Baseline v8.2</t>
  </si>
  <si>
    <t>8.2</t>
  </si>
  <si>
    <t>Interface</t>
  </si>
  <si>
    <t>Version</t>
  </si>
  <si>
    <t>Direction</t>
  </si>
  <si>
    <t>Size (Bytes)</t>
  </si>
  <si>
    <t>INDEX</t>
  </si>
  <si>
    <t>AVI_Car_Sensor</t>
  </si>
  <si>
    <t>Input</t>
  </si>
  <si>
    <t>AVI_Common</t>
  </si>
  <si>
    <t>Output</t>
  </si>
  <si>
    <t>AVI_Objects</t>
  </si>
  <si>
    <t>AVI_Lanes_Host</t>
  </si>
  <si>
    <t>AVI_Lanes_Adjacent</t>
  </si>
  <si>
    <t>AVI_Lanes_Road_Edge</t>
  </si>
  <si>
    <t>AVI_Lanes_Applications</t>
  </si>
  <si>
    <t>AVI_FCF_VRU</t>
  </si>
  <si>
    <t>AVI_FCF_VD</t>
  </si>
  <si>
    <t>AVI_FCF_CV</t>
  </si>
  <si>
    <t>AVI_Calibration</t>
  </si>
  <si>
    <t>AVI_Traffic_Signs</t>
  </si>
  <si>
    <t>AVI_Traffic_Lights</t>
  </si>
  <si>
    <t>AVI_HLB</t>
  </si>
  <si>
    <t>AVI_Light_Scene_Vehicles</t>
  </si>
  <si>
    <t>AVI_Light_Scene_Reflectors</t>
  </si>
  <si>
    <t xml:space="preserve">AVI_Failsafe	</t>
  </si>
  <si>
    <t>AVI_Construction_Area</t>
  </si>
  <si>
    <t>AVI_Freespace</t>
  </si>
  <si>
    <t>AVI_Construction_Area_Debug</t>
  </si>
  <si>
    <t>AVI_Freespace_Debug</t>
  </si>
  <si>
    <t>AVI_Lanes_Host_Debug</t>
  </si>
  <si>
    <t>AVI_Lanes_Adjacent_Debug</t>
  </si>
  <si>
    <t>AVI_Lanes_Road_Edge_Debug</t>
  </si>
  <si>
    <t>AVI_LAP_Debug</t>
  </si>
  <si>
    <t>AVI_LSR_Debug</t>
  </si>
  <si>
    <t>AVI_LSV_Debug</t>
  </si>
  <si>
    <t>AVI_Objects_Debug</t>
  </si>
  <si>
    <t>AVI_Traffic_Signs_Debug</t>
  </si>
  <si>
    <t>AVI_Traffic_Lights_Debug</t>
  </si>
  <si>
    <t> </t>
  </si>
  <si>
    <t>Entire Aptiv Vision Interface</t>
  </si>
  <si>
    <t>Interface name:</t>
  </si>
  <si>
    <t>Aptiv_Traffic_Info_Enum</t>
  </si>
  <si>
    <t>Revision:</t>
  </si>
  <si>
    <t>AVI_Road_Markings</t>
  </si>
  <si>
    <t>Main Signs</t>
  </si>
  <si>
    <t>Supplemental Signs</t>
  </si>
  <si>
    <t>Semantic Marks</t>
  </si>
  <si>
    <t>Semantic Lines</t>
  </si>
  <si>
    <t>Semantic Name</t>
  </si>
  <si>
    <t>Enum Value</t>
  </si>
  <si>
    <t>Comment</t>
  </si>
  <si>
    <t>Speed Limit 10</t>
  </si>
  <si>
    <t>None</t>
  </si>
  <si>
    <t>ARROW_STRAIGHT</t>
  </si>
  <si>
    <t xml:space="preserve">STOP_LINE_SOLID </t>
  </si>
  <si>
    <t>Speed Limit 20</t>
  </si>
  <si>
    <t>Rain</t>
  </si>
  <si>
    <t>ARROW_RIGHT</t>
  </si>
  <si>
    <t>STOP_LINE_DASHED</t>
  </si>
  <si>
    <t>Speed Limit 30</t>
  </si>
  <si>
    <t>Snow</t>
  </si>
  <si>
    <t>ARROW_LEFT</t>
  </si>
  <si>
    <t>STOP_LINE_DOUBLE_SOLID</t>
  </si>
  <si>
    <t>Speed Limit 40</t>
  </si>
  <si>
    <t>Trailer</t>
  </si>
  <si>
    <t>ARROW_STRAIGHT_RIGHT</t>
  </si>
  <si>
    <t>STOP_LINE_DASHED_SOLID</t>
  </si>
  <si>
    <t>Speed Limit 50</t>
  </si>
  <si>
    <t>Time</t>
  </si>
  <si>
    <t>ARROW_STRAIGHT_LEFT</t>
  </si>
  <si>
    <t>STOP_LINE_SOLID_DASHED</t>
  </si>
  <si>
    <t>Speed Limit 60</t>
  </si>
  <si>
    <t>Arrow Left</t>
  </si>
  <si>
    <t>ARROW_STRAIGHT_LEFT_RIGHT</t>
  </si>
  <si>
    <t>STOP_LINE_DOUBLE_DASHED</t>
  </si>
  <si>
    <t>Speed Limit 70</t>
  </si>
  <si>
    <t>Arrow Right</t>
  </si>
  <si>
    <t>ARROW_LEFT_RIGHT</t>
  </si>
  <si>
    <t>STOP_LINE_TRINAGULAR</t>
  </si>
  <si>
    <t>Speed Limit 80</t>
  </si>
  <si>
    <t>Bendarrow Left</t>
  </si>
  <si>
    <t>DIAMOND</t>
  </si>
  <si>
    <t>CROSSING_ZEBRA</t>
  </si>
  <si>
    <t>Speed Limit 90</t>
  </si>
  <si>
    <t>Bendarrow Right</t>
  </si>
  <si>
    <t>BICYCLE</t>
  </si>
  <si>
    <t>CROSSING_SOLID</t>
  </si>
  <si>
    <t>Speed Limit 100</t>
  </si>
  <si>
    <t>Truck</t>
  </si>
  <si>
    <t>KANJI</t>
  </si>
  <si>
    <t>CROSSING_DASHED</t>
  </si>
  <si>
    <t>Speed Limit 110</t>
  </si>
  <si>
    <t>Distance For</t>
  </si>
  <si>
    <t>WORD_BUS</t>
  </si>
  <si>
    <t>BUMP</t>
  </si>
  <si>
    <t>Speed Limit 120</t>
  </si>
  <si>
    <t>Weight</t>
  </si>
  <si>
    <t>WORD_TAXI</t>
  </si>
  <si>
    <t>INVALID</t>
  </si>
  <si>
    <t>Added by Aptiv for AVI</t>
  </si>
  <si>
    <t>Speed Limit 130</t>
  </si>
  <si>
    <t>Distance In</t>
  </si>
  <si>
    <t>WORD_ONLY</t>
  </si>
  <si>
    <t>Speed Limit 140</t>
  </si>
  <si>
    <t>Tractor</t>
  </si>
  <si>
    <t>WORD_STOP</t>
  </si>
  <si>
    <t>Peds and Bikes Crossing</t>
  </si>
  <si>
    <t>Snow Rain</t>
  </si>
  <si>
    <t>NUMBER_10</t>
  </si>
  <si>
    <t>Bus Stop</t>
  </si>
  <si>
    <t>School</t>
  </si>
  <si>
    <t>NUMBER_20</t>
  </si>
  <si>
    <t>Car Limit</t>
  </si>
  <si>
    <t>Rain Cloud</t>
  </si>
  <si>
    <t>NUMBER_30</t>
  </si>
  <si>
    <t>Car Motorcycle Limit</t>
  </si>
  <si>
    <t>Fog</t>
  </si>
  <si>
    <t>NUMBER_40</t>
  </si>
  <si>
    <t>Minimum Sign</t>
  </si>
  <si>
    <t>Hazardous Materials</t>
  </si>
  <si>
    <t>NUMBER_50</t>
  </si>
  <si>
    <t>Motorcycle Limit</t>
  </si>
  <si>
    <t>Night</t>
  </si>
  <si>
    <t>NUMBER_60</t>
  </si>
  <si>
    <t>Left or Straight Arrow</t>
  </si>
  <si>
    <t>Undefned Supplementry sign</t>
  </si>
  <si>
    <t>NUMBER_70</t>
  </si>
  <si>
    <t>Electronic Speed Limit 10</t>
  </si>
  <si>
    <t>Rappel</t>
  </si>
  <si>
    <t>NUMBER_80</t>
  </si>
  <si>
    <t>Electronic Speed Limit 20</t>
  </si>
  <si>
    <t>Zone</t>
  </si>
  <si>
    <t>NUMBER_90</t>
  </si>
  <si>
    <t>Electronic Speed Limit 30</t>
  </si>
  <si>
    <t>Ramp</t>
  </si>
  <si>
    <t>NUMBER_100</t>
  </si>
  <si>
    <t>Electronic Speed Limit 40</t>
  </si>
  <si>
    <t>End</t>
  </si>
  <si>
    <t>NUMBER_110</t>
  </si>
  <si>
    <t>Electronic Speed Limit 50</t>
  </si>
  <si>
    <t>Exit</t>
  </si>
  <si>
    <t>NUMBER_120</t>
  </si>
  <si>
    <t>Electronic Speed Limit 60</t>
  </si>
  <si>
    <t>Advisory</t>
  </si>
  <si>
    <t>ARROW_U_TURN_LEFT</t>
  </si>
  <si>
    <t>Electronic Speed Limit 70</t>
  </si>
  <si>
    <t>Minimum Speed</t>
  </si>
  <si>
    <t>ARROW_U_TURN_RIGHT</t>
  </si>
  <si>
    <t>Electronic Speed Limit 80</t>
  </si>
  <si>
    <t>Reduced Ahead</t>
  </si>
  <si>
    <t>Yield</t>
  </si>
  <si>
    <t>Electronic Speed Limit 90</t>
  </si>
  <si>
    <t>Distance Stop</t>
  </si>
  <si>
    <t>Pedestrian</t>
  </si>
  <si>
    <t>Electronic Speed Limit 100</t>
  </si>
  <si>
    <t>Par Verglas</t>
  </si>
  <si>
    <t>NUMBER_15</t>
  </si>
  <si>
    <t>Electronic Speed Limit 110</t>
  </si>
  <si>
    <t>Ahead</t>
  </si>
  <si>
    <t>NUMBER_25</t>
  </si>
  <si>
    <t>Electronic Speed Limit 120</t>
  </si>
  <si>
    <t>Area</t>
  </si>
  <si>
    <t>NUMBER_35</t>
  </si>
  <si>
    <t>Electronic Speed Limit 130</t>
  </si>
  <si>
    <t>Road Work</t>
  </si>
  <si>
    <t>NUMBER_45</t>
  </si>
  <si>
    <t>Electronic Speed Limit 140</t>
  </si>
  <si>
    <t>Arrow Bidirectional</t>
  </si>
  <si>
    <t>NUMBER_55</t>
  </si>
  <si>
    <t>Post Exit</t>
  </si>
  <si>
    <t>Work Zone</t>
  </si>
  <si>
    <t>SPLIT_RIGHT</t>
  </si>
  <si>
    <t>Right or Straight Arrow</t>
  </si>
  <si>
    <t>Distance In For</t>
  </si>
  <si>
    <t>SPLIT_LEFT</t>
  </si>
  <si>
    <t>No Turn On Red</t>
  </si>
  <si>
    <t>Zone End</t>
  </si>
  <si>
    <t>X</t>
  </si>
  <si>
    <t>Oncoming Priority</t>
  </si>
  <si>
    <t>End School Zone</t>
  </si>
  <si>
    <t>H</t>
  </si>
  <si>
    <t>No U turn</t>
  </si>
  <si>
    <t>Camera</t>
  </si>
  <si>
    <t>X_WITH_R</t>
  </si>
  <si>
    <t>Japan Motor Way</t>
  </si>
  <si>
    <t>Larmschutz</t>
  </si>
  <si>
    <t>noise protection</t>
  </si>
  <si>
    <t>DISABLED_PLAIN</t>
  </si>
  <si>
    <t>End of Children</t>
  </si>
  <si>
    <t>Car</t>
  </si>
  <si>
    <t>DISABLED_RECT</t>
  </si>
  <si>
    <t>Pedestrian Crossing</t>
  </si>
  <si>
    <t>Shared Zone</t>
  </si>
  <si>
    <t>RHOMBUS_FILLED</t>
  </si>
  <si>
    <t>At bump</t>
  </si>
  <si>
    <t>Supp Bump</t>
  </si>
  <si>
    <t>EXPRESS_WAY</t>
  </si>
  <si>
    <t>Divided Highway</t>
  </si>
  <si>
    <t>Snow Rain Distance Arrow</t>
  </si>
  <si>
    <t>PARKING</t>
  </si>
  <si>
    <t>Double Reverse Curve</t>
  </si>
  <si>
    <t>Snowplow</t>
  </si>
  <si>
    <t>NO_STOPPING</t>
  </si>
  <si>
    <t>Fire Station</t>
  </si>
  <si>
    <t>Motorcycle</t>
  </si>
  <si>
    <t>SOS</t>
  </si>
  <si>
    <t>Low Clearance</t>
  </si>
  <si>
    <t>Time School</t>
  </si>
  <si>
    <t>No Outlet</t>
  </si>
  <si>
    <t>Truck Bus</t>
  </si>
  <si>
    <t>Pedestrian Lane</t>
  </si>
  <si>
    <t>End of limitation</t>
  </si>
  <si>
    <t>Pedestrian Limit</t>
  </si>
  <si>
    <t xml:space="preserve">Start of limitiation </t>
  </si>
  <si>
    <t>Pedestrian Limit Diagonal</t>
  </si>
  <si>
    <t xml:space="preserve">Vertical Bi Directional Arrow </t>
  </si>
  <si>
    <t>Shared Lane</t>
  </si>
  <si>
    <t>All way</t>
  </si>
  <si>
    <t>Shared Separate Lane</t>
  </si>
  <si>
    <t>Four way</t>
  </si>
  <si>
    <t>End General</t>
  </si>
  <si>
    <t>Bus</t>
  </si>
  <si>
    <t>Electronic End General</t>
  </si>
  <si>
    <t> Bicycle Exception</t>
  </si>
  <si>
    <t>End of Diversion</t>
  </si>
  <si>
    <t> Bicycle</t>
  </si>
  <si>
    <t>Highway Announcement 1</t>
  </si>
  <si>
    <t>Priority lane</t>
  </si>
  <si>
    <t>Highway Announcement 2</t>
  </si>
  <si>
    <t xml:space="preserve">end of advisory </t>
  </si>
  <si>
    <t>Highway Announcement 3</t>
  </si>
  <si>
    <t xml:space="preserve">end of minimum </t>
  </si>
  <si>
    <t>No Parking End</t>
  </si>
  <si>
    <t>US 30 min</t>
  </si>
  <si>
    <t>No Parking Begin</t>
  </si>
  <si>
    <t>US 40 min</t>
  </si>
  <si>
    <t>No Parking Continuous</t>
  </si>
  <si>
    <t>US 45 min</t>
  </si>
  <si>
    <t>No Stopping End</t>
  </si>
  <si>
    <t>US 50 min</t>
  </si>
  <si>
    <t>No Stopping Begin</t>
  </si>
  <si>
    <t>US 55 min</t>
  </si>
  <si>
    <t>No Stopping Continuous</t>
  </si>
  <si>
    <t>US 60 min</t>
  </si>
  <si>
    <t>End No Parking Zone</t>
  </si>
  <si>
    <t>US 35 truck</t>
  </si>
  <si>
    <t>AUSFAHRT</t>
  </si>
  <si>
    <t>US 40 truck</t>
  </si>
  <si>
    <t>End of Speed Limit 2 Digits</t>
  </si>
  <si>
    <t>US 55 truck</t>
  </si>
  <si>
    <t>End of Speed Limit 3 Digits</t>
  </si>
  <si>
    <t>US 60 truck</t>
  </si>
  <si>
    <t>LED End of Speed Limit 2 Digits</t>
  </si>
  <si>
    <t>US 65 truck</t>
  </si>
  <si>
    <t>LED End of Speed Limit 3 Digits</t>
  </si>
  <si>
    <t>US 80 truck</t>
  </si>
  <si>
    <t>Cancelled Sign</t>
  </si>
  <si>
    <t>When Flashing text</t>
  </si>
  <si>
    <t>Turn right or left</t>
  </si>
  <si>
    <t>Bicycle Priority</t>
  </si>
  <si>
    <t>Speed Limit 150</t>
  </si>
  <si>
    <t>Tractor text</t>
  </si>
  <si>
    <t>Speed Limit 160</t>
  </si>
  <si>
    <t>Priority Left Down</t>
  </si>
  <si>
    <t>Clear left lane</t>
  </si>
  <si>
    <t>Priority Right Down</t>
  </si>
  <si>
    <t>Clear right lane</t>
  </si>
  <si>
    <t>Priority Left Up</t>
  </si>
  <si>
    <t>RailwayCrossing announcement 1</t>
  </si>
  <si>
    <t>Priority Right Up</t>
  </si>
  <si>
    <t>RailwayCrossing announcement 2</t>
  </si>
  <si>
    <t>invalid supp</t>
  </si>
  <si>
    <t>RailwayCrossing announcement 3</t>
  </si>
  <si>
    <t>Reverse Curve Left</t>
  </si>
  <si>
    <t>Reverse Curve Right</t>
  </si>
  <si>
    <t>Turn Left</t>
  </si>
  <si>
    <t>Turn Right</t>
  </si>
  <si>
    <t xml:space="preserve">Speed Limit 5 </t>
  </si>
  <si>
    <t xml:space="preserve">Speed Limit 15 </t>
  </si>
  <si>
    <t xml:space="preserve">Speed Limit 25 </t>
  </si>
  <si>
    <t xml:space="preserve">Speed Limit 35 </t>
  </si>
  <si>
    <t xml:space="preserve">Speed Limit 45 </t>
  </si>
  <si>
    <t xml:space="preserve">Speed Limit 55 </t>
  </si>
  <si>
    <t xml:space="preserve">Speed Limit 65 </t>
  </si>
  <si>
    <t xml:space="preserve">Speed Limit 75 </t>
  </si>
  <si>
    <t xml:space="preserve">Speed Limit 85 </t>
  </si>
  <si>
    <t xml:space="preserve">Speed Limit 95 </t>
  </si>
  <si>
    <t>Speed Limit 105</t>
  </si>
  <si>
    <t>Speed Limit 115</t>
  </si>
  <si>
    <t>Speed Limit 125</t>
  </si>
  <si>
    <t>Speed Limit 135</t>
  </si>
  <si>
    <t>Speed Limit 145</t>
  </si>
  <si>
    <t>LED Speed Limit 5</t>
  </si>
  <si>
    <t>LED Speed Limit 15</t>
  </si>
  <si>
    <t>LED Speed Limit 25</t>
  </si>
  <si>
    <t>LED Speed Limit 35</t>
  </si>
  <si>
    <t>LED Speed Limit 45</t>
  </si>
  <si>
    <t>LED Speed Limit 55</t>
  </si>
  <si>
    <t>LED Speed Limit 65</t>
  </si>
  <si>
    <t>LED Speed Limit 75</t>
  </si>
  <si>
    <t>LED Speed Limit 85</t>
  </si>
  <si>
    <t>LED Speed Limit 95</t>
  </si>
  <si>
    <t>LED Speed Limit 105</t>
  </si>
  <si>
    <t>LED Speed Limit 115</t>
  </si>
  <si>
    <t>LED Speed Limit 125</t>
  </si>
  <si>
    <t>Horseback Riders</t>
  </si>
  <si>
    <t>Triangular Beware Of Snow</t>
  </si>
  <si>
    <t>Triangular Bicycle Crossing</t>
  </si>
  <si>
    <t>Triangular Buses</t>
  </si>
  <si>
    <t>Triangular Children</t>
  </si>
  <si>
    <t>Triangular Congestion Hazard</t>
  </si>
  <si>
    <t>Warning Curve Left</t>
  </si>
  <si>
    <t>Warning Curve Right</t>
  </si>
  <si>
    <t>Warning Domestic Animals Crossing</t>
  </si>
  <si>
    <t>Warning Double Curve Left</t>
  </si>
  <si>
    <t>Warning Double Curve Right</t>
  </si>
  <si>
    <t>Warning Draw Bridge</t>
  </si>
  <si>
    <t>Warning Falling Rocks</t>
  </si>
  <si>
    <t>Warning General Danger</t>
  </si>
  <si>
    <t>Warning Guarded Railway Crossing</t>
  </si>
  <si>
    <t>Warning Intersection</t>
  </si>
  <si>
    <t>Warning Left Merge</t>
  </si>
  <si>
    <t>Warning Loose Gravel</t>
  </si>
  <si>
    <t>Warning Low Flying Aircraft</t>
  </si>
  <si>
    <t>Warning Pedestrians</t>
  </si>
  <si>
    <t>Warning Pedestrians Crossing</t>
  </si>
  <si>
    <t>Warning Priority</t>
  </si>
  <si>
    <t>Warning Right Merge</t>
  </si>
  <si>
    <t>Warning Construction Area Ahead</t>
  </si>
  <si>
    <t>Warning Road Narrows</t>
  </si>
  <si>
    <t>Warning Road Narrows Left</t>
  </si>
  <si>
    <t>Warning Road Narrows Right</t>
  </si>
  <si>
    <t>Warning Road Work</t>
  </si>
  <si>
    <t>Warning Rough Road</t>
  </si>
  <si>
    <t>Warning Roundabout</t>
  </si>
  <si>
    <t>Warning Slippery When Wet</t>
  </si>
  <si>
    <t>Warning Steep Downgrade</t>
  </si>
  <si>
    <t>Warning Steep Upgrade</t>
  </si>
  <si>
    <t>Warning Strong Cross Wind</t>
  </si>
  <si>
    <t>Warning Traffic Signals</t>
  </si>
  <si>
    <t>Warning Two Way Traffic</t>
  </si>
  <si>
    <t>Warning Unguarded Railway Crossing</t>
  </si>
  <si>
    <t>Warning Wild Animal Crossing</t>
  </si>
  <si>
    <t>Triangular Yield</t>
  </si>
  <si>
    <t>Priority Road</t>
  </si>
  <si>
    <t>End Of Priority Road</t>
  </si>
  <si>
    <t>Motorway Begin</t>
  </si>
  <si>
    <t>Regular End Of Motorway</t>
  </si>
  <si>
    <t>Expressway Begin</t>
  </si>
  <si>
    <t>Expressway End</t>
  </si>
  <si>
    <t>Residential Area Begin</t>
  </si>
  <si>
    <t>Residential Area End</t>
  </si>
  <si>
    <t>City Entrance</t>
  </si>
  <si>
    <t>Combined City Exit</t>
  </si>
  <si>
    <t>Tunnel</t>
  </si>
  <si>
    <t>Warning Additional Left</t>
  </si>
  <si>
    <t>Warning Additional Right</t>
  </si>
  <si>
    <t>Warning Left Lane Ends</t>
  </si>
  <si>
    <t>Warning Right Lane Ends</t>
  </si>
  <si>
    <t>Warning Exit Right</t>
  </si>
  <si>
    <t>Triangular City Entrance China</t>
  </si>
  <si>
    <t>Warning Lane Merge Left</t>
  </si>
  <si>
    <t>Warning Lane Merge Right</t>
  </si>
  <si>
    <t>Priority Oncoming</t>
  </si>
  <si>
    <t>Warning Lane split Right</t>
  </si>
  <si>
    <t>Warning Winding Left</t>
  </si>
  <si>
    <t>Warning Winding Right</t>
  </si>
  <si>
    <t>Warning Side Road Left</t>
  </si>
  <si>
    <t>Warning Side Road Right</t>
  </si>
  <si>
    <t>Warning Thru Traffic Merge Txt</t>
  </si>
  <si>
    <t>Warning Stop Ahead</t>
  </si>
  <si>
    <t>Warning Loose Shoulder</t>
  </si>
  <si>
    <t>No Entrance</t>
  </si>
  <si>
    <t>No Passing Start</t>
  </si>
  <si>
    <t>End Of No Passing</t>
  </si>
  <si>
    <t>No Passing Truck Start</t>
  </si>
  <si>
    <t>End Of No Passing Truck</t>
  </si>
  <si>
    <t>Road work with distance information</t>
  </si>
  <si>
    <t>End Road Works Txt</t>
  </si>
  <si>
    <t>End Construction</t>
  </si>
  <si>
    <t>No Stopping</t>
  </si>
  <si>
    <t>No Parking</t>
  </si>
  <si>
    <t>Stop Sign</t>
  </si>
  <si>
    <t>Truck Limit</t>
  </si>
  <si>
    <t>Warning Cross Roads</t>
  </si>
  <si>
    <t>Warning Side Road</t>
  </si>
  <si>
    <t>Warning Road Work Ahead Text</t>
  </si>
  <si>
    <t>Warning Road Construction Ahead Text</t>
  </si>
  <si>
    <t>Warning Bridge Ice</t>
  </si>
  <si>
    <t>Warning Bump</t>
  </si>
  <si>
    <t>City Entrance Black Background</t>
  </si>
  <si>
    <t xml:space="preserve">LED No Passing </t>
  </si>
  <si>
    <t>LED No Passing End</t>
  </si>
  <si>
    <t>Built Up Area</t>
  </si>
  <si>
    <t>End of Built Up Area</t>
  </si>
  <si>
    <t>Roundabout</t>
  </si>
  <si>
    <t>LED No Passing Truck</t>
  </si>
  <si>
    <t>LED No Passing Truck End</t>
  </si>
  <si>
    <t>Warning River Bank</t>
  </si>
  <si>
    <t>End Of City</t>
  </si>
  <si>
    <t>Arrow Straight</t>
  </si>
  <si>
    <t>Arrow Right Ahead</t>
  </si>
  <si>
    <t>Arrow Left Ahead</t>
  </si>
  <si>
    <t>Arrow No Left</t>
  </si>
  <si>
    <t>Arrow No Right</t>
  </si>
  <si>
    <t>Arrow Keep Left</t>
  </si>
  <si>
    <t>Arrow Keep Right</t>
  </si>
  <si>
    <t>Arrow Either Side</t>
  </si>
  <si>
    <t>Road Closed</t>
  </si>
  <si>
    <t>Bicycle Lane</t>
  </si>
  <si>
    <t>Bicycle Limit</t>
  </si>
  <si>
    <t>Bus Limit</t>
  </si>
  <si>
    <t>Hazardous Truck Limit</t>
  </si>
  <si>
    <t>Height Limit</t>
  </si>
  <si>
    <t>No Littering</t>
  </si>
  <si>
    <t>Parking</t>
  </si>
  <si>
    <t>Pedestrian Diagonal Bicycle</t>
  </si>
  <si>
    <t>Water Pollutants Truck Limit</t>
  </si>
  <si>
    <t>Trucks Only</t>
  </si>
  <si>
    <t>Weight Limit</t>
  </si>
  <si>
    <t>Width Limit</t>
  </si>
  <si>
    <t>Motor Up Car Down</t>
  </si>
  <si>
    <t>Low Emission Zone</t>
  </si>
  <si>
    <t>End Of Low Emission Zone</t>
  </si>
  <si>
    <t>Toll Road</t>
  </si>
  <si>
    <t>Round Road Number</t>
  </si>
  <si>
    <t>Emergency Phone</t>
  </si>
  <si>
    <t>AV Vertical</t>
  </si>
  <si>
    <t>AV Horizontal</t>
  </si>
  <si>
    <t>Peds and Bike Crossing</t>
  </si>
  <si>
    <t>Tractor Limit</t>
  </si>
  <si>
    <t>Tractor Horse Limit</t>
  </si>
  <si>
    <t>Horse Limit</t>
  </si>
  <si>
    <t>Explosives Limit</t>
  </si>
  <si>
    <t>Horn Limit</t>
  </si>
  <si>
    <t>Keep Distance</t>
  </si>
  <si>
    <t>Load Limit</t>
  </si>
  <si>
    <t>Bus Lane</t>
  </si>
  <si>
    <t>Tram Lane</t>
  </si>
  <si>
    <t>Bus Lane End</t>
  </si>
  <si>
    <t>Bicycle Lane End</t>
  </si>
  <si>
    <t>No Straight</t>
  </si>
  <si>
    <t>U Turn</t>
  </si>
  <si>
    <t>Toll Road End</t>
  </si>
  <si>
    <t>High Beam</t>
  </si>
  <si>
    <t>Snow Chains</t>
  </si>
  <si>
    <t>End of Hazardous Truck Limit</t>
  </si>
  <si>
    <t xml:space="preserve">Toll Japan Electronic </t>
  </si>
  <si>
    <t>Toll Japan electronic and Manual</t>
  </si>
  <si>
    <t>​Toll Japan Manual</t>
  </si>
  <si>
    <t>​Construction arrow right</t>
  </si>
  <si>
    <t>​​Construction arrow left</t>
  </si>
  <si>
    <t>​Roadwork Japan</t>
  </si>
  <si>
    <t>​Construction right or left Japan</t>
  </si>
  <si>
    <t>​Roadwork electronic sign Japan</t>
  </si>
  <si>
    <t>​Roadwork right Japan</t>
  </si>
  <si>
    <t>Bicycles</t>
  </si>
  <si>
    <t>​End of bicycles</t>
  </si>
  <si>
    <t>​One way    </t>
  </si>
  <si>
    <t>​End of one way    </t>
  </si>
  <si>
    <t>End of tunnel​</t>
  </si>
  <si>
    <t>​Parking Standard</t>
  </si>
  <si>
    <t>Directional Lane</t>
  </si>
  <si>
    <t xml:space="preserve">Distance to directed road </t>
  </si>
  <si>
    <t xml:space="preserve">Direction info on highway </t>
  </si>
  <si>
    <t>Directional Exits</t>
  </si>
  <si>
    <t xml:space="preserve">Road topology </t>
  </si>
  <si>
    <t>Closed Lane</t>
  </si>
  <si>
    <t xml:space="preserve">Open Lane </t>
  </si>
  <si>
    <t>Water Course</t>
  </si>
  <si>
    <t>Arrow Rectangular</t>
  </si>
  <si>
    <t>Exit Left</t>
  </si>
  <si>
    <t>Nature Reserve</t>
  </si>
  <si>
    <t>Switzerland only</t>
  </si>
  <si>
    <t>Slow</t>
  </si>
  <si>
    <t>Speed Limit Ahead</t>
  </si>
  <si>
    <t>US only</t>
  </si>
  <si>
    <t>Flaggers Ahead</t>
  </si>
  <si>
    <t>Warning Playground</t>
  </si>
  <si>
    <t>Warning Yield Ahead</t>
  </si>
  <si>
    <t>Warning Uneven Lanes</t>
  </si>
  <si>
    <t>Warning School Zone</t>
  </si>
  <si>
    <t>School Bus Stp Ahead</t>
  </si>
  <si>
    <t>Road May Flood</t>
  </si>
  <si>
    <t>Be Prepared to Stop</t>
  </si>
  <si>
    <t>DIP</t>
  </si>
  <si>
    <t>Hidden Driveway</t>
  </si>
  <si>
    <t>Special Needs Child Area</t>
  </si>
  <si>
    <t>Dead End</t>
  </si>
  <si>
    <t>Truck Crossing</t>
  </si>
  <si>
    <t>Hairpin Turn Left</t>
  </si>
  <si>
    <t>Warning Lane Split Left</t>
  </si>
  <si>
    <t>Hairpin Turn Right</t>
  </si>
  <si>
    <t>T Road</t>
  </si>
  <si>
    <t>Entrance Left</t>
  </si>
  <si>
    <t>Entrance Right</t>
  </si>
  <si>
    <t>Warning Truck Rollover</t>
  </si>
  <si>
    <t>Reverse Curve Left 2 lanes</t>
  </si>
  <si>
    <t>Reverse Curve Right 2 lanes</t>
  </si>
  <si>
    <t>Reverse Curve Left 3 lanes</t>
  </si>
  <si>
    <t>Reverse Curve Right 3 lanes</t>
  </si>
  <si>
    <t>Merge to Main From Right</t>
  </si>
  <si>
    <t>Warning Tunnel</t>
  </si>
  <si>
    <t>Offset Roads Right Left</t>
  </si>
  <si>
    <t>Offset Roads Left Right</t>
  </si>
  <si>
    <t>Railway Crossing Left</t>
  </si>
  <si>
    <t>Railway Crossing Right</t>
  </si>
  <si>
    <t>Thru Traffic Merge Left</t>
  </si>
  <si>
    <t>Thru Traffic Merge Right</t>
  </si>
  <si>
    <t>Share Road Pedestrians Bicycle</t>
  </si>
  <si>
    <t>Share Road Cars Bicycle</t>
  </si>
  <si>
    <t xml:space="preserve">End of Divided Highway </t>
  </si>
  <si>
    <t xml:space="preserve">Accident Spot </t>
  </si>
  <si>
    <t>Narrow Bridge</t>
  </si>
  <si>
    <t>pictogram or text</t>
  </si>
  <si>
    <t xml:space="preserve">Detour Ahead </t>
  </si>
  <si>
    <t xml:space="preserve">Arrow left one way </t>
  </si>
  <si>
    <t xml:space="preserve">Arrow right one way </t>
  </si>
  <si>
    <t xml:space="preserve">Bay </t>
  </si>
  <si>
    <t>Diversion</t>
  </si>
  <si>
    <t>No Turns</t>
  </si>
  <si>
    <t xml:space="preserve">Cross priority road </t>
  </si>
  <si>
    <t>Sharp deviation left</t>
  </si>
  <si>
    <t>Sharp deviation right</t>
  </si>
  <si>
    <t xml:space="preserve">Chinese Exit </t>
  </si>
  <si>
    <t xml:space="preserve">Level Crossing </t>
  </si>
  <si>
    <t xml:space="preserve">Non Vienna SLI 50 </t>
  </si>
  <si>
    <t>Non Vienna SLI 70</t>
  </si>
  <si>
    <t>Non Vienna SLI 90</t>
  </si>
  <si>
    <t>Electronic sign Off</t>
  </si>
  <si>
    <t xml:space="preserve">High Fine Zone </t>
  </si>
  <si>
    <t>End of High Fine Zone</t>
  </si>
  <si>
    <t>No Left Or Right</t>
  </si>
  <si>
    <t>No Straight or Left</t>
  </si>
  <si>
    <t>No Straight or Right</t>
  </si>
  <si>
    <t>Diamond Y junction</t>
  </si>
  <si>
    <t>Alternating Direction Lane</t>
  </si>
  <si>
    <t>Winding Road</t>
  </si>
  <si>
    <t>Hump Bridge</t>
  </si>
  <si>
    <t>Left lane merge</t>
  </si>
  <si>
    <t>Right lane merge</t>
  </si>
  <si>
    <t>Begin new Lane Right</t>
  </si>
  <si>
    <t>Begin new Lane Left</t>
  </si>
  <si>
    <t>Left lane exit</t>
  </si>
  <si>
    <t>Right lane exit</t>
  </si>
  <si>
    <t>Additional Lane to Left</t>
  </si>
  <si>
    <t>Additional Lane to Right</t>
  </si>
  <si>
    <t>Additional Lane from Left</t>
  </si>
  <si>
    <t>Additional Lane from Right</t>
  </si>
  <si>
    <t>Lanes shift</t>
  </si>
  <si>
    <t>One way traffic</t>
  </si>
  <si>
    <t>Two way traffic</t>
  </si>
  <si>
    <t>Shoulder Open</t>
  </si>
  <si>
    <t>Shoulder Merge</t>
  </si>
  <si>
    <t>Shoulder End</t>
  </si>
  <si>
    <t>Advance guide</t>
  </si>
  <si>
    <t>Combined directions</t>
  </si>
  <si>
    <t>Pedestrians walking</t>
  </si>
  <si>
    <t>Pedestrian zone</t>
  </si>
  <si>
    <t>Pedestrian zone end</t>
  </si>
  <si>
    <t>Curve 40 speed</t>
  </si>
  <si>
    <t>Curve 50 speed</t>
  </si>
  <si>
    <t>Curve 60 speed</t>
  </si>
  <si>
    <t>ESLI No ring 30</t>
  </si>
  <si>
    <t>Bicycle road</t>
  </si>
  <si>
    <t>End bicycle road</t>
  </si>
  <si>
    <t>Turn left with caution Korea</t>
  </si>
  <si>
    <t>Curve 70 speed</t>
  </si>
  <si>
    <t>Curve 80 speed</t>
  </si>
  <si>
    <t>Curve 90 speed</t>
  </si>
  <si>
    <t>Bicycle zone</t>
  </si>
  <si>
    <t>Double Curve Right 40 speed</t>
  </si>
  <si>
    <t>double Curve Right 50 speed</t>
  </si>
  <si>
    <t>double Curve Right 60 speed</t>
  </si>
  <si>
    <t>End of City Entrance BBG</t>
  </si>
  <si>
    <t>HOV</t>
  </si>
  <si>
    <t>Wrong way</t>
  </si>
  <si>
    <t>Green Arrow attached to Traffic Light</t>
  </si>
  <si>
    <t>Unidentified end of speed</t>
  </si>
  <si>
    <t>Speed Limit 82</t>
  </si>
  <si>
    <t>Revision</t>
  </si>
  <si>
    <t>Date</t>
  </si>
  <si>
    <t>Change</t>
  </si>
  <si>
    <t>Author</t>
  </si>
  <si>
    <t>Status</t>
  </si>
  <si>
    <t>It was used up until AVI V3.0</t>
  </si>
  <si>
    <t>Piotr Dziura</t>
  </si>
  <si>
    <t>Approved</t>
  </si>
  <si>
    <t>1.1</t>
  </si>
  <si>
    <t>*Name changed from "Aptiv_Traffic_Information_Enum" to "Aptiv_Traffic_Info_Enum".
*New line added for document name &amp; revision info.
*Peer-reviewed, issued reported.</t>
  </si>
  <si>
    <t>Farid Kondori</t>
  </si>
  <si>
    <t>Draft</t>
  </si>
  <si>
    <t>1.2</t>
  </si>
  <si>
    <t>Updated according to peer review comment</t>
  </si>
  <si>
    <t>Erik Hesslow</t>
  </si>
  <si>
    <t>2</t>
  </si>
  <si>
    <t>Released as part of AVI v4</t>
  </si>
  <si>
    <t>Released</t>
  </si>
  <si>
    <t>peer-reviewed, issues reported.</t>
  </si>
  <si>
    <t>2.1</t>
  </si>
  <si>
    <t>* Added INVALID values for main signs and road markings</t>
  </si>
  <si>
    <t>delta peer-reviewed, no issues.</t>
  </si>
  <si>
    <t>3</t>
  </si>
  <si>
    <t>Released as part of AVI v5</t>
  </si>
  <si>
    <t>3.1</t>
  </si>
  <si>
    <t>Updated according to ADV team comments
Main sign - Curve Left -&gt; Warning Curve Left
Main sign - Enum 332 changed to "Directional Exists"
Main sign - Enum 328 changed to "Parking Standard"
Main sign - "Construction right / left Japan" changed to "Construction right or left Japan"
Supp sign - "4 way" changed to "Four way"</t>
  </si>
  <si>
    <t>Main sign - Warning USA Side Road Right -&gt; Warning Side Road Right
Main sign - Lane Split Left -&gt; Warning Lane Split Left
Main sign - End of Divided Way -&gt; End of Divided Highway</t>
  </si>
  <si>
    <t>3.3</t>
  </si>
  <si>
    <t>Added new Main Sign enum values according to CV supplier document TSR Enums_4.22.09 ver 3.2: 
Horseback Riders - Enum 130
Warning Domestic Animals Crossing - Enum 138
Not relevant, sign not reported - Enum 255
Peds and Bike Crossing - Enum 280
End of tunnel​ - Enum 327
Directional Lane - Enum 329
Distance to directed road  - Enum 330
Direction info on highway  - Enum 331
Road topology  - Enum 333
Advance guide - Enum 463
Combined directions - Enum 464
Priority Left Down - Enum 465
Priority Right Up - Enum 466
Priority Left Up - Enum 467
Priority Right Down - 468
Pedestrians walking - Enum 470
Pedestrian zone - Enum 473
Pedestrian zone end - Enum 474
Curve 40 speed - Enum 475
Curve 50 speed - Enum 476
Curve 60 speed - Enum 477
ESLI No ring 30 - Enum 478
Bicycle road - Enum 479
End bicycle road - Enum 480
Turn left with caution Korea - Enum 481
SOS - Enum 482
Green Arrow attached to Traffic Light - Enum 715</t>
  </si>
  <si>
    <t>3.4</t>
  </si>
  <si>
    <t>Added new Supplemental Sign enum values according to CV supplier document TSR Enums_4.22.09 ver 3.2 : 
US 80 truck - Enum 73
When Flashing text - Enum 74
Bicycle Priority - Enum 75
Tractor text - Enum 76
Priority Left Down - Enum 77
Priority Right Down - Enum 78
Priority Left Up - Enum 79
Priority Right Up - Enum 80</t>
  </si>
  <si>
    <t>Reviewed TSR Enums. Issues reported.</t>
  </si>
  <si>
    <t>Nazanin Vahabi</t>
  </si>
  <si>
    <t>Removed supplier info from rev.</t>
  </si>
  <si>
    <t>Zuzanna Bieszczad</t>
  </si>
  <si>
    <t>delta peer-reviewed, no issues. Previous reported issues are not issues</t>
  </si>
  <si>
    <t>3.5</t>
  </si>
  <si>
    <t>Removed enumerator 255. If CV supplier reports 255 = INVALID then Aptiv shall report with the defined INVALID value 65535</t>
  </si>
  <si>
    <t>Delta review. No issues found</t>
  </si>
  <si>
    <t>Hans Sällberg</t>
  </si>
  <si>
    <t>Change name of enumerator 84 from "Travel, right or left" to "Turn right or left"</t>
  </si>
  <si>
    <t>Claes Stejre</t>
  </si>
  <si>
    <t>4</t>
  </si>
  <si>
    <t>Release as part of AVI v6</t>
  </si>
  <si>
    <t>4.1</t>
  </si>
  <si>
    <t>Added new Main Sign enum values according to CV supplier document "Traffic Sign Enums_4.22.12" ver 3.3: 
Curve 70 speed 483
Curve 80 speed 484
Curve 90 speed 485
Bicycle zone      486
Double Curve Right 40 speed 487
double Curve Right 50 speed 488
double Curve Right 60 speed 489</t>
  </si>
  <si>
    <t>5</t>
  </si>
  <si>
    <t>Release as part of AVI v7</t>
  </si>
  <si>
    <t>Release as part of AVI v7.1</t>
  </si>
  <si>
    <t>5.1</t>
  </si>
  <si>
    <t>Added new Main Sign enum values according to CV supplier document "Traffic Sign Enums_4.23.03" ver 3.4: 
- Unidentified end of speed 900
- Speed Limit 82 901
- End of City Entrance BBG 563</t>
  </si>
  <si>
    <t>In Review</t>
  </si>
  <si>
    <t>Peer review done. No issues</t>
  </si>
  <si>
    <t>Tomasz Wiktor</t>
  </si>
  <si>
    <t>6</t>
  </si>
  <si>
    <t>Released as part of AVI v8</t>
  </si>
  <si>
    <t>Released as part of AVI v8.1</t>
  </si>
  <si>
    <t>Released as part of AVI v8.2</t>
  </si>
  <si>
    <t>Size:</t>
  </si>
  <si>
    <t>Cross-FCN_Definitions</t>
  </si>
  <si>
    <t>Calibration_Definitions</t>
  </si>
  <si>
    <t>SAE J670 Z-down coordinate system:
Translation &amp; Orientation:
X-axis is longitudinal position - pointing in the direction of the vehicle 
Y-axis is lateral position - pointing to the right of the vehicle
Z-axis is vertical position - pointing down
Yaw –  rotation around Z-axis - positive to the right
Pitch –  rotation around Y-axis - positive up
Roll –  rotation around X-axis - positive when leaning right
Origin point:
a) longitudinal (X): Camera position
b) lateral (Y): Camera position
c) vertical (Z): Camera position</t>
  </si>
  <si>
    <t>Reference point on object: NOT APPLICABLE</t>
  </si>
  <si>
    <t>Periodicity(s)</t>
  </si>
  <si>
    <t>Gen4: 1/18
Gen6: 1/20
Gen7: TBD</t>
  </si>
  <si>
    <t>Name</t>
  </si>
  <si>
    <t>Description</t>
  </si>
  <si>
    <t>Unit</t>
  </si>
  <si>
    <t>Min</t>
  </si>
  <si>
    <t>Max</t>
  </si>
  <si>
    <t>Value</t>
  </si>
  <si>
    <t>Default</t>
  </si>
  <si>
    <t>Size</t>
  </si>
  <si>
    <t>Type</t>
  </si>
  <si>
    <t>ASIL Compliance</t>
  </si>
  <si>
    <t>Struct Length (Repetitions)</t>
  </si>
  <si>
    <t>Struct Name</t>
  </si>
  <si>
    <t>VIS_Calibration_Common_Header</t>
  </si>
  <si>
    <t>It represents common data with all properties</t>
  </si>
  <si>
    <t>common_header_struct</t>
  </si>
  <si>
    <t>ASIL B</t>
  </si>
  <si>
    <t>VIS_Calibration.Header</t>
  </si>
  <si>
    <t>VIS_Calibration_CRC</t>
  </si>
  <si>
    <t>Calculated over all signals in FrontMainCamera, from the signal after the VIS_Calibration_CRC until the last signal in VIS_Calibration.FrontMainCamera structure</t>
  </si>
  <si>
    <t>crc_32_t</t>
  </si>
  <si>
    <t>QM</t>
  </si>
  <si>
    <t>VIS_Calibration.FrontMainCamera</t>
  </si>
  <si>
    <t>VIS_Calibration_Current_Run_Mode</t>
  </si>
  <si>
    <t>Current Calibration run mode.</t>
  </si>
  <si>
    <t>calibration_run_mode_t</t>
  </si>
  <si>
    <t>VIS_Calibration_Current_Status</t>
  </si>
  <si>
    <t>Current Calibration Status</t>
  </si>
  <si>
    <t>calibration_status_t</t>
  </si>
  <si>
    <t>VIS_Calibration_Current_Error_Reason</t>
  </si>
  <si>
    <t>Current Error reason(s)</t>
  </si>
  <si>
    <t>calibration_error_reason_struct</t>
  </si>
  <si>
    <t>VIS_Calibration_Current_State</t>
  </si>
  <si>
    <t>Current Calibration State
0: Vision processor is not in calibrating state
1: Vision processor is currently calibrating
2: calibration is paused. Paused reason given in VIS_Calibration_Current_Paused_Reason</t>
  </si>
  <si>
    <t>ENUM:
0=NONE
1=RUNNING
2=PAUSED
255 = INVALID</t>
  </si>
  <si>
    <t>uint8</t>
  </si>
  <si>
    <t>VIS_Calibration_Current_Paused_Reason</t>
  </si>
  <si>
    <t>Reason for pausing calibration</t>
  </si>
  <si>
    <t>pause_reason_struct</t>
  </si>
  <si>
    <t>VIS_Calibration_Current_Calibrating_Reason</t>
  </si>
  <si>
    <t>Reason for  calibration</t>
  </si>
  <si>
    <t>calibrating_reason_struct</t>
  </si>
  <si>
    <t>VIS_Calibration_Current_Progress</t>
  </si>
  <si>
    <t>Current Calibration Progress</t>
  </si>
  <si>
    <t>progress_percent_t</t>
  </si>
  <si>
    <t>VIS_Calibration_Current_Distance</t>
  </si>
  <si>
    <t>Distance driven since currect calibration cycle started</t>
  </si>
  <si>
    <t>calibration_distance_t</t>
  </si>
  <si>
    <t>VIS_Calibration_Current_Time</t>
  </si>
  <si>
    <t>Time since currect calibration cycle started</t>
  </si>
  <si>
    <t>calibration_time_t</t>
  </si>
  <si>
    <t>VIS_Calibration_Consecutive_Calibration_Cycles_Failed</t>
  </si>
  <si>
    <t>Counter of failed calibrations. incremented at calibration failure, reset when calibration is successfull.</t>
  </si>
  <si>
    <t>counter_8bit_t</t>
  </si>
  <si>
    <t>VIS_Calibration_Number_Failures_Camera_Height</t>
  </si>
  <si>
    <t>Number of failures due to camera height out of range</t>
  </si>
  <si>
    <t>VIS_Calibration_Number_Failures_Yaw</t>
  </si>
  <si>
    <t>Number of failures due to yaw out of range</t>
  </si>
  <si>
    <t>VIS_Calibration_Number_Failures_Pitch</t>
  </si>
  <si>
    <t>Number of failures due to pitch out of range</t>
  </si>
  <si>
    <t>VIS_Calibration_Number_Failures_Roll</t>
  </si>
  <si>
    <t>Number of failures due to roll out of range</t>
  </si>
  <si>
    <t>VIS_Calibration_Number_Failures_Distance</t>
  </si>
  <si>
    <t>Number of failures due to distance time out</t>
  </si>
  <si>
    <t>VIS_Calibration_Number_Failures_Time</t>
  </si>
  <si>
    <t>Number of failures due to time, time out</t>
  </si>
  <si>
    <t>VIS_Calibration_Current_Pose</t>
  </si>
  <si>
    <t>Camera Pose as estimated by the camera calibration</t>
  </si>
  <si>
    <t>camera_pose_struct</t>
  </si>
  <si>
    <t>VIS_Calibration_Nominal_Camera_Pose</t>
  </si>
  <si>
    <t>Nominal Camera Pose (pitch, yaw, roll, height) from e.g. CAD Drawing. Before any correction of pose via calibration.</t>
  </si>
  <si>
    <t>VIS_Calibration_Initial_Calibration_Mode</t>
  </si>
  <si>
    <t>Initial Calibration run mode</t>
  </si>
  <si>
    <t>VIS_Calibration_Initial_Calibration_Status</t>
  </si>
  <si>
    <t>Initial Calibration Status</t>
  </si>
  <si>
    <t>VIS_Calibration_Initial_Calibration_Error_Reason</t>
  </si>
  <si>
    <t>Initial calibration Error reason(s)</t>
  </si>
  <si>
    <t>VIS_Calibration_Initial_Calibration_Pose</t>
  </si>
  <si>
    <t>Initial calibration pose, estimated as per run mode</t>
  </si>
  <si>
    <t>VIS_Calibration_Last_Stored_Online_Calibration_Status</t>
  </si>
  <si>
    <t>Last stored calibration Status</t>
  </si>
  <si>
    <t>VIS_Calibration_Last_Stored_Online_Calibration_Error_Reason</t>
  </si>
  <si>
    <t>Last stored calibration Error reason(s)</t>
  </si>
  <si>
    <t>VIS_Calibration_Last_Stored_Online_Calibration_Pose</t>
  </si>
  <si>
    <t>Last stored calibration pose, estimated via online calibration</t>
  </si>
  <si>
    <t>Approval</t>
  </si>
  <si>
    <t>0.1</t>
  </si>
  <si>
    <t>New Calibration interface that becomes CV supplier agnostic and decoupled from specific calibration protocols</t>
  </si>
  <si>
    <t>Tommy Isebäck</t>
  </si>
  <si>
    <t>Initial</t>
  </si>
  <si>
    <t>Initial review. Comments provided in AVI peer review checklist</t>
  </si>
  <si>
    <t xml:space="preserve">Nazanin Vahabi </t>
  </si>
  <si>
    <t>0.2</t>
  </si>
  <si>
    <t>*Updated names of:
VIS_Calibration_Nominal_Camera_Pose (VIS_Nominal_Camera_Pose)
VIS_Calibration_Initial_Calibration_Mode (VIS_Initial_Calibration_Mode)
VIS_Calibration_Initial_Calibration_Status (VIS_Initial_Calibration_Status)
VIS_Calibration_Initial_Calibration_Error_Reason (VIS_Initial_Calibration_Error_Reason)
VIS_Calibration_Initial_Calibration_Pose (VIS_Initial_Calibration_Pose)
VIS_Calibration_Last_Stored_Online_Calibration_Status (VIS_Last_Stored_Online_Calibration_Status)
VIS_Calibration_Last_Stored_Online_Calibration_Error_Reason (VIS_Last_Stored_Online_Calibration_Error_Reason)
VIS_Calibration_Last_Stored_Online_Calibration_Pose (VIS_Last_Stored_Online_Calibration_Pose)
to be according to naming convention.
*Updated name and description of VIS_Calibration_Consecutive_Calibration_Cycles_Failed (VIS_Calibration_Consecutive_Cycles_Failed)
*Updated names of:
VIS_Calibration_Number_Failures_Camera_Height (VIS_Calibration_Number_Failures_Reason_1_camh)
VIS_Calibration_Number_Failures_Yaw (VIS_Calibration_Number_Failures_Reason_2_Yaw)
VIS_Calibration_Number_Failures_Pitch (VIS_Calibration_Number_Failures_Reason_3_Pitch)
VIS_Calibration_Number_Failures_Roll (VIS_Calibration_Number_Failures_Reason_4_Roll)
VIS_Calibration_Number_Failures_Distance (VIS_Calibration_Number_Failures_Reason_5_Distance)
VIS_Calibration_Number_Failures_Time (VIS_Calibration_Number_Failures_Reason_6_Time)
ASIL compliance added.</t>
  </si>
  <si>
    <t>0.3</t>
  </si>
  <si>
    <t>Sizes updated.
Periodicity updated.</t>
  </si>
  <si>
    <t>Delta peer review done. Minor issue reported</t>
  </si>
  <si>
    <t>0.4</t>
  </si>
  <si>
    <t>Updated as per peer- review. "ASIL-B" -&gt; "ASIL B" in row 4. Added author and approval into 0.2 in Calibration_Rev.</t>
  </si>
  <si>
    <t>Delta peer review done. No issue found.</t>
  </si>
  <si>
    <t>0.5</t>
  </si>
  <si>
    <t>Updated size as per updated definitions for Pitch_px and Yaw_px</t>
  </si>
  <si>
    <t>Rikard Hodzic</t>
  </si>
  <si>
    <t>Approved, referring to Cross-FCN_Definitions version 3 &amp; Calibration_Definitions version 2</t>
  </si>
  <si>
    <t>Approved, referring to Cross-FCN_Definitions version 4 &amp; Calibration_Definitions version 2</t>
  </si>
  <si>
    <t>Add discrption to VIS_Calibration_Current_State
0: Vision processor is not in calibrating state
1: Vision processor is currently calibrating
2: calibration is paused. Paused reason given in VIS_Calibration_Current_Paused_Reason.
Add signal VIS_Calibration_Current_Calibrating_Reason to map CO_main_Calibration_Cause that was not mapped in previous version of AVI
Update of signals that have data type calibration_error_reason_struct from 264 to 312 due to added error types
update size (G1) according to updated size of signals</t>
  </si>
  <si>
    <t>Su Liu</t>
  </si>
  <si>
    <t>Peer review done. No issues found.</t>
  </si>
  <si>
    <t>Approved, referring to Cross-FCN_Definitions 5, Calibration_Definitions 3</t>
  </si>
  <si>
    <t xml:space="preserve">3.1 </t>
  </si>
  <si>
    <t>Reference point information added.</t>
  </si>
  <si>
    <t>AVI_Camera_Config</t>
  </si>
  <si>
    <t xml:space="preserve"> Output co-ordinate system: NOT APPLICABLE</t>
  </si>
  <si>
    <t>VIS_CC_APTIV_Protocol_Version</t>
  </si>
  <si>
    <t>AVI_Camera_Config Protocol version.</t>
  </si>
  <si>
    <t>protocol_16_t</t>
  </si>
  <si>
    <t>VIS_CC.Header</t>
  </si>
  <si>
    <t>VIS_CC_Protocol_Version</t>
  </si>
  <si>
    <t>Computer Vision Function Interface version.</t>
  </si>
  <si>
    <t>protocol_8_t</t>
  </si>
  <si>
    <t>VIS_CC_Cam_HW_Version_Major</t>
  </si>
  <si>
    <t>Indicates Camera HW major version number.</t>
  </si>
  <si>
    <t>sw_version_t</t>
  </si>
  <si>
    <t>VIS_CC_Cam_HW_Version_Minor</t>
  </si>
  <si>
    <t>Indicates Camera HW minor version number.</t>
  </si>
  <si>
    <t>VIS_CC_Cam_SW_Version_Major</t>
  </si>
  <si>
    <t>Indicates Camera SW major version number.</t>
  </si>
  <si>
    <t>VIS_CC_Cam_SW_Version_Minor</t>
  </si>
  <si>
    <t>Indicates Camera SW minor version number.</t>
  </si>
  <si>
    <t>VIS_CC_Sensor_ID_P1_Valid</t>
  </si>
  <si>
    <t>Establishes validity of the VIS_CC_Sensor_ID_1 signal.</t>
  </si>
  <si>
    <t>is_valid_t</t>
  </si>
  <si>
    <t>VIS_CC_Sensor_ID_P1</t>
  </si>
  <si>
    <t>Camera Sensor ID. ID size is 64 byte. Each part include 8 bytes of the full ID.</t>
  </si>
  <si>
    <t>2^64-1</t>
  </si>
  <si>
    <t xml:space="preserve">[0, 2^64-1] </t>
  </si>
  <si>
    <t>uint64</t>
  </si>
  <si>
    <t>VIS_CC_Sensor_ID_P2_Valid</t>
  </si>
  <si>
    <t>Establishes validity of the VIS_CC_Sensor_ID_2 signal.</t>
  </si>
  <si>
    <t>VIS_CC_Sensor_ID_P2</t>
  </si>
  <si>
    <t>VIS_CC_Sensor_ID_P3_Valid</t>
  </si>
  <si>
    <t>Establishes validity of the VIS_CC_Sensor_ID_3 signal.</t>
  </si>
  <si>
    <t>VIS_CC_Sensor_ID_P3</t>
  </si>
  <si>
    <t>VIS_CC_Sensor_ID_P4_Valid</t>
  </si>
  <si>
    <t>Establishes validity of the VIS_CC_Sensor_ID_4 signal.</t>
  </si>
  <si>
    <t>VIS_CC_Sensor_ID_P4</t>
  </si>
  <si>
    <t>VIS_CC_Sensor_ID_P5_Valid</t>
  </si>
  <si>
    <t>Establishes validity of the VIS_CC_Sensor_ID_5 signal.</t>
  </si>
  <si>
    <t>VIS_CC_Sensor_ID_P5</t>
  </si>
  <si>
    <t>VIS_CC_Sensor_ID_P6_Valid</t>
  </si>
  <si>
    <t>Establishes validity of the VIS_CC_Sensor_ID_6 signal.</t>
  </si>
  <si>
    <t>VIS_CC_Sensor_ID_P6</t>
  </si>
  <si>
    <t>VIS_CC_Sensor_ID_P7_Valid</t>
  </si>
  <si>
    <t>Establishes validity of the VIS_CC_Sensor_ID_7 signal.</t>
  </si>
  <si>
    <t>VIS_CC_Sensor_ID_P7</t>
  </si>
  <si>
    <t>VIS_CC_Sensor_ID_P8_Valid</t>
  </si>
  <si>
    <t>Establishes validity of the VIS_CC_Sensor_ID_8 signal.</t>
  </si>
  <si>
    <t>VIS_CC_Sensor_ID_P8</t>
  </si>
  <si>
    <t>VIS_CC_EPROM_CRC_Valid</t>
  </si>
  <si>
    <t>Establishes validity of the VIS_CC_EPROM_CRC signal.</t>
  </si>
  <si>
    <t>VIS_CC_EPROM_CRC</t>
  </si>
  <si>
    <t>CRC on the EPROM used to validate that the calibration data read is correct</t>
  </si>
  <si>
    <t>VIS_CC_ModuleType_Valid</t>
  </si>
  <si>
    <t>Establishes validity of the VIS_CC_moduleType signal.</t>
  </si>
  <si>
    <t>VIS_CC_ModuleType</t>
  </si>
  <si>
    <t>The signal provides optional project-specific information about the camera module.</t>
  </si>
  <si>
    <t>[0, 254]
255 = INVALID</t>
  </si>
  <si>
    <t>VIS_CC_DistortionModelType</t>
  </si>
  <si>
    <t xml:space="preserve">The distortion model type number for the main lens.
Possible values:
2= 3-Polynomial Distortion Model. Symmetric function around COD: Ru = C0*Rd^2+ C1*Rd^4 + C2*Rd^6.
3= Division Distortion Model. Symmetric function around COD: Ru=Rd/(1+sign(K1)*(K1*Rd)^2+sign(K2)*(K2*Rd)^4+…+sign(Kn)*(Kn*Rd)^2n).
Where: Rd = Radius distorted, &amp; Ru = Radius undistorted </t>
  </si>
  <si>
    <t>ENUM:
2=POLYNOMIAL
3=DIVISION
255=INVALID</t>
  </si>
  <si>
    <t>VIS_CC_CODX</t>
  </si>
  <si>
    <t xml:space="preserve">The x coordinate of the centre of distortion. 
The origin (0, 0) of the sensor coordinates is located in the middle of the bottom left pixel of the image. </t>
  </si>
  <si>
    <t>pixel</t>
  </si>
  <si>
    <t>INFINITY_DOUBLE</t>
  </si>
  <si>
    <t>[0, 2000]
INFINITY_DOUBLE = INVALID</t>
  </si>
  <si>
    <t>float64</t>
  </si>
  <si>
    <t>VIS_CC_CODY</t>
  </si>
  <si>
    <t xml:space="preserve">The y coordinate of the centre of distortion. 
The origin (0, 0) of the sensor coordinates is located in the middle of the bottom left pixel of the image. </t>
  </si>
  <si>
    <t>VIS_CC_DistorParams0</t>
  </si>
  <si>
    <t>Distortion parameter.</t>
  </si>
  <si>
    <t>[-0.8, 1]
INFINITY_DOUBLE = INVALID</t>
  </si>
  <si>
    <t>VIS_CC_DistorParams1</t>
  </si>
  <si>
    <t>VIS_CC_DistorParams2</t>
  </si>
  <si>
    <t>VIS_CC_DistorParams3</t>
  </si>
  <si>
    <t>VIS_CC_DistorParams4</t>
  </si>
  <si>
    <t>VIS_CC_DistorParams5</t>
  </si>
  <si>
    <t>VIS_CC_DistorParams6</t>
  </si>
  <si>
    <t>VIS_CC_DistorParams7</t>
  </si>
  <si>
    <t>VIS_CC_DistorParams8</t>
  </si>
  <si>
    <t>VIS_CC_DistorParams9</t>
  </si>
  <si>
    <t>VIS_CC_DistorParams10</t>
  </si>
  <si>
    <t>VIS_CC_DistorParams11</t>
  </si>
  <si>
    <t>VIS_CC_DistorParams12</t>
  </si>
  <si>
    <t>VIS_CC_DistorParams13</t>
  </si>
  <si>
    <t>VIS_CC_DistorParams14</t>
  </si>
  <si>
    <t>VIS_CC_DistorParams15</t>
  </si>
  <si>
    <t>VIS_CC_FocalLengthX</t>
  </si>
  <si>
    <t>Focal length of the main lens in the x direction.</t>
  </si>
  <si>
    <t>[0, 8000]
INFINITY_DOUBLE = INVALID</t>
  </si>
  <si>
    <t>VIS_CC_FocalLengthY</t>
  </si>
  <si>
    <t>Focal length of the main lens in the y direction.</t>
  </si>
  <si>
    <t>VIS_CC_Skew</t>
  </si>
  <si>
    <t>Skew parameter. A non-zero skew value means that the pixel is not a perfect rectangle / square.</t>
  </si>
  <si>
    <t>VIS_CC_PrincipalPointX</t>
  </si>
  <si>
    <t xml:space="preserve">The x coordinate of the principal point.
The origin (0, 0) of the sensor coordinates is located in the middle of the bottom left pixel of the image. </t>
  </si>
  <si>
    <t>VIS_CC_PrincipalPointY</t>
  </si>
  <si>
    <t xml:space="preserve">The y coordinate of the principal point.
The origin (0, 0) of the sensor coordinates is located in the middle of the bottom left pixel of the image. </t>
  </si>
  <si>
    <t>VIS_CC_GPSToCam_dx_Valid</t>
  </si>
  <si>
    <t>Establishes validity of the VIS_CC_GPSToCam_dx signal.</t>
  </si>
  <si>
    <t>VIS_CC_GPSToCam_dx</t>
  </si>
  <si>
    <t>GPS location relative to camera in the dx axis - x axis points to right of the vehicle.</t>
  </si>
  <si>
    <t>m</t>
  </si>
  <si>
    <t>INFINITY</t>
  </si>
  <si>
    <t>[-2.56, 2.55]
INFINITY = INVALID</t>
  </si>
  <si>
    <t>float32</t>
  </si>
  <si>
    <t>VIS_CC_GPSToCam_dy_Valid</t>
  </si>
  <si>
    <t>Establishes validity of the VIS_CC_GPSToCam_dy signal.</t>
  </si>
  <si>
    <t>VIS_CC_GPSToCam_dy</t>
  </si>
  <si>
    <t>GPS location relative to camera in the dy axis - y axis points up.</t>
  </si>
  <si>
    <t>VIS_CC_GPSToCam_dz_Valid</t>
  </si>
  <si>
    <t>Establishes validity of the VIS_CC_GPSToCam_dz signal.</t>
  </si>
  <si>
    <t>VIS_CC_GPSToCam_dz</t>
  </si>
  <si>
    <t>GPS location relative to camera in the dz axis - z axis points to front of the vehicle.</t>
  </si>
  <si>
    <t>[-10.24, 10.23]
INFINITY= INVALID</t>
  </si>
  <si>
    <t>VIS_CC_Top_Angle_Valid</t>
  </si>
  <si>
    <t>Establishes validity of the VIS_CC_Top_Angle signal.</t>
  </si>
  <si>
    <t>VIS_CC_Top_Angle</t>
  </si>
  <si>
    <t>Part of camera vertical field of view to be kept. From center of image to upper blackoff band.</t>
  </si>
  <si>
    <t>rad</t>
  </si>
  <si>
    <t>[0, 3.1416]
INFINITY = INVALID</t>
  </si>
  <si>
    <t>VIS_CC_Bottom_Angle_Valid</t>
  </si>
  <si>
    <t>Establishes validity of the VIS_CC_Bottom_Angle signal.</t>
  </si>
  <si>
    <t>VIS_CC_Bottom_Angle</t>
  </si>
  <si>
    <t>Part of camera vertical field of view to be kept. From center of image to lower blackoff band.</t>
  </si>
  <si>
    <t>[-3.1416, 0]
INFINITY = INVALID</t>
  </si>
  <si>
    <t>VIS_CC_Left_Angle_Valid</t>
  </si>
  <si>
    <t>Establishes validity of the VIS_CC_Left_Angle signal.</t>
  </si>
  <si>
    <t>VIS_CC_Left_Angle</t>
  </si>
  <si>
    <t>Part of camera horizontal field of view to be kept. From center of image to left blackoff band.</t>
  </si>
  <si>
    <t>VIS_CC_Right_Angle_Valid</t>
  </si>
  <si>
    <t>Establishes validity of the VIS_CC_Right_Angle signal.</t>
  </si>
  <si>
    <t>VIS_CC_Right_Angle</t>
  </si>
  <si>
    <t>Part of camera horizontal field of view to be kept. From center of image to right blackoff band.</t>
  </si>
  <si>
    <t>VIS_CC_Steering_Ratio_Valid</t>
  </si>
  <si>
    <t>Establishes validity of the VIS_CC_Steering_Ratio signal.</t>
  </si>
  <si>
    <t>VIS_CC_Steering_Ratio</t>
  </si>
  <si>
    <t>Ratio between steering wheel angle and wheels angle.</t>
  </si>
  <si>
    <t>[10, 40]
INFINITY = INVALID</t>
  </si>
  <si>
    <t>VIS_CC_WheelWidth_Valid</t>
  </si>
  <si>
    <t>Establishes validity of the VIS_CC_WheelWidth signal.</t>
  </si>
  <si>
    <t>VIS_CC_WheelWidth</t>
  </si>
  <si>
    <t>Width of the wheel that is used to work out the center of the driving tube for the road surface profile functions.</t>
  </si>
  <si>
    <t>[0, 0.5]
INFINITY = INVALID</t>
  </si>
  <si>
    <t>VIS_CC_LeftWheel_Valid</t>
  </si>
  <si>
    <t>Establishes validity of the VIS_CC_LeftWheel signal.</t>
  </si>
  <si>
    <t>VIS_CC_LeftWheel</t>
  </si>
  <si>
    <t>Distance from main camera to left wheel. Use this in conjunction with rightWheel to populate the distance to center of vehicle.</t>
  </si>
  <si>
    <t>[0.2, 5]
INFINITY = INVALID</t>
  </si>
  <si>
    <t>VIS_CC_RightWheel_Valid</t>
  </si>
  <si>
    <t>Establishes validity of the VIS_CC_RightWheel signal.</t>
  </si>
  <si>
    <t>VIS_CC_RightWheel</t>
  </si>
  <si>
    <t>Distance from main camera to right wheel. Use this in conjunction with leftWheel to populate the distance to center of vehicle.</t>
  </si>
  <si>
    <t>VIS_CC_RefPX_Front_Bumper_Valid</t>
  </si>
  <si>
    <t>Establishes validity of the VIS_CC_RefPX_Front_Bumper signal.</t>
  </si>
  <si>
    <t>VIS_CC_RefPX_Front_Bumper</t>
  </si>
  <si>
    <t xml:space="preserve">Set to the distance offset from camera to front bumper
</t>
  </si>
  <si>
    <t>[0, 2.55]
INFINITY = INVALID</t>
  </si>
  <si>
    <t>VIS_CC_CamToFrontAxle_Valid</t>
  </si>
  <si>
    <t>Establishes validity of the VIS_CC_CamToFrontAxle signal.</t>
  </si>
  <si>
    <t>VIS_CC_CamToFrontAxle</t>
  </si>
  <si>
    <t>Longitudinal distance from the camera to the front axle.</t>
  </si>
  <si>
    <t>[-3, 3]
INFINITY = INVALID</t>
  </si>
  <si>
    <t>VIS_CC_CamToRearAxle_Valid</t>
  </si>
  <si>
    <t>Establishes validity of the VIS_CC_CamToRearAxle signal.</t>
  </si>
  <si>
    <t>VIS_CC_CamToRearAxle</t>
  </si>
  <si>
    <t xml:space="preserve">Longitudinal distance from the camera to the rear axle.
</t>
  </si>
  <si>
    <t>[-15, 0]
INFINITY = INVALID</t>
  </si>
  <si>
    <t>VIS_CC_FixedGpsLatency_Valid</t>
  </si>
  <si>
    <t>Establishes validity of the VIS_CC_fixedGpsLatency signal.</t>
  </si>
  <si>
    <t>VIS_CC_FixedGpsLatency</t>
  </si>
  <si>
    <t>Indicates the GPS latency (fixed)</t>
  </si>
  <si>
    <t>ms</t>
  </si>
  <si>
    <t>[0, 1000]
65535 = INVALID</t>
  </si>
  <si>
    <t>uint16</t>
  </si>
  <si>
    <t>VIS_CC_ReceiverFrequency_Valid</t>
  </si>
  <si>
    <t>Establishes validity of the VIS_CC_receiverFrequency signal.</t>
  </si>
  <si>
    <t>VIS_CC_ReceiverFrequency</t>
  </si>
  <si>
    <t>Indicates the GPS samples interval in second</t>
  </si>
  <si>
    <t>s</t>
  </si>
  <si>
    <t>[0, 1]
INFINITY = INVALID</t>
  </si>
  <si>
    <t>Initial version, derived from:
*VPF logging requirements
*CV supplier Camera_Init protocol version 8
*CV supplier Environment_Init version 9</t>
  </si>
  <si>
    <t>Peer-reviewed, issues reported.</t>
  </si>
  <si>
    <t>Updates done as per peer review</t>
  </si>
  <si>
    <t>Karolina Woźniak</t>
  </si>
  <si>
    <t>Delta peer-reviewed, issues reported.</t>
  </si>
  <si>
    <t xml:space="preserve">Corrected value for VIS_CC_Bottom_Crop </t>
  </si>
  <si>
    <t>Changed double64 to float64
Changed INFINITY*2 to INFINITY_DOUBLE
Corrected Max, Value and Default for a number of signals.
Removed INVALID value for camera sensor ID signals as they can have full range of signal. There is valid signal to signal if signal is invalid.
Added CV protocol version signal</t>
  </si>
  <si>
    <t>Delta peer-reviewed, no issues found.</t>
  </si>
  <si>
    <t>Removed pictures and links to documents at CV supplier.</t>
  </si>
  <si>
    <t>0.6</t>
  </si>
  <si>
    <t>Changed VIS_CC_Top_Crop, VIS_CC_Bottom_Crop, VIS_CC_Left_Crop and VIS_CC_Right_Crop to be represented as angles instead of pixles, updated description to match and explain direction. Updated min values and ranges to reflect possible directions of angles per signal</t>
  </si>
  <si>
    <t>0.7</t>
  </si>
  <si>
    <t>renamed all "crop" to "angle" VIS_CC_Top_Angle_Valid, VIS_CC_Top_Angle, VIS_CC_Bottom_Angle_Valid, VIS_CC_Bottom_Angle, VIS_CC_Left_Angle_Valid, VIS_CC_Left_Angle, VIS_CC_Right_Angle_Valid, VIS_CC_Right_Angle. Corrected description accordingly for validity flags.</t>
  </si>
  <si>
    <t>Approved, referring to Cross-FCN_Definitions version 3</t>
  </si>
  <si>
    <t>Approved, referring to Cross-FCN_Definitions version 4</t>
  </si>
  <si>
    <t>Approved, referring to Cross-FCN_Definitions version 5</t>
  </si>
  <si>
    <t>10</t>
  </si>
  <si>
    <t>SAE J670 Z-down coordinate system:
Translation &amp; Orientation:
X-axis is pointing in the direction of the vehicle 
Y-axis is pointing to the right of the vehicle
Z-axis is pointing down
Yaw –  rotation around Z-axis - positive to the right
Pitch –  rotation around Y-axis - positive up
Roll –  rotation around X-axis - positive when leaning right</t>
  </si>
  <si>
    <t>Gen4: 1/36
Gen6: 1/20 
Gen7:TBD</t>
  </si>
  <si>
    <t>VIS_CIN_Header_CRC</t>
  </si>
  <si>
    <t xml:space="preserve">Calculated over all header signals. From the signal after the CRC until the last signal in the message
</t>
  </si>
  <si>
    <t>VIS_Car_Sensor.Header</t>
  </si>
  <si>
    <t>VIS_CIN_APTIV_Protocol_Version</t>
  </si>
  <si>
    <t>Aptiv Vision Interface version</t>
  </si>
  <si>
    <t>VIS_CIN_Protocol_Version</t>
  </si>
  <si>
    <t>Computer Vision Protocol version</t>
  </si>
  <si>
    <t>VIS_CIN_MCU_Sync_Timestamp_us</t>
  </si>
  <si>
    <t>MCU local clock timestamp at the moment clock sync occurred.</t>
  </si>
  <si>
    <t>timestamp_us_t</t>
  </si>
  <si>
    <t>VIS_CIN_MCU_Sync_Timestamp_us_Valid</t>
  </si>
  <si>
    <t>Validity for VIS_CIN_MCU_Sync_Timestamp_us signal</t>
  </si>
  <si>
    <t>VIS_CIN_MCU_Toggle_Count</t>
  </si>
  <si>
    <t>When MCU reports CIN_MCU_Sync_Timestamp, it should also report this new value for the running counter representing this toggle</t>
  </si>
  <si>
    <t>[0, 4294967295]</t>
  </si>
  <si>
    <t>uint32</t>
  </si>
  <si>
    <t>VIS_CIN_Vehicle_Speed</t>
  </si>
  <si>
    <t>Actual absolute vehicle speed. In case the vehicle driving direction is backwards then provide the absolute vehicle speed in this signal and use CIN_Reverse_Indicator signals to indicate the reverse direction.</t>
  </si>
  <si>
    <t>m/s</t>
  </si>
  <si>
    <t>[0,97.22]
INFINITY=INVALID</t>
  </si>
  <si>
    <t>VIS_CIN_Vehicle_Speed_Valid</t>
  </si>
  <si>
    <t>Validity for VIS_CIN_Vehicle_Speed signal</t>
  </si>
  <si>
    <t>VIS_CIN_Reverse_Indicator</t>
  </si>
  <si>
    <t>Indicates gear is set to reverse mode or the vehicle is moving in the reverse direction</t>
  </si>
  <si>
    <t>ENUM:
0=FORWARD
1=REVERSE</t>
  </si>
  <si>
    <t>VIS_CIN_Reverse_Indicator_Valid</t>
  </si>
  <si>
    <t>Validity for VIS_CIN_Reverse_Indicator signal</t>
  </si>
  <si>
    <t>VIS_CIN_VSpeed_HiPrecision</t>
  </si>
  <si>
    <t>Hi precision speed signal odometry speed</t>
  </si>
  <si>
    <t>VIS_CIN_VSpeed_HiPrecision_Valid</t>
  </si>
  <si>
    <t>Validity for VIS_CIN_VSpeed_HiPrecision signal</t>
  </si>
  <si>
    <t>ENUM:
0=NOT_AVAILABLE
1=SIGNAL_NOT_IN_SPEC
2=SIGNAL_OK</t>
  </si>
  <si>
    <t>VIS_CIN_Vehicle_Display_Speed</t>
  </si>
  <si>
    <t>Display vehicle speed from cluster.</t>
  </si>
  <si>
    <t>VIS_CIN_Vehicle_Display_Speed_Valid</t>
  </si>
  <si>
    <t>Validity for VIS_CIN_Vehicle_Display_Speed signal</t>
  </si>
  <si>
    <t>VIS_CIN_StandStill</t>
  </si>
  <si>
    <t>Indication of the vehicle being completely stationary</t>
  </si>
  <si>
    <t>0=FALSE
1=TRUE</t>
  </si>
  <si>
    <t>bool8</t>
  </si>
  <si>
    <t>VIS_CIN_StandStill_Valid</t>
  </si>
  <si>
    <t>Validity for VIS_CIN_StandStill signal</t>
  </si>
  <si>
    <t>VIS_CIN_Parking_Gear_Indicator</t>
  </si>
  <si>
    <t>Indicates gear is set to parking mode or the vehicle is at non-movable condition</t>
  </si>
  <si>
    <t>0=NON_PARKING_MODE
1=PARKING_MODE</t>
  </si>
  <si>
    <t>VIS_CIN_Parking_Gear_Indicator_Valid</t>
  </si>
  <si>
    <t>Establishes validity of parking gear indicator</t>
  </si>
  <si>
    <t>VIS_CIN_Vehicle_YawRate</t>
  </si>
  <si>
    <t>Yaw rate. Positive on right turn</t>
  </si>
  <si>
    <t>rad/s</t>
  </si>
  <si>
    <t>[-2.234, 2.2329]
INFINITY=INVALID</t>
  </si>
  <si>
    <t>VIS_CIN_Vehicle_YawRate_Valid</t>
  </si>
  <si>
    <t>Validity for VIS_CIN_Vehicle_YawRate signal</t>
  </si>
  <si>
    <t>VIS_CIN_Long_Accel</t>
  </si>
  <si>
    <t>Longitudinal Acceleration / Deceleration Rate. Preferably hill compensated</t>
  </si>
  <si>
    <t>m/s^2</t>
  </si>
  <si>
    <t>[-15, 10]
INFINITY=INVALID</t>
  </si>
  <si>
    <t>VIS_CIN_Long_Accel_Valid</t>
  </si>
  <si>
    <t>Validity for VIS_CIN_Long_Accel signal</t>
  </si>
  <si>
    <t>VIS_CIN_Lat_Accel</t>
  </si>
  <si>
    <t>Lateral acceleration. Positive to the right</t>
  </si>
  <si>
    <t>[-15.687,15.687]
INFINITY=INVALID</t>
  </si>
  <si>
    <t>VIS_CIN_Lat_Accel_Valid</t>
  </si>
  <si>
    <t>Validity for VIS_CIN_Lat_Accel signal</t>
  </si>
  <si>
    <t>VIS_CIN_Vertical_Accel</t>
  </si>
  <si>
    <t>IMU measurement of the vertical  acceleration. Positive is down</t>
  </si>
  <si>
    <t>-6,55</t>
  </si>
  <si>
    <t>[-6,55,6.55]
INFINITY=INVALID</t>
  </si>
  <si>
    <t>VIS_CIN_Vertical_Accel_Valid</t>
  </si>
  <si>
    <t>Validity for VIS_CIN_Vertical_Accel signal</t>
  </si>
  <si>
    <t>VIS_CIN_PitchRate</t>
  </si>
  <si>
    <t>Vehicle pitch rate. Indicates the change derivative of pitch in time.</t>
  </si>
  <si>
    <t>VIS_CIN_PitchRate_Valid</t>
  </si>
  <si>
    <t>Validity for VIS_CIN_PitchRate signal</t>
  </si>
  <si>
    <t>VIS_CIN_RollRate</t>
  </si>
  <si>
    <t>Vehicle roll rate. Indicates the change derivative of roll in time.</t>
  </si>
  <si>
    <t>VIS_CIN_RollRate_Valid</t>
  </si>
  <si>
    <t>Validity for VIS_CIN_RollRate signal</t>
  </si>
  <si>
    <t>VIS_CIN_Steering_Wheel_Angle</t>
  </si>
  <si>
    <t>Angle of the steering wheel. Angle to the right is positive</t>
  </si>
  <si>
    <t>[-35.74,35.74]
INFINITY=INVALID</t>
  </si>
  <si>
    <t>VIS_CIN_Steering_Wheel_Angle_Valid</t>
  </si>
  <si>
    <t>Establishes validity of the VIS_CIN_Steering_Wheel_Angle signal</t>
  </si>
  <si>
    <t>VIS_CIN_Steering_Wheel_Angle_Speed</t>
  </si>
  <si>
    <t>The signal indicated the speed of the steering wheel change</t>
  </si>
  <si>
    <t>[-6.2832,6.2832]
INFINITY=INVALID</t>
  </si>
  <si>
    <t>VIS_CIN_Steering_Wheel_Angle_Speed_Valid</t>
  </si>
  <si>
    <t>Validity of the VIS_CIN_Steering_Wheel_Angle_Speed input signal</t>
  </si>
  <si>
    <t>VIS_CIN_FrontWheelsAngle</t>
  </si>
  <si>
    <t>Indicates the effective angle of the front wheels relative to the body direction. Right side is positive.</t>
  </si>
  <si>
    <t>-1,57</t>
  </si>
  <si>
    <t>[-1.57,1.57]
INFINITY=INVALID</t>
  </si>
  <si>
    <t>VIS_CIN_FrontWheelsAngle_Valid</t>
  </si>
  <si>
    <t>Establishes validity of VIS_CIN_FrontWheelsAngle</t>
  </si>
  <si>
    <t>VIS_CIN_Effective_Steer_Axle_Angle</t>
  </si>
  <si>
    <t>Indicates the effective steering angle of the car wheels direction, considering front wheels and rear axle steering. When turning to the right, this signal should be positive.</t>
  </si>
  <si>
    <t>VIS_CIN_Effective_Steer_Axle_Angle_Valid</t>
  </si>
  <si>
    <t>Establishes validity of VIS_CIN_Effective_Steer_Axle_Angle</t>
  </si>
  <si>
    <t>VIS_CIN_Accel_Pedal_Position</t>
  </si>
  <si>
    <t>Accelerator pedal position</t>
  </si>
  <si>
    <t>percent</t>
  </si>
  <si>
    <t>[0,100]
INFINITY=INVALID</t>
  </si>
  <si>
    <t>VIS_CIN_Accel_Pedal_Position_Valid</t>
  </si>
  <si>
    <t>Establishes validity of the VIS_CIN_Accel_Pedal_Position signal</t>
  </si>
  <si>
    <t>VIS_CIN_Brake_Pedal_Pressed</t>
  </si>
  <si>
    <t>Indicates whether the pedal is pressed (enum)</t>
  </si>
  <si>
    <t>VIS_CIN_Brake_Pedal_Pressed_Valid</t>
  </si>
  <si>
    <t>Establishes the validity of the VIS_CIN_Brake_Pedal_Pressed signal</t>
  </si>
  <si>
    <t>VIS_CIN_Brake_Pedal_Position</t>
  </si>
  <si>
    <t>VIS_CIN_Brake_Pedal_Position input signal shall indicate the percentage of the brake pedal pressed by the driver</t>
  </si>
  <si>
    <t>VIS_CIN_Brake_Pedal_Position_Valid</t>
  </si>
  <si>
    <t>Validity bit of the VIS_CIN_Brake_Pedal_Position signal</t>
  </si>
  <si>
    <t>VIS_CIN_Brake_Pedal_PositionRate</t>
  </si>
  <si>
    <t xml:space="preserve">VIS_CIN_Brake_Pedal_PositionRate input signal shall indicate the speed of the brake pedal pressure change in the percentage per sec  (meaning how fast the pedal is pressed). </t>
  </si>
  <si>
    <t>percent/s</t>
  </si>
  <si>
    <t>[-1000,1000]
INFINITY=INVALID</t>
  </si>
  <si>
    <t>VIS_CIN_Brake_Pedal_PositionRate_Valid</t>
  </si>
  <si>
    <t>Validity bit of the VIS_CIN_Brake_Pedal_PositionRate signal</t>
  </si>
  <si>
    <t>VIS_CIN_Turn_Switch_Status</t>
  </si>
  <si>
    <t>Status of turning indicators</t>
  </si>
  <si>
    <t>ENUM:
0=INACTIVE
1=LEFT
2=RIGHT
3=HAZARD</t>
  </si>
  <si>
    <t>VIS_CIN_High_Beam_Active</t>
  </si>
  <si>
    <t>Indicates the status of the High Beam lights - True means high lights are on. Any other case will be False</t>
  </si>
  <si>
    <t>VIS_CIN_Fog_Light_Active</t>
  </si>
  <si>
    <t>Are fog lights active</t>
  </si>
  <si>
    <t>VIS_CIN_Wiper_Status</t>
  </si>
  <si>
    <t>How fast wiper is moving
0=OFF
1=ON (LOW)
2=ON (MEDIUM)
3=ON (HIGH)
4=ON (SINGLE WIPE)</t>
  </si>
  <si>
    <t>ENUM:
0=OFF
1=LOW
2=MEDIUM
3=HIGH
4=SINGLE_WIPE</t>
  </si>
  <si>
    <t>VIS_CIN_Wiper_Status_Valid</t>
  </si>
  <si>
    <t>establishes validity of VIS_CIN_Wiper_Status signal</t>
  </si>
  <si>
    <t>VIS_CIN_gpsCountryCode_Capital</t>
  </si>
  <si>
    <t>CIN_gpsCountryCode_Capital indicates if the country code sent using ISO 3166 alpha-2. When set to 1=CAPITAL the Char in the CIN_gpsCountryCode_FirstChar and CIN_gpsCountryCode_SecondChar will have the first and second chars.  For USA states use 2=NON_CAPITAL</t>
  </si>
  <si>
    <t>ENUM:
0=NOT_SET
1=CAPITAL
2=NON_CAPITAL</t>
  </si>
  <si>
    <t>VIS_CIN_gpsCountryCode_FirstChar</t>
  </si>
  <si>
    <t xml:space="preserve"> ISO 3166 alpha-2 Country Code first character</t>
  </si>
  <si>
    <t>ENUM:
0=NONE
1=A
2=B
3=C
4=D
5=E
6=F
7=G
8=H
9=I
10=J
11=K
12=L
13=M
14=N
15=O
16=P
17=Q
18=R
19=S
20=T
21=U
22=V
23=W
24=X
25=Y
26=Z</t>
  </si>
  <si>
    <t>VIS_CIN_gpsCountryCode_SecondChar</t>
  </si>
  <si>
    <t xml:space="preserve"> ISO 3166 alpha-2 Country Code second character</t>
  </si>
  <si>
    <t>VIS_CIN_fcaGapSensitivity</t>
  </si>
  <si>
    <t xml:space="preserve">3 level setting used to tailor the non braking component of forward collision for vehicles. </t>
  </si>
  <si>
    <t>gap_sensitivity_level_t</t>
  </si>
  <si>
    <t>VIS_CIN_fcaGapSensitivity_Valid</t>
  </si>
  <si>
    <t>If the VIS_CIN_fcaGapSensitivity is valid</t>
  </si>
  <si>
    <t>VIS_CIN_pcwGapSensitivity</t>
  </si>
  <si>
    <t>3 level setting used to tailor the non braking component of forward collision for pedestrians.</t>
  </si>
  <si>
    <t>VIS_CIN_pcwGapSensitivity_Valid</t>
  </si>
  <si>
    <t>If the VIS_CIN_pcwGapSensitivity is valid</t>
  </si>
  <si>
    <t>VIS_CIN_AEB_Brake_Activated</t>
  </si>
  <si>
    <t>Indicates whether AEB brake is executed by vehicle</t>
  </si>
  <si>
    <t>VIS_CIN_AEB_Brake_Activated_Valid</t>
  </si>
  <si>
    <t>Establishes the validity of the VIS_CIN_AEB_Brake_Activated signal</t>
  </si>
  <si>
    <t>VIS_CIN_AEB_Decel</t>
  </si>
  <si>
    <t>The signal shall indicate the actual deceleration that is applied by the vehicle due to the autonomous braking (and not the driver braking). It shall include all types of autonomous braking (AEB, ACC, etc)</t>
  </si>
  <si>
    <t>[-15,10]
INFINITY=INVALID</t>
  </si>
  <si>
    <t>VIS_CIN_AEB_Decel_Valid</t>
  </si>
  <si>
    <t>Establishes validity of the VIS_CIN_AEB_Decel signal</t>
  </si>
  <si>
    <t>VIS_CIN_ACC_Is_On</t>
  </si>
  <si>
    <t>Indicates whether the ACC (Adaptive Cruise Control) is on</t>
  </si>
  <si>
    <t>VIS_CIN_ACC_Is_On_Valid</t>
  </si>
  <si>
    <t>Establishes the validity of the VIS_CIN_ACC_Is_On signal</t>
  </si>
  <si>
    <t>VIS_CIN_ACC_Status_Available</t>
  </si>
  <si>
    <t>Indicates whether the ACC  (Adaptive Cruise Control) status is available for the driver</t>
  </si>
  <si>
    <t>VIS_CIN_ACC_Status_Available_Valid</t>
  </si>
  <si>
    <t>Establishes the validity of the VIS_CIN_ACC_Status_Available signal</t>
  </si>
  <si>
    <t>VIS_CIN_ACC_Braking</t>
  </si>
  <si>
    <t>Indicates whether the ACC  (Adaptive Cruise Control) is braking the vehicle</t>
  </si>
  <si>
    <t>VIS_CIN_ACC_Braking_Valid</t>
  </si>
  <si>
    <t>Establishes the validity of the VIS_CIN_ACC_Braking signal</t>
  </si>
  <si>
    <t>VIS_CIN_Driver_Awareness</t>
  </si>
  <si>
    <t>Driver awareness - 0 represents lack of awareness while values closer to 1 show higher awareness</t>
  </si>
  <si>
    <t>[0,1]
INFINITY=INVALID</t>
  </si>
  <si>
    <t>VIS_CIN_Driver_Awareness_Valid</t>
  </si>
  <si>
    <t>Establishes the validity of the VIS_CIN_Driver_Awareness signal</t>
  </si>
  <si>
    <t>VIS_CIN_Susp_Height_Delta</t>
  </si>
  <si>
    <t>The change of the camera height due to changes in the height of the vehicle's suspension.</t>
  </si>
  <si>
    <t>[-0.14,0.14]
INFINITY=INVALID</t>
  </si>
  <si>
    <t>VIS_CIN_Susp_Height_Delta_Valid</t>
  </si>
  <si>
    <t>Establishes the validity of the VIS_CIN_Susp_Height_Delta signal</t>
  </si>
  <si>
    <t>VIS_CIN_Susp_Pitch_Delta</t>
  </si>
  <si>
    <t>Delta to the pitch angle caused by active suspension. Up is positive.</t>
  </si>
  <si>
    <t>-0,17</t>
  </si>
  <si>
    <t>[-0.17,0.17]
INFINITY=INVALID</t>
  </si>
  <si>
    <t>VIS_CIN_Susp_Pitch_Delta_Valid</t>
  </si>
  <si>
    <t>Establishes validity of VIS_CIN_Susp_Pitch_Delta</t>
  </si>
  <si>
    <t>VIS_CIN_Susp_Roll_Delta</t>
  </si>
  <si>
    <t>Delta to the roll angle caused by active suspension. Right is positive</t>
  </si>
  <si>
    <t>VIS_CIN_Susp_Roll_Delta_Valid</t>
  </si>
  <si>
    <t>Establishes validity of VIS_CIN_Susp_Roll_Delta</t>
  </si>
  <si>
    <t>VIS_CIN_Susp_FR</t>
  </si>
  <si>
    <t>Delta height to the suspension of the front right wheel</t>
  </si>
  <si>
    <t>-0,4</t>
  </si>
  <si>
    <t>[-0.4,0.4]
INFINITY=INVALID</t>
  </si>
  <si>
    <t>VIS_CIN_Susp_FR_Valid</t>
  </si>
  <si>
    <t>Establishes validity of VIS_CIN_Susp_FR</t>
  </si>
  <si>
    <t>VIS_CIN_Susp_FL</t>
  </si>
  <si>
    <t>Delta height to the suspension of the front left wheel</t>
  </si>
  <si>
    <t>VIS_CIN_Susp_FL_Valid</t>
  </si>
  <si>
    <t>Establishes validity of VIS_CIN_Susp_FL</t>
  </si>
  <si>
    <t>VIS_CIN_Susp_RR</t>
  </si>
  <si>
    <t>Delta height to the suspension of the rear right wheel</t>
  </si>
  <si>
    <t>VIS_CIN_Susp_RR_Valid</t>
  </si>
  <si>
    <t>Establishes validity of VIS_CIN_Susp_RR</t>
  </si>
  <si>
    <t>VIS_CIN_Susp_RL</t>
  </si>
  <si>
    <t>Delta height to the suspension of the rear left wheel</t>
  </si>
  <si>
    <t>VIS_CIN_Susp_RL_Valid</t>
  </si>
  <si>
    <t>Establishes validity of VIS_CIN_Susp_RL</t>
  </si>
  <si>
    <t>VIS_CIN_WheelSpeed_FL</t>
  </si>
  <si>
    <t xml:space="preserve">Wheel speed in rad/s for front left wheel. </t>
  </si>
  <si>
    <t>[-327.6,327.6]
INFINITY=INVALID</t>
  </si>
  <si>
    <t>VIS_CIN_WheelSpeed_FL_Valid</t>
  </si>
  <si>
    <t>Validity of VIS_CIN_WheelSpeed_FL signal</t>
  </si>
  <si>
    <t>ENUM:
0 = INVALID
1= INITIALIZING
2 = UNDER_VOLTAGE
3 = ERROR
4 = VALID</t>
  </si>
  <si>
    <t>VIS_CIN_WheelSpeed_FR</t>
  </si>
  <si>
    <t xml:space="preserve">Wheel speed in rad/s for front right wheel. </t>
  </si>
  <si>
    <t>VIS_CIN_WheelSpeed_FR_Valid</t>
  </si>
  <si>
    <t>Validity of VIS_CIN_WheelSpeed_FR signal</t>
  </si>
  <si>
    <t>VIS_CIN_WheelSpeed_RL</t>
  </si>
  <si>
    <t xml:space="preserve">Wheel speed in rad/s for rear left wheel. </t>
  </si>
  <si>
    <t>VIS_CIN_WheelSpeed_RL_Valid</t>
  </si>
  <si>
    <t>Validity of VIS_CIN_WheelSpeed_RL signal</t>
  </si>
  <si>
    <t>VIS_CIN_WheelSpeed_RR</t>
  </si>
  <si>
    <t xml:space="preserve">Wheel speed in rad/s for rear right wheel. </t>
  </si>
  <si>
    <t>VIS_CIN_WheelSpeed_RR_Valid</t>
  </si>
  <si>
    <t>Validity of VIS_CIN_WheelSpeed_RR signal</t>
  </si>
  <si>
    <t>VIS_CIN_Wheel_Direction_FL</t>
  </si>
  <si>
    <t>Drive direction of front left wheel.</t>
  </si>
  <si>
    <t>ENUM:
0=FORWARD
1=REVERSE
2=INIT
3=INVALID</t>
  </si>
  <si>
    <t>VIS_CIN_Wheel_Direction_FL_Valid</t>
  </si>
  <si>
    <t>Validity of VIS_CIN_Wheel_Direction_FL signal</t>
  </si>
  <si>
    <t>VIS_CIN_Wheel_Direction_FR</t>
  </si>
  <si>
    <t>Drive direction of front right wheel.</t>
  </si>
  <si>
    <t>VIS_CIN_Wheel_Direction_FR_Valid</t>
  </si>
  <si>
    <t>Validity of VIS_CIN_Wheel_Direction_FR signal</t>
  </si>
  <si>
    <t>VIS_CIN_Wheel_Direction_RL</t>
  </si>
  <si>
    <t>Drive direction of rear left wheel.</t>
  </si>
  <si>
    <t>VIS_CIN_Wheel_Direction_RL_Valid</t>
  </si>
  <si>
    <t>Validity of VIS_CIN_Wheel_Direction_RL signal</t>
  </si>
  <si>
    <t>VIS_CIN_Wheel_Direction_RR</t>
  </si>
  <si>
    <t>Drive direction of rear right wheel.</t>
  </si>
  <si>
    <t>VIS_CIN_Wheel_Direction_RR_Valid</t>
  </si>
  <si>
    <t>Validity of VIS_CIN_Wheel_Direction_RR signal</t>
  </si>
  <si>
    <t>VIS_CIN_WheelTicks_FL</t>
  </si>
  <si>
    <t>Wheel tick number of front left wheel. Appropriate timestamp is mandatory if this signal is used.</t>
  </si>
  <si>
    <t>[0,1000]
65535=INVALID</t>
  </si>
  <si>
    <t>VIS_CIN_WheelTicks_FL_Valid</t>
  </si>
  <si>
    <t>Validator for VIS_CIN_WheelTicks_FL</t>
  </si>
  <si>
    <t>VIS_CIN_WheelTicks_FR</t>
  </si>
  <si>
    <t>Wheel tick number of front right wheel. Appropriate timestamp is mandatory if this signal is used.</t>
  </si>
  <si>
    <t>VIS_CIN_WheelTicks_FR_Valid</t>
  </si>
  <si>
    <t>Validator for VIS_CIN_WheelTicks_FR</t>
  </si>
  <si>
    <t>VIS_CIN_WheelTicks_RL</t>
  </si>
  <si>
    <t>Wheel tick number of rear left wheel.  Appropriate timestamp is mandatory if this signal is used.</t>
  </si>
  <si>
    <t>VIS_CIN_WheelTicks_RL_Valid</t>
  </si>
  <si>
    <t>Validator for VIS_CIN_WheelTicks_RL</t>
  </si>
  <si>
    <t>VIS_CIN_WheelTicks_RR</t>
  </si>
  <si>
    <t>Wheel tick number of rear right wheel. Appropriate timestamp is mandatory if this signal is used.</t>
  </si>
  <si>
    <t>VIS_CIN_WheelTicks_RR_Valid</t>
  </si>
  <si>
    <t>Validator for VIS_CIN_WheelTicks_RR</t>
  </si>
  <si>
    <t>VIS_CIN_WheelTicks_timestamp_FL_us</t>
  </si>
  <si>
    <t>The timestamp in microseconds of the moment the last tick was sampled</t>
  </si>
  <si>
    <t>us</t>
  </si>
  <si>
    <t> [0,4294967295]</t>
  </si>
  <si>
    <t>VIS_CIN_WheelTicks_timestamp_FL_us_Valid</t>
  </si>
  <si>
    <t>Validator for VIS_CIN_WheelTicks_timestamp_FL_us</t>
  </si>
  <si>
    <t>VIS_CIN_WheelTicks_timestamp_FR_us</t>
  </si>
  <si>
    <t>VIS_CIN_WheelTicks_timestamp_FR_us_Valid</t>
  </si>
  <si>
    <t>Validator for VIS_CIN_WheelTicks_timestamp_FR_us</t>
  </si>
  <si>
    <t>VIS_CIN_WheelTicks_timestamp_RL_us</t>
  </si>
  <si>
    <t>VIS_CIN_WheelTicks_timestamp_RL_us_Valid</t>
  </si>
  <si>
    <t>Validator for VIS_CIN_WheelTicks_timestamp_RL_us</t>
  </si>
  <si>
    <t>VIS_CIN_WheelTicks_timestamp_RR_us</t>
  </si>
  <si>
    <t>VIS_CIN_WheelTicks_timestamp_RR_us_Valid</t>
  </si>
  <si>
    <t>Validator for VIS_CIN_WheelTicks_timestamp_RR_us</t>
  </si>
  <si>
    <t>VIS_CIN_Tire_Pressure_Psi_FL</t>
  </si>
  <si>
    <t>Actual Tire Pressure in PSI for front left wheel.</t>
  </si>
  <si>
    <t>PSI</t>
  </si>
  <si>
    <t>[0,63]
255=INVALID</t>
  </si>
  <si>
    <t>VIS_CIN_Tire_Pressure_Psi_FL_Valid</t>
  </si>
  <si>
    <t>Validity for Actual Tire Pressure in PSI for front left wheel.</t>
  </si>
  <si>
    <t>VIS_CIN_Tire_Pressure_Psi_FR</t>
  </si>
  <si>
    <t>Actual Tire Pressure in PSI for front right wheel.</t>
  </si>
  <si>
    <t>VIS_CIN_Tire_Pressure_Psi_FR_Valid</t>
  </si>
  <si>
    <t>Validity for Actual Tire Pressure in PSI for front right wheel.</t>
  </si>
  <si>
    <t>VIS_CIN_Tire_Pressure_Psi_RL</t>
  </si>
  <si>
    <t>Actual Tire Pressure in PSI for rear left wheel.</t>
  </si>
  <si>
    <t>VIS_CIN_Tire_Pressure_Psi_RL_Valid</t>
  </si>
  <si>
    <t>Validity for Actual Tire Pressure in PSI for rear left wheel.</t>
  </si>
  <si>
    <t>VIS_CIN_Tire_Pressure_Psi_RR</t>
  </si>
  <si>
    <t>Actual Tire Pressure in PSI for rear right wheel.</t>
  </si>
  <si>
    <t>VIS_CIN_Tire_Pressure_Psi_RR_Valid</t>
  </si>
  <si>
    <t>Validity for Actual Tire Pressure in PSI for rear right wheel.</t>
  </si>
  <si>
    <t>VIS_CIN_Ambient_Light_Level</t>
  </si>
  <si>
    <t>Used to communicate the level of ambient light using external sensors</t>
  </si>
  <si>
    <t>lux</t>
  </si>
  <si>
    <t>[0,16000]
65535=INVALID</t>
  </si>
  <si>
    <t>VIS_CIN_Ambient_Light_Level_Valid</t>
  </si>
  <si>
    <t xml:space="preserve">Validity for AmbientLightLevel signal </t>
  </si>
  <si>
    <t>VIS_CIN_External_Temp_degC</t>
  </si>
  <si>
    <t>External temperature in degrees Celsius</t>
  </si>
  <si>
    <t>deg C</t>
  </si>
  <si>
    <t>[-50,70]
INFINITY=INVALID</t>
  </si>
  <si>
    <t>VIS_CIN_External_Temp_degC_Valid</t>
  </si>
  <si>
    <t xml:space="preserve">Validity for external temperature </t>
  </si>
  <si>
    <t>VIS_CIN_SPC_Trigger</t>
  </si>
  <si>
    <t>When this signal is 0 the SPC runs as usual. When the signal is triggered to 1, SPC restarts its calculations. SPC is paused as long as the signal is 1, will restart the calculation once the signal returns from 1 to 0.</t>
  </si>
  <si>
    <t>VIS_CIN_SPC_Trigger_Valid</t>
  </si>
  <si>
    <t>Establishes the validity of the VIS_CIN_SPC_Trigger signal</t>
  </si>
  <si>
    <t>VIS_CIN_Movable_Parts_Unlocked</t>
  </si>
  <si>
    <t>This signal indicates whether one or many movable parts which have cameras mounted on them are in an unlocked position. Movable parts can be mirrors, doors, trunk etc.
True - at least one unlocked part, causes cam2cam calibration to pause. False - all parts are locked, cam2cam works as usual.</t>
  </si>
  <si>
    <t>VIS_CIN_Movable_Parts_Unlocked_Valid</t>
  </si>
  <si>
    <t>Establishes the validity of the VIS_CIN_Movable_Parts_Unlocked</t>
  </si>
  <si>
    <t>VIS_CIN_State_Autonomous_Driving_Valid</t>
  </si>
  <si>
    <t>Establishes the validity of the VIS_CIN_State_Autonomous_Driving signal.</t>
  </si>
  <si>
    <t>VIS_CIN_State_Autonomous_Driving</t>
  </si>
  <si>
    <t>Indicates the status of the Autonomous Driving Pilot function.</t>
  </si>
  <si>
    <t>ENUM:
0=OFF
1=INIT
2=READY
3=PREACTIVE
4=ACTIVE
255=INVALID</t>
  </si>
  <si>
    <t>VIS_CIN_Reduced_Sense_Force_Activation_Valid</t>
  </si>
  <si>
    <t>Establishes the validity of the  VIS_Reduce_Sense_Force_Activation signal</t>
  </si>
  <si>
    <t>VIS_CIN_Reduced_Sense_Force_Activation</t>
  </si>
  <si>
    <t>Enables the reduced sensitivity for lights needed for regulation testing in US</t>
  </si>
  <si>
    <t>First draft</t>
  </si>
  <si>
    <t>1.0</t>
  </si>
  <si>
    <t>Added default values</t>
  </si>
  <si>
    <t>*Corrected datatypes according to convention
*Added formula for calculation of size</t>
  </si>
  <si>
    <t>Nicolina Eklund</t>
  </si>
  <si>
    <t>*Added information about revision number in C1-L1
*Added column AB (Safety)</t>
  </si>
  <si>
    <t>Agnieszka Makuszynska</t>
  </si>
  <si>
    <t>Updated from CV supplier interface ver  9.2 to  ver 15.0</t>
  </si>
  <si>
    <t>Released as part of AVI V3</t>
  </si>
  <si>
    <t>*VIS_CIN_APTIV_Protocol_Version DataType changed from uint8 to uint16.
*VIS_CIN_APTIV_Protocol_Version Size changed from 8 to 16.
*VIS_CIN_APTIV_Protocol_Version Max changed from 255 to 65535.</t>
  </si>
  <si>
    <t>3.2</t>
  </si>
  <si>
    <t>Updated protocol to have coordinate system SAE J670 Z-down instead of ISO8855.
Changed to use predefined types for CRC and Protocol version
CP updated to 18.4. No change needed.</t>
  </si>
  <si>
    <t>Introduced is_valid_t for all valid signals.
Updated ENUM to follow new rules
Updated boolean signals to be type bool8 and unit NA.
CP updated to 22.6. 4 new signal + valid signals added. No change to existing signals.
Updated structure convention so that header is a subelement</t>
  </si>
  <si>
    <t>Vehicle code removed as never used by Aptiv
Updated all signal to include CIN in name.
Aligned naming of pedal related signals</t>
  </si>
  <si>
    <t>Reordered signals to group together related signals.
Renamed valid-signals to follow rule Signal_Valid
Updated description of valid signals to have correct AVI signal names</t>
  </si>
  <si>
    <t>Peer-reviewed, issued reported</t>
  </si>
  <si>
    <t>Tommy Iseback</t>
  </si>
  <si>
    <t>3.6</t>
  </si>
  <si>
    <t>Corrected signal names that are not in SI units to include the unit in the name, e.g. "_us" for micro second signals, and "_degC" for degrees Celsius signal
Removed VIS_CIN_Sync_Frame_Index as this should be generated when sending messages and not needs to be provided to AVI.
Added negative values for VIS_CIN_Steering_Wheel_Angle_Speed and VIS_CIN_Brake_Pedal_Pressure_Rate
Changed signal name VIS_CIN_Vehicle_Yaw to VIS_CIN_Vehicle_YawRate and corresponding validator signal.
Changed signal name VIS_CIN_AEB_Pressure to VIS_CIN_AEB_Decel and corresponding validator signal.
Kept only one of the signals VIS_CIN_Brake_Pedal_Position and VIS_CIN_Brake_Pedal_Pressure as they according to description is same. Kept VIS_CIN_Brake_Pedal_Position.
Renamed VIS_CIN_Brake_Pedal_Pressure_Rate to VIS_CIN_Brake_Pedal_PositionRate
Clarified sign of Vertical Acceleration signal</t>
  </si>
  <si>
    <t>3.7</t>
  </si>
  <si>
    <t>Manually fixed SIZE for structs and types</t>
  </si>
  <si>
    <t>Peer-reviewed only Size, no issue found.</t>
  </si>
  <si>
    <t>Approved, referring to Cross-FCN_Definitions version 1</t>
  </si>
  <si>
    <t>Released as part of AVI V4</t>
  </si>
  <si>
    <t>Approved, referring to Cross-FCN_Definitions version 2</t>
  </si>
  <si>
    <t>Released as part of AVI V5</t>
  </si>
  <si>
    <t>Added column "ASIL Compliance"
Added Periodicity (placeholder) in the header of the sheet</t>
  </si>
  <si>
    <t>4.2</t>
  </si>
  <si>
    <t>Added VIS_CIN_State_Autonomous_Driving &amp; VIS_CIN_State_Autonomous_Driving_Valid signals.
Added Periodicity.
Added ASIL values.</t>
  </si>
  <si>
    <t>Delta review done. Issues reported.</t>
  </si>
  <si>
    <t>4.3</t>
  </si>
  <si>
    <t>Size in G1 updated to 1992</t>
  </si>
  <si>
    <t>Delta review done. NO issues found.</t>
  </si>
  <si>
    <t>4.4</t>
  </si>
  <si>
    <t>Changed type from uint8 to gap_sensitivity_level_t for VIS_CIN_fcaGapSensitivity and VIS_CIN_pcwGapSensitivity.</t>
  </si>
  <si>
    <t>4.5</t>
  </si>
  <si>
    <t>Updated periodicity cell - Gen5 removed, Gen7 added</t>
  </si>
  <si>
    <t>Delta review v.4.5 done, no issues found.</t>
  </si>
  <si>
    <t>Added signal VIS_CIN_Reduced_Sense_Force_Activation and corresponding valid flag. This signal is needed in regulation testing in US.</t>
  </si>
  <si>
    <t>5.2</t>
  </si>
  <si>
    <t>Changed unit for VIS_CIN_Driver_Awareness from percent to NA</t>
  </si>
  <si>
    <t>Delta peer reviewed. No issues found.</t>
  </si>
  <si>
    <t>Added new signals:
VIS_CIN_Parking_Gear_Indicator
VIS_CIN_Parking_Gear_Indicator_Valid
VIS_CIN_MCU_Toggle_Count 
Updated value column for signals with empty cells.</t>
  </si>
  <si>
    <t>Peer review done, no issues.</t>
  </si>
  <si>
    <t>Updated ASIL B signal level to match file provided by Lokesh
Thunder_High_CP3_CORE_PROTOCOL_ASIL.xlsx
Following signals changed from QM-&gt;ASIL B
VIS_CIN_Parking_Gear_Indicator
VIS_CIN_Brake_Pedal_Pressed
VIS_CIN_ACC_Braking</t>
  </si>
  <si>
    <t>9</t>
  </si>
  <si>
    <t xml:space="preserve">9.1 </t>
  </si>
  <si>
    <t>Gen4: 1/18
Gen6: 1/20
Gen7:TBD</t>
  </si>
  <si>
    <t>VIS_COM_Common_Header</t>
  </si>
  <si>
    <t>It represents common data with all properties.</t>
  </si>
  <si>
    <t>VIS_COM.Header</t>
  </si>
  <si>
    <t>VIS_COM_DayTime_Indicator</t>
  </si>
  <si>
    <t xml:space="preserve">Daytime indicatior </t>
  </si>
  <si>
    <t>day_time_indicator_t</t>
  </si>
  <si>
    <t>VIS_COM_Road_Type</t>
  </si>
  <si>
    <t>It indicates road type based on scene understanding.</t>
  </si>
  <si>
    <t>road_type_t</t>
  </si>
  <si>
    <t>VIS_COM_Region_Code</t>
  </si>
  <si>
    <t>Region code required for sign accuracy</t>
  </si>
  <si>
    <t>region_code_t</t>
  </si>
  <si>
    <t>VIS_COM_Driving_Side</t>
  </si>
  <si>
    <t>Indicates driving side</t>
  </si>
  <si>
    <t>driving_side_t</t>
  </si>
  <si>
    <t>VIS_COM_Is_HighSpeed_Road</t>
  </si>
  <si>
    <t>TSR Responsibility: If detected, highway semantics and high driving speed signal will be set to true</t>
  </si>
  <si>
    <t>is_highspeed_road_t</t>
  </si>
  <si>
    <t>VIS_COM_CV_SW_Version_Major</t>
  </si>
  <si>
    <t>Indicates Computer Vision SW major version number.</t>
  </si>
  <si>
    <t>VIS_COM_CV_SW_Version_Minor</t>
  </si>
  <si>
    <t>Indicates Computer Vision SW minor version number.</t>
  </si>
  <si>
    <t>VIS_COM_CV_Supplier</t>
  </si>
  <si>
    <t>It indicates the supplier of Computer Vision SW.</t>
  </si>
  <si>
    <t>cv_supplier_t</t>
  </si>
  <si>
    <t>VIS_COM_Mapping_Version</t>
  </si>
  <si>
    <t>It indicates version of mapping instructions implemented.</t>
  </si>
  <si>
    <t>VIS_COM_Frame_MCU_TS_Start_Slow</t>
  </si>
  <si>
    <t>Timestamp of the start exposure of the slow processing technologies expressed in MCU time system in us.</t>
  </si>
  <si>
    <t>VIS_COM_Last_MCU_Sync_TS</t>
  </si>
  <si>
    <t>Feedback of last clock sync timestamp sent to CV SW from MCU in us.</t>
  </si>
  <si>
    <t xml:space="preserve">ASIL B </t>
  </si>
  <si>
    <t>VIS_COM_Received_TS</t>
  </si>
  <si>
    <t>Timestamp of the reception of CV message, expressed in MCU time system in us.</t>
  </si>
  <si>
    <t>VIS_COM_Toggle_Num</t>
  </si>
  <si>
    <t>number of GPIO toggles EQ has performed so far</t>
  </si>
  <si>
    <t>VIS_COM_Time_Sync_2_Status</t>
  </si>
  <si>
    <t>TS2 status</t>
  </si>
  <si>
    <t>ENUM:
0=TS_INACTIVE
1=TS_ACTIVE
10=NO_HOST_TIME
11=READ_BEFORE_TOGGLE
12=GIC_TIME_ERROR
13=READ_DEVICE_FAILED
14=DELTA_RESPONSE
200=GENERAL_ERROR
202=INIT_ERROR
203=E_TIMER_DEVICE_CANNOT_OPEN
204=E_TIMER_NOT_INIT
255=MAX_ISR_DELTA</t>
  </si>
  <si>
    <t>*Initial version</t>
  </si>
  <si>
    <t>*VIS_COM_APTIV_Protocol_Version DataType changed from uint8 to uint16.
*VIS_COM_APTIV_Protocol_Version Size changed from 8 to 16.
*VIS_COM_APTIV_Protocol_Version Max changed from 255 to 65535.</t>
  </si>
  <si>
    <t>* Added VIS_COM_Common_Header and removed: VIS_COM_Header_CRC, VIS_COM_APTIV_Protocol_Version, VIS_COM_Frame_MCU_TS_Start, VIS_COM_Timestamp_ms, VIS_COM_CV_SoC_Frame_ID, VIS_COM_Cam_Frame_ID, VIS_COM_Protocol_Version.
*Removed VIS_COM_CV_SoC_API_Version
*Renamed VIS_COM_CV_SoC_SW_Version to VIS_COM_CV_SW_Version_Major
*Added VIS_COM_CV_SW_Version_Minor</t>
  </si>
  <si>
    <t>*Removed column Resolution</t>
  </si>
  <si>
    <t>*Type names updated:
DayTime_Indicator_t -&gt; day_time_indicator_t
Region_Code_t -&gt; region_code_t
Driving_Side_t -&gt; driving_side_t
Is_HighSpeed_Road_t -&gt; is_highspeed_road_t
moved definition of sw_version into cross function sheet</t>
  </si>
  <si>
    <t>peer reviewed. approved, except for formula for size</t>
  </si>
  <si>
    <t>Size fixed manually.</t>
  </si>
  <si>
    <t>Peer reviewed size. No issue found</t>
  </si>
  <si>
    <t>Approved, referring to Cross-FCN_Definitions v1.</t>
  </si>
  <si>
    <t>added VIS_COM_Road_Type signal.</t>
  </si>
  <si>
    <t>Peer review. No issue found</t>
  </si>
  <si>
    <t>Approved, referring to Cross-FCN_Definitions v2.</t>
  </si>
  <si>
    <t>Added VIS_COM_CV_Supplier to specify Computer Vision SW supplier.</t>
  </si>
  <si>
    <t>Added VIS_COM_Mapping_Version to specify version of implemented version. See AVI  Conflunce page for more details.</t>
  </si>
  <si>
    <t>Fixed misspelled description for VIS_COM_Region_Code</t>
  </si>
  <si>
    <t>Ismail Gulec</t>
  </si>
  <si>
    <t>Added ASIL level value to all signals.
Added Periodicty values.</t>
  </si>
  <si>
    <t>Added VIS_COM_Frame_MCU_TS_Start_Slow, 
VIS_COM_Last_MCU_Sync_TS, VIS_COM_Received_TS.</t>
  </si>
  <si>
    <t>Made correction to Size in G1 (488)</t>
  </si>
  <si>
    <t>Although no response is given from Michele on that we are covering the needs of synch, we need to freeze the AVI as is, which is as far as I understand covering the synch need of CES demo.</t>
  </si>
  <si>
    <t>Peer reviewed, minor spelling error in description for VIS_COM_Mapping_Version</t>
  </si>
  <si>
    <t>*Updated periodicity cell - Gen5 removed, Gen7 added
*Fixed misspelled description for VIS_COM_Mapping_Version</t>
  </si>
  <si>
    <t>Delta review done. No issues found.</t>
  </si>
  <si>
    <t>Approved, referring to Cross-FCN_Definitions v3.</t>
  </si>
  <si>
    <t>Released as part of AVI v6</t>
  </si>
  <si>
    <t>Approved, referring to Cross-FCN_Definitions v4.</t>
  </si>
  <si>
    <t>Added VIS_COM_Toggle_Num and VIS_COM_Time_Sync_2_Status
which are part of the sync scheme for EyeQ6</t>
  </si>
  <si>
    <t>Approved, referring to Cross-FCN_Definitions v5.</t>
  </si>
  <si>
    <t>7</t>
  </si>
  <si>
    <t xml:space="preserve">7.1 </t>
  </si>
  <si>
    <t>8</t>
  </si>
  <si>
    <t>AVI_Common_Function_Config</t>
  </si>
  <si>
    <t>Output co-ordinate system: NOT APPLICABLE</t>
  </si>
  <si>
    <t xml:space="preserve"> Reference point on object: NOT APPLICABLE						</t>
  </si>
  <si>
    <t>VIS_CFC_APTIV_Protocol_Version</t>
  </si>
  <si>
    <t>Aptiv Vision Interface Function version.</t>
  </si>
  <si>
    <t>VIS_CFC.Header</t>
  </si>
  <si>
    <t>VIS_CFC_Protocol_Version</t>
  </si>
  <si>
    <t>VIS_CFC_Region_Code</t>
  </si>
  <si>
    <t>Enables specific customization for different countries.
Should only be changed with CV supplier approval</t>
  </si>
  <si>
    <t>VIS_CFC_Region_Code_Valid</t>
  </si>
  <si>
    <t>Establishes validity of the VIS_CFC_Region_Code signal.</t>
  </si>
  <si>
    <t>VIS_CFC_Driving_Side</t>
  </si>
  <si>
    <t>Indicates if we are in left hand drive or right hand drive road. The default is right side. New values are sent in the Common protocol, and should be used here</t>
  </si>
  <si>
    <t>VIS_CFC_Driving_Side_Valid</t>
  </si>
  <si>
    <t>Establishes validity of the VIS_CFC_Driving_Side signal.</t>
  </si>
  <si>
    <t>VIS_CFC_Electric_Grid_Frequency</t>
  </si>
  <si>
    <t>This validity flag, if set to TRUE, tells us to map the information sent to us in the LSI_Electric_Grid_Frequency to the FFS</t>
  </si>
  <si>
    <t>ENUM:
0=F50Hz
1=F60Hz
2=UNKNOWN
255=INVALID</t>
  </si>
  <si>
    <t>VIS_CFC_Electric_Grid_Frequency_Valid</t>
  </si>
  <si>
    <t>Establishes validity of the VIS_CFC_Electric_Grid_Frequency signal.</t>
  </si>
  <si>
    <t>VIS_CFC_Last_Legal_Speed</t>
  </si>
  <si>
    <t>Describes the suggested legal speed value</t>
  </si>
  <si>
    <t>[-1, 999]
32767=INVALID</t>
  </si>
  <si>
    <t>sint16</t>
  </si>
  <si>
    <t>VIS_CFC_Last_Legal_Speed_Valid</t>
  </si>
  <si>
    <t>Establishes validity of the VIS_CFC_Last_Legal_Speed signal.</t>
  </si>
  <si>
    <t>VIS_CFC_HIL_Mode</t>
  </si>
  <si>
    <t>Sets the system to work in HIL (hardware in the loop) mode (image instead of camera video)</t>
  </si>
  <si>
    <t>ENUM:
0=SET_OFF
1=SET_ON
255=INVALID</t>
  </si>
  <si>
    <t>VIS_CFC_HIL_Mode_Valid</t>
  </si>
  <si>
    <t>Establishes validity of the VIS_CFC_HIL_Mode signal.</t>
  </si>
  <si>
    <t>VIS_CFC_activateEDR</t>
  </si>
  <si>
    <t>Sets EDR to active
EDR (Event Data Recorder) is a function that handles storage of video frames in the RAM and in the flash memory.</t>
  </si>
  <si>
    <t>ENUM:
0=EDR_INACTIVE
1=EDR_ACTIVE
2=EDR_INACTIVE
3=EDR_ACTIVE
4=EMPTY_IMAGE_EDR_MODE
255=INVALID</t>
  </si>
  <si>
    <t>VIS_CFC_activateEDR_Valid</t>
  </si>
  <si>
    <t>Establishes validity of the VIS_CFC_activateEDR signal.</t>
  </si>
  <si>
    <t>VIS_CFC_WheelRadius_FL</t>
  </si>
  <si>
    <t xml:space="preserve">Calibrated wheel radius from the previous power cycle of the front left wheel </t>
  </si>
  <si>
    <t>[0.1, 0.7]
INFINITY = INVALID</t>
  </si>
  <si>
    <t>VIS_CFC_WheelRadius_FL_Valid</t>
  </si>
  <si>
    <t>Establishes validity of the VIS_CFC_WheelRadius_FL signal.</t>
  </si>
  <si>
    <t>VIS_CFC_WheelRadius_FR</t>
  </si>
  <si>
    <t>Calibrated wheel radius from the previous power cycle of the front right wheel</t>
  </si>
  <si>
    <t>VIS_CFC_WheelRadius_FR_Valid</t>
  </si>
  <si>
    <t>Establishes validity of the VIS_CFC_WheelRadius_FR signal.</t>
  </si>
  <si>
    <t>VIS_CFC_WheelRadius_RL</t>
  </si>
  <si>
    <t>Calibrated wheel radius from the previous power cycle of the rear left wheel</t>
  </si>
  <si>
    <t>VIS_CFC_WheelRadius_RL_Valid</t>
  </si>
  <si>
    <t>Establishes validity of the VIS_CFC_WheelRadius_RL signal.</t>
  </si>
  <si>
    <t>VIS_CFC_WheelRadius_RR</t>
  </si>
  <si>
    <t>Calibrated wheel radius from the previous power cycle of the rear right wheel</t>
  </si>
  <si>
    <t>VIS_CFC_WheelRadius_RR_Valid</t>
  </si>
  <si>
    <t>Establishes validity of the VIS_CFC_WheelRadius_RR signal.</t>
  </si>
  <si>
    <t>VIS_CFC_WheelTickSize_FL</t>
  </si>
  <si>
    <t xml:space="preserve">Wheel tick size as calculated in the previous power cycle of the front left wheel </t>
  </si>
  <si>
    <t>[0, 0.2]
INFINITY = INVALID</t>
  </si>
  <si>
    <t>VIS_CFC_WheelTickSize_FL_Valid</t>
  </si>
  <si>
    <t>Establishes validity of the VIS_CFC_WheelTickSize_FL signal.</t>
  </si>
  <si>
    <t>VIS_CFC_WheelTickSize_FR</t>
  </si>
  <si>
    <t>Wheel tick size as calculated in previous power cycle of the front right wheel</t>
  </si>
  <si>
    <t>VIS_CFC_WheelTickSize_FR_Valid</t>
  </si>
  <si>
    <t>Establishes validity of the VIS_CFC_WheelTickSize_FR signal.</t>
  </si>
  <si>
    <t>VIS_CFC_WheelTickSize_RL</t>
  </si>
  <si>
    <t>Wheel tick size as calculated in previous power cycle of the rear left wheel</t>
  </si>
  <si>
    <t>VIS_CFC_WheelTickSize_RL_Valid</t>
  </si>
  <si>
    <t>Establishes validity of the VIS_CFC_WheelTickSize_RL signal.</t>
  </si>
  <si>
    <t>VIS_CFC_WheelTickSize_RR</t>
  </si>
  <si>
    <t>Wheel tick size as calculated in previous power cycle of the rear right wheel</t>
  </si>
  <si>
    <t>VIS_CFC_WheelTickSize_RR_Valid</t>
  </si>
  <si>
    <t>Establishes validity of the VIS_CFC_WheelTickSize_RR signal.</t>
  </si>
  <si>
    <t>Initial version, derived from:
*CV supplier General_Init protocol version 14</t>
  </si>
  <si>
    <t>Peer-reviewed, issues reported in the peer-review checklist</t>
  </si>
  <si>
    <t>Updated according to peer review comments</t>
  </si>
  <si>
    <t>Peer-reviewed. No issues found</t>
  </si>
  <si>
    <t>SAE J670 Z-down coordinate system:
Translation &amp; Orientation:
X-axis is longitudinal position - pointing in the direction of the vehicle 
Y-axis is lateral position - pointing to the right of the vehicle
Z-axis is vertical position - pointing down
Yaw –  rotation around Z-axis - positive to the right
Pitch –  rotation around Y-axis - positive up
Roll –  rotation around X-axis - positive when leaning right
Origin point: 
a) longitudinal (X): Camera position
b) lateral (Y): Camera position
c) vertical (Z): Camera position</t>
  </si>
  <si>
    <t xml:space="preserve">Reference point on object:
a) Construction Area Object's (Obstruction_bw, Cone, Barrel, Obstruction_left, Obstruction_right, Fishbone_left, Fishbone_right, Short pole, Obstruction_up):
- 2D representation
- Longitudinal position: Pointing on object, closest to camera
- Lateral position: Horizontal center of object
- Vertical position: Bottom of object
</t>
  </si>
  <si>
    <t>VIS_CA_Common_Header</t>
  </si>
  <si>
    <t>VIS_CA.Header</t>
  </si>
  <si>
    <t>VIS_CA_Objects_Count</t>
  </si>
  <si>
    <t>Number of recognized land marks.</t>
  </si>
  <si>
    <t>[0, 15]
255=INVALID</t>
  </si>
  <si>
    <t>VIS_CA_Is_Construction_Area</t>
  </si>
  <si>
    <t>Indicates whether this is a construction area scene.</t>
  </si>
  <si>
    <t>bool_invalid_t</t>
  </si>
  <si>
    <t>VIS_CA_CRC</t>
  </si>
  <si>
    <t>Calculated over all element signals. From the signal after the CRC until the last signal in VIS_CA.Element structure</t>
  </si>
  <si>
    <t>VIS_CA.Element[n_ID], n_ID∈ [0 - 11]</t>
  </si>
  <si>
    <t>VIS_CA_ID</t>
  </si>
  <si>
    <t>Unique id of Construction Area object</t>
  </si>
  <si>
    <t>track_id_t</t>
  </si>
  <si>
    <t>VIS_CA_Frame_Age</t>
  </si>
  <si>
    <t>The number of frames in which the CA object was recognized.</t>
  </si>
  <si>
    <t>age_t</t>
  </si>
  <si>
    <t>VIS_CA_Object_Type</t>
  </si>
  <si>
    <t>Type of Construction Area object</t>
  </si>
  <si>
    <t>ENUM:
1=OBSTRUCTION_BW 
2=CONE 
3=BARREL 
4=OBSTRUCTION_LEFT 
5=OBSTRUCTION_RIGHT 
6=FISHBONE_LEFT 
7=FISHBONE_RIGHT 
8=SHORT_POLE 
9=OBSTRUCTION_UP 
255=INVALID</t>
  </si>
  <si>
    <t>VIS_CA_Long_Distance</t>
  </si>
  <si>
    <t xml:space="preserve">The longitudinal distance from the camera to the CA object, in real world coordinates. </t>
  </si>
  <si>
    <t>[0, 500]
INFINITY=INVALID</t>
  </si>
  <si>
    <t>VIS_CA_Long_Distance_STD</t>
  </si>
  <si>
    <t>STD of the  longitudinal distance.</t>
  </si>
  <si>
    <t>VIS_CA_Lat_Distance</t>
  </si>
  <si>
    <t>The lateral distance from the camera to the CA object, in real world coordinates.</t>
  </si>
  <si>
    <t>[-50, 50]
INFINITY=INVALID</t>
  </si>
  <si>
    <t>VIS_CA_Lat_Distance_STD</t>
  </si>
  <si>
    <t>STD of the lateral distance.</t>
  </si>
  <si>
    <t>[0, 100]
INFINITY=INVALID</t>
  </si>
  <si>
    <t>VIS_CA_Object_Height</t>
  </si>
  <si>
    <t>The physical height of CA object.</t>
  </si>
  <si>
    <t>[0, 10]
INFINITY=INVALID</t>
  </si>
  <si>
    <t>VIS_CA_Object_Height_STD</t>
  </si>
  <si>
    <t>STD of the height of CA object.</t>
  </si>
  <si>
    <t>VIS_CA_Object_Width</t>
  </si>
  <si>
    <t>The physical width of CA object.</t>
  </si>
  <si>
    <t>VIS_CA_Object_Width_STD</t>
  </si>
  <si>
    <t>STD of the width of CA object.</t>
  </si>
  <si>
    <t>VIS_CA_Height</t>
  </si>
  <si>
    <t>Height of the CA object from camera</t>
  </si>
  <si>
    <t>VIS_CA_Height_STD</t>
  </si>
  <si>
    <t>[0, 50]
INFINITY=INVALID</t>
  </si>
  <si>
    <t>VIS_CA_Existence_Prob</t>
  </si>
  <si>
    <t>The signal describes how confident we are in the fact there is a CA object</t>
  </si>
  <si>
    <t>existence_probability_t</t>
  </si>
  <si>
    <t>VIS_CA_Measurement_Status</t>
  </si>
  <si>
    <t>Visibility measurement status</t>
  </si>
  <si>
    <t>ENUM:
1=VISIBLE
2=RESERVED
3=OCCLUDED
4=OUT_OF_IMAGE
255=INVALID</t>
  </si>
  <si>
    <t>VIS_CA_Type_Confidence</t>
  </si>
  <si>
    <t>The CA type confidence</t>
  </si>
  <si>
    <t>confidence_t</t>
  </si>
  <si>
    <t>Construction Area split off from Traffic Information worksheet. Based on CV supplier interface 4.19.11
For earlier history see AVI_Traffic_Signs_Rev</t>
  </si>
  <si>
    <t>Updated to SW15</t>
  </si>
  <si>
    <t>*VIS_CA_APTIV_Protocol_Version DataType changed from uint8 to uint16.
*VIS_CA_APTIV_Protocol_Version Size changed from 8 to 16.
*VIS_CA_APTIV_Protocol_Version Max changed from 255 to 65535.</t>
  </si>
  <si>
    <t>Changed from ISO to SAE z-down coordinate system
Removed column "Resolution"
Inserted common header struct
Removed row "Reserved"
Removed (since included in common header struct):
* VIS_CA_APTIV_Protocol_Version
* VIS_CA_Frame_MCU_TS_Start
* VIS_CA_Timestamp_ms
* VIS_CA_CV_SoC_Frame_ID
* VIS_CA_Cam_Frame_ID
* VIS_CA_Protocol_Version</t>
  </si>
  <si>
    <t>VIS_CA_ID changed to type track_id_t
VIS_CA_Frame_Age changed to type age_t
VIS_CA_Type_Confidence changed type to confidence_t
Added VIS_CA_Header_CRC as part of header
Added VIS_CA_CRC at top of VIS_CA.Element
Removed signal VIS_CA_Camera_Source</t>
  </si>
  <si>
    <t>Corrections based on Peer review:
Removed Header CRC (already included in VIS_CA_Common_Header)
VIS_CA_ID and VIS_CA_Object_Height_STD: Clarified descriptions
VIS_CA_Height_STD: Corrected Value (min value is 0)</t>
  </si>
  <si>
    <t>Peer-reviewed, no issue found, except size formula.</t>
  </si>
  <si>
    <t>VIS_CA_Is_Construction_Area added (moved from AVI_Lanes_Application)</t>
  </si>
  <si>
    <t>Row including VIS_LAP_Is_Construction_Area removed (was work copy)
Min values for VIS_CA_Object_Type and VIS_CA_Measurement_Status changed from 0 to 1</t>
  </si>
  <si>
    <t>Size entered manually for all signals/structures giving "FALSE" by macros</t>
  </si>
  <si>
    <t>Peer reviewed size. No issue found.</t>
  </si>
  <si>
    <t>Approved, referring to Cross-FCN_Definitions version 2.</t>
  </si>
  <si>
    <t>Updated name of column K (Struct Name) (updated also released AVI v5 version)</t>
  </si>
  <si>
    <t>Re-merged cells for VIS_CA.Element[n_ID], n_ID∈ [0 - 14] (updated also released AVI v4 &amp; v5)</t>
  </si>
  <si>
    <t>Added/Changed ASIL level to be ASIL B for:
- VIS_CA_Common_Header
- CA_Objects_Count
- CA_Object_Type
- CA_Long_Distance
- CA_Lat_Distance
Remaining signals are set to QM</t>
  </si>
  <si>
    <t>Delta review done, issues reported.</t>
  </si>
  <si>
    <t>VIS_CA_CRC: Description changed from "until the first signal in the next elements, OBJ_CRC_N+1  not including" to "until the last signal in VIS_CA.Element structure"</t>
  </si>
  <si>
    <t>delta review done, no issue found.</t>
  </si>
  <si>
    <t>Delta peer review. No issue found.</t>
  </si>
  <si>
    <t>Approved, referring to Cross-FCN_Definitions version 3.</t>
  </si>
  <si>
    <t>VIS_CA_Is_Construction_Area
Changed type from bool8 to bool_invalid_t
Changed Min, Max, Value, Default, Size to apply for type bool_invalid_t</t>
  </si>
  <si>
    <t>- Changed "Struct Length (Repetitions)" for elements from 15 to 12, since Core Protocol includes 12 elements. 
- Changed Struct Name from 
VIS_CA.Element[n_ID], n_ID∈ [0 - 14] to
VIS_CA.Element[n_ID], n_ID∈ [0 - 11]</t>
  </si>
  <si>
    <t>Delta peer review done. Size is not updated to reflect lower number of elements</t>
  </si>
  <si>
    <t>Size changed from 7072 to 5472 due to changing number of elements from 15 to 12</t>
  </si>
  <si>
    <t>Delta peer review done. No issues found.</t>
  </si>
  <si>
    <t>Updated description of height and object height</t>
  </si>
  <si>
    <t>Approved, referring to Cross-FCN_Definitions version 4.</t>
  </si>
  <si>
    <t>Added reference point information</t>
  </si>
  <si>
    <t>Ömer Ayvaci</t>
  </si>
  <si>
    <t>Delta review done. No issue found.</t>
  </si>
  <si>
    <t>Approved, referring to Cross-FCN_Definitions version 5.</t>
  </si>
  <si>
    <t>Image Pixel Coordinate System:
X-axis is horizontal position - pointing to the right of the image
Y-axis is vertical position - pointing down of the image
Origin point [0,0]: 
a) horizontal (X): Top left corner of image
b) vertical (Y): Top left corner of image
Reference points on 2D bbox
- Top-Right corner
- Bottom-Left corner</t>
  </si>
  <si>
    <t>VIS_CA_DBG_Common_Header</t>
  </si>
  <si>
    <t>VIS_CA_DBG.Header</t>
  </si>
  <si>
    <t>VIS_CA_DBG_Num_Of_Objects</t>
  </si>
  <si>
    <t>Number of debug objects.</t>
  </si>
  <si>
    <t>[0,900]
65535 = INVALID</t>
  </si>
  <si>
    <t>VIS_CA_DBG_Obj</t>
  </si>
  <si>
    <t>Debug object with ID and coordinates.</t>
  </si>
  <si>
    <t>debug_2D_bbox_struct</t>
  </si>
  <si>
    <t>VIS_CA_DBG.Element[n_ID], n_ID∈ [0 - 11]</t>
  </si>
  <si>
    <t>AVI_Construction_Area_Debug sheet added.</t>
  </si>
  <si>
    <t>Peer-review done, issues reported in peer-review checklist.</t>
  </si>
  <si>
    <t>Ismail Gülec</t>
  </si>
  <si>
    <t>- revision corrected
- common_header signal added, 
- signals names corrected, 
- description for VIS_CA_DBG_Num_Of_Objects corrected
- max value corrected,
- values corrected</t>
  </si>
  <si>
    <t>Peer-review done. No issues found</t>
  </si>
  <si>
    <t>Clarified Origin Point for Coordinate system
From: 
a) horizontal (X): 0
b) vertical (Y): 0
To:
a) horizontal (X): Top left corner of image
b) vertical (Y): Top left corner of image</t>
  </si>
  <si>
    <t>Renamed struct name "2D_debug_bbox_struct" to "debug_2D_bbox_struct"</t>
  </si>
  <si>
    <t>Delta peer reviewed. No Issues found.</t>
  </si>
  <si>
    <t>Image Pixel Coordinate system clarified
Reference point for 2D bbox added</t>
  </si>
  <si>
    <t>AVI_Failsafe</t>
  </si>
  <si>
    <t>Failsafe_Definitions</t>
  </si>
  <si>
    <t>VIS_FS_Common_Header</t>
  </si>
  <si>
    <t>VIS_FS.Header</t>
  </si>
  <si>
    <t>VIS_FS_TSR_Out_OF_Calib</t>
  </si>
  <si>
    <t>Specific TSR Out-of-Calib Signal</t>
  </si>
  <si>
    <t>tsr_out_of_calib_struct</t>
  </si>
  <si>
    <t>VIS_FS_Out_Of_Calib</t>
  </si>
  <si>
    <t>Vision detected that the calibration camera to world exceede level 0 40 px tollerance  from the baseline calibration (Auto Fix).</t>
  </si>
  <si>
    <t>failsafe_t</t>
  </si>
  <si>
    <t>VIS_FS_Impacted_Technologies</t>
  </si>
  <si>
    <t>Impacted technologies from detected fail safes according to the fail-safe CV supplier schema</t>
  </si>
  <si>
    <t>impacted_technologies_struct</t>
  </si>
  <si>
    <t>VIS_FS_Rain</t>
  </si>
  <si>
    <t>Detection of precipitation.</t>
  </si>
  <si>
    <t>VIS_FS_Fog</t>
  </si>
  <si>
    <t>Detection of fog.</t>
  </si>
  <si>
    <t>VIS_FS_Calibration_Misalignment</t>
  </si>
  <si>
    <t xml:space="preserve">Road Model misalignment </t>
  </si>
  <si>
    <t>VIS_FS_OOR</t>
  </si>
  <si>
    <t xml:space="preserve">
The Out Of Range (OOR) FS signal will indicate that the extrinsic calibration found exceeded the allowed system tolerance (defined by the OEM using the min/max Yaw/Horizon and MaxRoll ranges definitions)</t>
  </si>
  <si>
    <t>ENUM:
0xAB93=CALIBRATING
0xFB11=INRANGE
0x097=OOR
0xBCA2=SUSPECTED
0xFFFF=INVALID</t>
  </si>
  <si>
    <t>0xFFFF</t>
  </si>
  <si>
    <t>VIS_FS_CRC</t>
  </si>
  <si>
    <t>Calculated over  FrontMainCamera set signals. From the signal after the CRC until the last signal in VIS_FS.FrontMainCamera</t>
  </si>
  <si>
    <t>VIS_FS.FrontMainCamera</t>
  </si>
  <si>
    <t>VIS_FS_Free_Sight</t>
  </si>
  <si>
    <t>False until free sight is approved</t>
  </si>
  <si>
    <t>VIS_FS_Splashes</t>
  </si>
  <si>
    <t>The lower edges of vehicles cannot be detected due to water spray, a.k.a. splashes.</t>
  </si>
  <si>
    <t>VIS_FS_Sun_Ray</t>
  </si>
  <si>
    <t>Strong glare due to micro scratches on windshield.</t>
  </si>
  <si>
    <t>VIS_FS_Low_Sun</t>
  </si>
  <si>
    <t>Sun glare which disrupts the image. The sun appears over the FOE.</t>
  </si>
  <si>
    <t>VIS_FS_Blur_Image</t>
  </si>
  <si>
    <t>Issued when visibility on the image is lowered such that detection of objects inside the Danger Zone (in-path and next lanes up-to some level) cannot be fully performed</t>
  </si>
  <si>
    <t>VIS_FS_Partial_Blockage</t>
  </si>
  <si>
    <t>Low visibility due to partially covered lens.</t>
  </si>
  <si>
    <t>VIS_FS_Full_Blockage</t>
  </si>
  <si>
    <t>No visibility due to fully covered lens. Takes 50 frames with no edges. Recovery is very quick (max 50 frames). Will be on when standing at night with no headlights.</t>
  </si>
  <si>
    <t>VIS_FS_Frozen_Windshield_Lens</t>
  </si>
  <si>
    <t>Significant failsafe indicating windshield is frozen. This will impact on all technologies.</t>
  </si>
  <si>
    <t>VIS_FS_Out_Of_Focus</t>
  </si>
  <si>
    <t>Vision detected that the focus calibration is not correct.</t>
  </si>
  <si>
    <t>Updated to 15.0 CV supplier interface version</t>
  </si>
  <si>
    <t>Corrected size and type for AVI</t>
  </si>
  <si>
    <t>Aligned to have common signs in beginning of message</t>
  </si>
  <si>
    <t>*VIS_FS_APTIV_Protocol_Version DataType changed from uint8 to uint16.
*VIS_FS_APTIV_Protocol_Version Size changed from 8 to 16.
*VIS_FS_APTIV_Protocol_Version Max changed from 255 to 65535.</t>
  </si>
  <si>
    <t>Updated to 18.4 CV supplier interface version (No update needed)
Changed to common header struct
Changed from BITWIZE to struct</t>
  </si>
  <si>
    <t>Updated ENUM types:
 to include INVALID value
 to have type NA
 to include work "ENUM" in value column
Added INVALID value for all signals missing them and updated min and max and allowed signal interval 
Updated naming of structures to match new rules</t>
  </si>
  <si>
    <t>Peer-reviewed. No issue found, except size formula.</t>
  </si>
  <si>
    <t>Peer-reviewed Size. No issue found.</t>
  </si>
  <si>
    <t>Approved, referring to Cross-FCN_Data_Definitions version 1 &amp; Failsafe_Data_Definitions version 1.</t>
  </si>
  <si>
    <t>Removed multicamera support. Only kept failsafes for main front camera. This includes removing signals VIS_FS_Camera_ID and VIS_FS_C2C_Out_Of_Calib as these signals has no meaning in single camera systems</t>
  </si>
  <si>
    <t>Peer-reviewed, no issue, except having VIS_FS_Cameras_Number which is obsolete and can be removed.</t>
  </si>
  <si>
    <t xml:space="preserve">Removed signal VIS_FS_Cameras_Number as not needed for single cam </t>
  </si>
  <si>
    <t>Approved, referring to Cross-FCN_Definitions version 1 &amp; Failsafe_Definitions version 1.</t>
  </si>
  <si>
    <t>Approved, referring to Cross-FCN_Definitions version 2 &amp; Failsafe_Definitions version 2.</t>
  </si>
  <si>
    <t>Provided ASIL level and Periodicity.
Updated Description of VIS_FS_CRC.</t>
  </si>
  <si>
    <t>Updated ASIL Compliance for type:Struct from NA into corresponding level.</t>
  </si>
  <si>
    <t>Removed supplier info.</t>
  </si>
  <si>
    <t>Approved, referring to Cross-FCN_Definitions v3 and Failsafe_Definitions v3</t>
  </si>
  <si>
    <t>Approved, referring to Cross-FCN_Definitions v4 and Failsafe_Definitions v3</t>
  </si>
  <si>
    <t>Removed signal FS_C2W_OOR
Added signal FS_OOR</t>
  </si>
  <si>
    <t>Peer-reviewed, no issues.</t>
  </si>
  <si>
    <t>Approved, referring to Cross-FCN_Definitions v4 and Failsafe_Definitions v4</t>
  </si>
  <si>
    <t>Approved, referring to Cross-FCN_Definitions v5 and Failsafe_Definitions v5</t>
  </si>
  <si>
    <t xml:space="preserve">8.1 </t>
  </si>
  <si>
    <t>FCF_Definitions</t>
  </si>
  <si>
    <t>AVI_FCF_CV_Config</t>
  </si>
  <si>
    <t>SAE J670 Z-down coordinate system:
Translation &amp; Orientation:
X-axis is longitudinal position - pointing in the direction of the vehicle 
Y-axis is lateral position - pointing to the right of the vehicle
Z-axis is vertical position - pointing down
Yaw –  rotation around Z-axis - positive to the right
Pitch –  rotation around Y-axis - positive up
Roll –  rotation around X-axis - positive when leaning right
Origin point:
a) longitudinal (X): Center of front bumper
b) lateral (Y): Center of front bumper
c) vertical (Z): Center of front bumper</t>
  </si>
  <si>
    <t>Reference point on object:
The closest point on object where the target and ego vehicles shall pass very close to each other or collide.
- Longitudinal position: Longitudinal position of this point 
- Lateral position: Lateral position of this point
- Vertical position: NA</t>
  </si>
  <si>
    <t>Gen4: 1/36
Gen6: 1/20
Gen7: TBD</t>
  </si>
  <si>
    <t>VIS_FCF_CV_Common_Header</t>
  </si>
  <si>
    <t>VIS_FCF_CV.Header</t>
  </si>
  <si>
    <t>VIS_FCF_CV_Count</t>
  </si>
  <si>
    <t>Defines how many levels are reported in the 
message</t>
  </si>
  <si>
    <t>levels_count_t</t>
  </si>
  <si>
    <t>VIS_FCF_CV_CRC</t>
  </si>
  <si>
    <t>Calculated over Alert set signals. From the signal after the CRC until the last signal in VIS_FCF_CV.Alert_Element</t>
  </si>
  <si>
    <t>VIS_FCF_CV.Alert_[Element],
Element ∈ [L1:L8]</t>
  </si>
  <si>
    <t>VIS_FCF_CV_Alert</t>
  </si>
  <si>
    <t>Alert for this set.
Each set represents 1 flag which is configurable.</t>
  </si>
  <si>
    <t>alert_t</t>
  </si>
  <si>
    <t>VIS_FCF_CV_ID</t>
  </si>
  <si>
    <t>ID for CV (Crossing Vehicle)</t>
  </si>
  <si>
    <t>VIS_FCF_CV_TTC_Thresh</t>
  </si>
  <si>
    <t>TTC threshold used for alert.
For debug purposes.</t>
  </si>
  <si>
    <t>[0,5]
INFINITY=INVALID</t>
  </si>
  <si>
    <t>VIS_FCF_CV_TTC</t>
  </si>
  <si>
    <t>Estimated  TTC  at alert event.
For debug purposes.</t>
  </si>
  <si>
    <t>VIS_FCF_CV_Decel_Thresh</t>
  </si>
  <si>
    <t>Ego deceleration threshold.</t>
  </si>
  <si>
    <t>deceleration_t</t>
  </si>
  <si>
    <t>VIS_FCF_CV_Decel_To_Avoid</t>
  </si>
  <si>
    <t>Calculated minimum ego deceleration to avoid 
collision</t>
  </si>
  <si>
    <t>VIS_FCF_CV_Target_Decel_To_Avoid</t>
  </si>
  <si>
    <t>Calculated minimum target deceleration to avoid 
collision</t>
  </si>
  <si>
    <t>VIS_FCF_CV_Min_Dist_Thresh</t>
  </si>
  <si>
    <t>Clearing (minimum) distance threshold between Ego and Target.
Minimum distance can be configured to be greater than zero (actual collision).</t>
  </si>
  <si>
    <t>dist_t</t>
  </si>
  <si>
    <t>VIS_FCF_CV_Min_Dist</t>
  </si>
  <si>
    <t xml:space="preserve">Calculated clearing (minimum) distance between ego and target </t>
  </si>
  <si>
    <t>VIS_FCF_CV_Validation_Level</t>
  </si>
  <si>
    <t>Validation level</t>
  </si>
  <si>
    <t>ENUM:
1=NON_VALIDATED
2=VALIDATED
255=INVALID</t>
  </si>
  <si>
    <t>VIS_FCF_CV_Suppress</t>
  </si>
  <si>
    <t>Alert suppress reason.
Note: It is multi choice, meaning that more than one member can be set to 1.</t>
  </si>
  <si>
    <t>alert_suppression_reason_cv_struct</t>
  </si>
  <si>
    <t>First version of the document.</t>
  </si>
  <si>
    <t>*Updated signal VIS_FCF_CV_Element_Alert</t>
  </si>
  <si>
    <t>peer-reviewed. issues found</t>
  </si>
  <si>
    <t>*Updated Origin in coordinate system.
*Updated min and value for signal VIS_FCF_CV_Element_Validation_Level
*Updated type for signal VIS_FCF_CV_Element_Suppress</t>
  </si>
  <si>
    <t>Peer-reviewed delta from 0.2. No issue found</t>
  </si>
  <si>
    <t>Approved.Referring to FCF_Definitions version 1 &amp; Cross-FCN_Definitions version 1</t>
  </si>
  <si>
    <t>Approved.Referring to FCF_Definitions version 1 &amp; Cross-FCN_Definitions version 2</t>
  </si>
  <si>
    <t>*Updated all the signals' name (removed Element from the name) belong to structure VIS_FCF_CV.Alert_[Element]</t>
  </si>
  <si>
    <t>Provided ASIL level and Periodicity.</t>
  </si>
  <si>
    <t>Peer-reviewed. No issue found</t>
  </si>
  <si>
    <t>Approved.Referring to FCF_Definitions version 2 &amp; Cross-FCN_Definitions version 3</t>
  </si>
  <si>
    <t>Approved.Referring to FCF_Definitions version 2 &amp; Cross-FCN_Definitions version 4</t>
  </si>
  <si>
    <t>"Reference point on object" has been added.</t>
  </si>
  <si>
    <t>Tomasz WIktor</t>
  </si>
  <si>
    <t>Correction of reference point definition and addition of ASIL levels</t>
  </si>
  <si>
    <t>Correction of reference point definition</t>
  </si>
  <si>
    <t>6.1</t>
  </si>
  <si>
    <t>Approved.Referring to FCF_Definitions version 2 &amp; Cross-FCN_Definitions version 5</t>
  </si>
  <si>
    <t>Origin point was corrected</t>
  </si>
  <si>
    <t>7.2</t>
  </si>
  <si>
    <t>Refence point wording has changed to make it more clear. Reference point per se hasn't changed. Format of coordinate system was aligned with format that already exist in Polarion and was used for previous versions of AVI</t>
  </si>
  <si>
    <t>Reference point on object:
The closest point on object where the target and ego vehicles shall pass very close to each other or collide.
- Longitudinal osition:  Longitudinal position of this point 
- Lateral position: Lateral position of this point
- Vertical position: NA</t>
  </si>
  <si>
    <t>VIS_FCF_CV_Config_CRC</t>
  </si>
  <si>
    <t>Calculated over Alert_Init set signals. From the signal after the CRC until the last signal in VIS_FCF_CV_Config.Alert_Init</t>
  </si>
  <si>
    <t>VIS_FCF_CV_Config.Alert_Init</t>
  </si>
  <si>
    <t>VIS_FCF_CV_Config_Protocol_Version</t>
  </si>
  <si>
    <t>VIS_FCF_CV_Config_Aptiv_Protocol_Version</t>
  </si>
  <si>
    <t>VIS_FCF_CV_Config_Min_Speed_For_Warn_V</t>
  </si>
  <si>
    <t>Validity bit for VIS_FCF_CV_Config_Min_Speed_For_Warn</t>
  </si>
  <si>
    <t>VIS_FCF_CV_Config_Min_Speed_For_Warn</t>
  </si>
  <si>
    <t xml:space="preserve">Minimum ego speed for warning activation </t>
  </si>
  <si>
    <t>[0,30]
INFINITY=INVALID</t>
  </si>
  <si>
    <t>VIS_FCF_CV_Config_Max_Speed_For_Warn_V</t>
  </si>
  <si>
    <t>Validity bit for VIS_FCF_CV_Config_Max_Speed_For_Warn</t>
  </si>
  <si>
    <t>VIS_FCF_CV_Config_Max_Speed_For_Warn</t>
  </si>
  <si>
    <t xml:space="preserve">Maximum ego speed for warning activation </t>
  </si>
  <si>
    <t>VIS_FCF_CV_Config_Ego_Speed_Knee_Points_0_V</t>
  </si>
  <si>
    <t>Validity bit for VIS_FCF_CV_Config_Ego_Speed_Knee_Points_0</t>
  </si>
  <si>
    <t>VIS_FCF_CV_Config_Ego_Speed_Knee_Points_0</t>
  </si>
  <si>
    <t>Ego speed knee points [0]</t>
  </si>
  <si>
    <t>speed_100_t</t>
  </si>
  <si>
    <t>VIS_FCF_CV_Config_Ego_Speed_Knee_Points_1_V</t>
  </si>
  <si>
    <t>Validity bit for VIS_FCF_CV_Config_Ego_Speed_Knee_Points_1</t>
  </si>
  <si>
    <t>VIS_FCF_CV_Config_Ego_Speed_Knee_Points_1</t>
  </si>
  <si>
    <t>Ego speed knee points [1]</t>
  </si>
  <si>
    <t>VIS_FCF_CV_Config_Ego_Speed_Knee_Points_2_V</t>
  </si>
  <si>
    <t>Validity bit for VIS_FCF_CV_Config_Ego_Speed_Knee_Points_2</t>
  </si>
  <si>
    <t>VIS_FCF_CV_Config_Ego_Speed_Knee_Points_2</t>
  </si>
  <si>
    <t>Ego speed knee points [2]</t>
  </si>
  <si>
    <t>VIS_FCF_CV_Config_Ego_Speed_Knee_Points_3_V</t>
  </si>
  <si>
    <t>Validity bit for VIS_FCF_CV_Config_Ego_Speed_Knee_Points_3</t>
  </si>
  <si>
    <t>VIS_FCF_CV_Config_Ego_Speed_Knee_Points_3</t>
  </si>
  <si>
    <t>Ego speed knee points [3]</t>
  </si>
  <si>
    <t>VIS_FCF_CV_Config_TTC_Knee_Points_0_V</t>
  </si>
  <si>
    <t>Validity bit for VIS_FCF_CV_Config_TTC_Knee_Points_0</t>
  </si>
  <si>
    <t>VIS_FCF_CV_Config_TTC_Knee_Points_0</t>
  </si>
  <si>
    <t>TTC threshold knee points [0]</t>
  </si>
  <si>
    <t>time_5_t</t>
  </si>
  <si>
    <t>VIS_FCF_CV_Config_TTC_Knee_Points_1_V</t>
  </si>
  <si>
    <t>Validity bit for VIS_FCF_CV_Config_TTC_Knee_Points_1</t>
  </si>
  <si>
    <t>VIS_FCF_CV_Config_TTC_Knee_Points_1</t>
  </si>
  <si>
    <t>TTC threshold knee points [1]</t>
  </si>
  <si>
    <t>VIS_FCF_CV_Config_TTC_Knee_Points_2_V</t>
  </si>
  <si>
    <t>Validity bit for VIS_FCF_CV_Config_TTC_Knee_Points_2</t>
  </si>
  <si>
    <t>VIS_FCF_CV_Config_TTC_Knee_Points_2</t>
  </si>
  <si>
    <t>TTC threshold knee points [2]</t>
  </si>
  <si>
    <t>VIS_FCF_CV_Config_TTC_Knee_Points_3_V</t>
  </si>
  <si>
    <t>Validity bit for VIS_FCF_CV_Config_TTC_Knee_Points_3</t>
  </si>
  <si>
    <t>VIS_FCF_CV_Config_TTC_Knee_Points_3</t>
  </si>
  <si>
    <t>TTC threshold knee points [3]</t>
  </si>
  <si>
    <t>VIS_FCF_CV_Config_Distance_Knee_Points_0_V</t>
  </si>
  <si>
    <t>Validity bit for VIS_FCF_CV_Config_Distance_Knee_Points_0</t>
  </si>
  <si>
    <t>VIS_FCF_CV_Config_Distance_Knee_Points_0</t>
  </si>
  <si>
    <t>Distance knee points [0]</t>
  </si>
  <si>
    <t>dist_10_t</t>
  </si>
  <si>
    <t>VIS_FCF_CV_Config_Distance_Knee_Points_1_V</t>
  </si>
  <si>
    <t>Validity bit for VIS_FCF_CV_Config_Distance_Knee_Points_1</t>
  </si>
  <si>
    <t>VIS_FCF_CV_Config_Distance_Knee_Points_1</t>
  </si>
  <si>
    <t>Distance knee points [1]</t>
  </si>
  <si>
    <t>VIS_FCF_CV_Config_Distance_Knee_Points_2_V</t>
  </si>
  <si>
    <t>Validity bit for VIS_FCF_CV_Config_Distance_Knee_Points_2</t>
  </si>
  <si>
    <t>VIS_FCF_CV_Config_Distance_Knee_Points_2</t>
  </si>
  <si>
    <t>Distance knee points [2]</t>
  </si>
  <si>
    <t>VIS_FCF_CV_Config_Distance_Knee_Points_3_V</t>
  </si>
  <si>
    <t>Validity bit for VIS_FCF_CV_Config_Distance_Knee_Points_3</t>
  </si>
  <si>
    <t>VIS_FCF_CV_Config_Distance_Knee_Points_3</t>
  </si>
  <si>
    <t>Distance knee points [3]</t>
  </si>
  <si>
    <t>VIS_FCF_CV_Config_Min_Target_Deceleration_Knee_Points_0_V</t>
  </si>
  <si>
    <t>Validity bit for VIS_FCF_CV_Config_Min_Target_Deceleration_Knee_Points_0</t>
  </si>
  <si>
    <t>VIS_FCF_CV_Config_Min_Target_Deceleration_Knee_Points_0</t>
  </si>
  <si>
    <t>Minimum target deceleration knee points [0]</t>
  </si>
  <si>
    <t>deceleration_10_t</t>
  </si>
  <si>
    <t>VIS_FCF_CV_Config_Min_Target_Deceleration_Knee_Points_1_V</t>
  </si>
  <si>
    <t>Validity bit for VIS_FCF_CV_Config_Min_Target_Deceleration_Knee_Points_1</t>
  </si>
  <si>
    <t>VIS_FCF_CV_Config_Min_Target_Deceleration_Knee_Points_1</t>
  </si>
  <si>
    <t>Minimum target deceleration knee points [1]</t>
  </si>
  <si>
    <t>VIS_FCF_CV_Config_Min_Target_Deceleration_Knee_Points_2_V</t>
  </si>
  <si>
    <t>Validity bit for VIS_FCF_CV_Config_Min_Target_Deceleration_Knee_Points_2</t>
  </si>
  <si>
    <t>VIS_FCF_CV_Config_Min_Target_Deceleration_Knee_Points_2</t>
  </si>
  <si>
    <t>Minimum target deceleration knee points [2]</t>
  </si>
  <si>
    <t>VIS_FCF_CV_Config_Min_Target_Deceleration_Knee_Points_3_V</t>
  </si>
  <si>
    <t>Validity bit for VIS_FCF_CV_Config_Min_Target_Deceleration_Knee_Points_3</t>
  </si>
  <si>
    <t>VIS_FCF_CV_Config_Min_Target_Deceleration_Knee_Points_3</t>
  </si>
  <si>
    <t>Minimum target deceleration knee points [3]</t>
  </si>
  <si>
    <t>VIS_FCF_CV_Config_Target_Deceleration_Knee_Points_0_V</t>
  </si>
  <si>
    <t>Validity bit for VIS_FCF_CV_Config_Target_Deceleration_Knee_Points_0</t>
  </si>
  <si>
    <t>VIS_FCF_CV_Config_Target_Deceleration_Knee_Points_0</t>
  </si>
  <si>
    <t>Target deceleration knee points [0]</t>
  </si>
  <si>
    <t>VIS_FCF_CV_Config_Target_Deceleration_Knee_Points_1_V</t>
  </si>
  <si>
    <t>Validity bit for VIS_FCF_CV_Config_Target_Deceleration_Knee_Points_1</t>
  </si>
  <si>
    <t>VIS_FCF_CV_Config_Target_Deceleration_Knee_Points_1</t>
  </si>
  <si>
    <t>Target deceleration knee points [1]</t>
  </si>
  <si>
    <t>VIS_FCF_CV_Config_Target_Deceleration_Knee_Points_2_V</t>
  </si>
  <si>
    <t>Validity bit for VIS_FCF_CV_Config_Target_Deceleration_Knee_Points_2</t>
  </si>
  <si>
    <t>VIS_FCF_CV_Config_Target_Deceleration_Knee_Points_2</t>
  </si>
  <si>
    <t>Target deceleration knee points [2]</t>
  </si>
  <si>
    <t>VIS_FCF_CV_Config_Ego_Deceleration_Knee_Points_0_V</t>
  </si>
  <si>
    <t>Validity bit for VIS_FCF_CV_Config_Ego_Deceleration_Knee_Points_0</t>
  </si>
  <si>
    <t>VIS_FCF_CV_Config_Ego_Deceleration_Knee_Points_0</t>
  </si>
  <si>
    <t>Ego deceleration knee points [0]</t>
  </si>
  <si>
    <t>VIS_FCF_CV_Config_Ego_Deceleration_Knee_Points_1_V</t>
  </si>
  <si>
    <t>Validity bit for VIS_FCF_CV_Config_Ego_Deceleration_Knee_Points_1</t>
  </si>
  <si>
    <t>VIS_FCF_CV_Config_Ego_Deceleration_Knee_Points_1</t>
  </si>
  <si>
    <t>Ego deceleration knee points [1]</t>
  </si>
  <si>
    <t>VIS_FCF_CV_Config_Ego_Deceleration_Knee_Points_2_V</t>
  </si>
  <si>
    <t>Validity bit for VIS_FCF_CV_Config_Ego_Deceleration_Knee_Points_2</t>
  </si>
  <si>
    <t>VIS_FCF_CV_Config_Ego_Deceleration_Knee_Points_2</t>
  </si>
  <si>
    <t>Ego deceleration knee points [2]</t>
  </si>
  <si>
    <t>VIS_FCF_CV_Config_Min_Target_Deceleration_Knee_Points_PTW_0_V</t>
  </si>
  <si>
    <t>Validity bit for VIS_FCF_CV_Config_Min_Target_Deceleration_Knee_Points_PTW_0</t>
  </si>
  <si>
    <t>VIS_FCF_CV_Config_Min_Target_Deceleration_Knee_Points_PTW_0</t>
  </si>
  <si>
    <t>Minimum target deceleration knee points for Power Two Wheeler (PTW) [0]</t>
  </si>
  <si>
    <t>VIS_FCF_CV_Config_Min_Target_Deceleration_Knee_Points_PTW_1_V</t>
  </si>
  <si>
    <t>Validity bit for VIS_FCF_CV_Config_Min_Target_Deceleration_Knee_Points_PTW_1</t>
  </si>
  <si>
    <t>VIS_FCF_CV_Config_Min_Target_Deceleration_Knee_Points_PTW_1</t>
  </si>
  <si>
    <t>Minimum target deceleration knee points for Power Two Wheeler (PTW) [1]</t>
  </si>
  <si>
    <t>VIS_FCF_CV_Config_Min_Target_Deceleration_Knee_Points_PTW_2_V</t>
  </si>
  <si>
    <t>Validity bit for VIS_FCF_CV_Config_Min_Target_Deceleration_Knee_Points_PTW_2</t>
  </si>
  <si>
    <t>VIS_FCF_CV_Config_Min_Target_Deceleration_Knee_Points_PTW_2</t>
  </si>
  <si>
    <t>Minimum target deceleration knee points for Power Two Wheeler (PTW) [2]</t>
  </si>
  <si>
    <t>VIS_FCF_CV_Config_Min_Target_Deceleration_Knee_Points_PTW_3_V</t>
  </si>
  <si>
    <t>Validity bit for VIS_FCF_CV_Config_Min_Target_Deceleration_Knee_Points_PTW_3</t>
  </si>
  <si>
    <t>VIS_FCF_CV_Config_Min_Target_Deceleration_Knee_Points_PTW_3</t>
  </si>
  <si>
    <t>Minimum target deceleration knee points for Power Two Wheeler (PTW) [3]</t>
  </si>
  <si>
    <t>VIS_FCF_CV_Config_Target_Deceleration_Knee_Points_PTW_0_V</t>
  </si>
  <si>
    <t>Validity bit for VIS_FCF_CV_Config_Target_Deceleration_Knee_Points_PTW_0</t>
  </si>
  <si>
    <t>VIS_FCF_CV_Config_Target_Deceleration_Knee_Points_PTW_0</t>
  </si>
  <si>
    <t>Target deceleration knee points for Power Two Wheeler (PTW) [0]</t>
  </si>
  <si>
    <t>VIS_FCF_CV_Config_Target_Deceleration_Knee_Points_PTW_1_V</t>
  </si>
  <si>
    <t>Validity bit for VIS_FCF_CV_Config_Target_Deceleration_Knee_Points_PTW_1</t>
  </si>
  <si>
    <t>VIS_FCF_CV_Config_Target_Deceleration_Knee_Points_PTW_1</t>
  </si>
  <si>
    <t>Target deceleration knee points for Power Two Wheeler (PTW) [1]</t>
  </si>
  <si>
    <t>VIS_FCF_CV_Config_Target_Deceleration_Knee_Points_PTW_2_V</t>
  </si>
  <si>
    <t>Validity bit for VIS_FCF_CV_Config_Target_Deceleration_Knee_Points_PTW_2</t>
  </si>
  <si>
    <t>VIS_FCF_CV_Config_Target_Deceleration_Knee_Points_PTW_2</t>
  </si>
  <si>
    <t>Target deceleration knee points for Power Two Wheeler (PTW) [2]</t>
  </si>
  <si>
    <t>VIS_FCF_CV_Config_Ego_Deceleration_Knee_Points_PTW_0_V</t>
  </si>
  <si>
    <t>Validity bit for VIS_FCF_CV_Config_Ego_Deceleration_Knee_Points_PTW_0</t>
  </si>
  <si>
    <t>VIS_FCF_CV_Config_Ego_Deceleration_Knee_Points_PTW_0</t>
  </si>
  <si>
    <t>Ego deceleration knee points for Power Two Wheeler (PTW) [0]</t>
  </si>
  <si>
    <t>VIS_FCF_CV_Config_Ego_Deceleration_Knee_Points_PTW_1_V</t>
  </si>
  <si>
    <t>Validity bit for VIS_FCF_CV_Config_Ego_Deceleration_Knee_Points_PTW_1</t>
  </si>
  <si>
    <t>VIS_FCF_CV_Config_Ego_Deceleration_Knee_Points_PTW_1</t>
  </si>
  <si>
    <t>Ego deceleration knee points for Power Two Wheeler (PTW) [1]</t>
  </si>
  <si>
    <t>VIS_FCF_CV_Config_Ego_Deceleration_Knee_Points_PTW_2_V</t>
  </si>
  <si>
    <t>Validity bit for VIS_FCF_CV_Config_Ego_Deceleration_Knee_Points_PTW_2</t>
  </si>
  <si>
    <t>VIS_FCF_CV_Config_Ego_Deceleration_Knee_Points_PTW_2</t>
  </si>
  <si>
    <t>Ego deceleration knee points for Power Two Wheeler (PTW) [2]</t>
  </si>
  <si>
    <t>VIS_FCF_CV_Config_Max_Deceleration_V</t>
  </si>
  <si>
    <t>Validity bit for VIS_FCF_CV_Config_Max_Deceleration</t>
  </si>
  <si>
    <t>VIS_FCF_CV_Config_Max_Deceleration</t>
  </si>
  <si>
    <t>Maximum brake deceleration per brake alert level. Applicable for brake alert only; will limit value reported on FCF_CV output</t>
  </si>
  <si>
    <t>[0,15]
INFINITY=INVALID</t>
  </si>
  <si>
    <t>VIS_FCF_CV_Config_Suppress_By_Driver_Brake_V</t>
  </si>
  <si>
    <t>Validity bit for VIS_FCF_CV_Config_Suppress_By_Driver_Brake</t>
  </si>
  <si>
    <t>VIS_FCF_CV_Config_Suppress_By_Driver_Brake</t>
  </si>
  <si>
    <t>Suppress the alert while the driver is braking</t>
  </si>
  <si>
    <t>VIS_FCF_CV_Config_Min_TTC_To_Begin_Alert_V</t>
  </si>
  <si>
    <t>Validity bit for VIS_FCF_CV_Config_Min_TTC_To_Begin_Alert</t>
  </si>
  <si>
    <t>VIS_FCF_CV_Config_Min_TTC_To_Begin_Alert</t>
  </si>
  <si>
    <t>Suppress the alert if the TTC to start the alert is lower than this value - i.e.suppress late alerts</t>
  </si>
  <si>
    <t>[0,3]
INFINITY=INVALID</t>
  </si>
  <si>
    <t>VIS_FCF_CV_Config_Disable_On_Stationary_Target_V</t>
  </si>
  <si>
    <t>Validity bit for VIS_FCF_CV_Config_Disable_On_Stationary_Target</t>
  </si>
  <si>
    <t>VIS_FCF_CV_Config_Disable_On_Stationary_Target</t>
  </si>
  <si>
    <t>Disable alert level on stationary targets</t>
  </si>
  <si>
    <t>VIS_FCF_CV_Config_Use_Deceleration_Threshold_V</t>
  </si>
  <si>
    <t>Validity bit for VIS_FCF_CV_Config_Use_Deceleration_Threshold</t>
  </si>
  <si>
    <t>VIS_FCF_CV_Config_Use_Deceleration_Threshold</t>
  </si>
  <si>
    <t>Use Ego/Target deceleration knee points for the alert. This value is always true for Brake alerts, shall be true/false for Warning alerts.</t>
  </si>
  <si>
    <t>VIS_FCF_CV_Config_Min_Alert_Time_V</t>
  </si>
  <si>
    <t>Validity bit for VIS_FCF_CV_Config_Min_Alert_Time</t>
  </si>
  <si>
    <t>VIS_FCF_CV_Config_Min_Alert_Time</t>
  </si>
  <si>
    <t>Minimum alert length. Applicable for warning alerts only.</t>
  </si>
  <si>
    <t>VIS_FCF_CV_Config_Max_Alert_Time_V</t>
  </si>
  <si>
    <t>Validity bit for VIS_FCF_CV_Config_Max_Alert_Time</t>
  </si>
  <si>
    <t>VIS_FCF_CV_Config_Max_Alert_Time</t>
  </si>
  <si>
    <t>Maximum alert length. Applicable for warning alerts only.</t>
  </si>
  <si>
    <t>VIS_FCF_CV_Config_Min_Pause_After_Warn_V</t>
  </si>
  <si>
    <t>Validity bit for VIS_FCF_CV_Config_Min_Pause_After_Warn</t>
  </si>
  <si>
    <t>VIS_FCF_CV_Config_Min_Pause_After_Warn</t>
  </si>
  <si>
    <t>Grace period between consecutive alerts. Applicable for warning alerts only.</t>
  </si>
  <si>
    <t>VIS_FCF_CV_Config_Use_PTW_Thresholds_V</t>
  </si>
  <si>
    <t>Validity bit for VIS_FCF_CV_Config_Use_PTW_Thresholds</t>
  </si>
  <si>
    <t>VIS_FCF_CV_Config_Use_PTW_Thresholds</t>
  </si>
  <si>
    <t>Enable separate thresholds for Power Two Wheeler (PTW) and Vehicle targets.</t>
  </si>
  <si>
    <t>VIS_FCF_CV_Config_PTW_Only_Mode_V</t>
  </si>
  <si>
    <t>Validity bit for VIS_FCF_CV_Config_PTW_Only_Mode</t>
  </si>
  <si>
    <t>VIS_FCF_CV_Config_PTW_Only_Mode</t>
  </si>
  <si>
    <t>Limit the specific alert level to Power Two Wheeler (PTW) only; do not alert on cars.</t>
  </si>
  <si>
    <t>VIS_FCF_CV_Config_Min_Target_Speed_Threshold_V</t>
  </si>
  <si>
    <t>Validity bit for VIS_FCF_CV_Config_Min_Target_Speed_Threshold</t>
  </si>
  <si>
    <t>VIS_FCF_CV_Config_Min_Target_Speed_Threshold</t>
  </si>
  <si>
    <t>Minimum target speed for alert trigger</t>
  </si>
  <si>
    <t>[0,35]
INFINITY=INVALID</t>
  </si>
  <si>
    <t>VIS_FCF_CV_Config_Max_Target_Speed_Threshold_V</t>
  </si>
  <si>
    <t>Validity bit for VIS_FCF_CV_Config_Max_Target_Speed_Threshold</t>
  </si>
  <si>
    <t>VIS_FCF_CV_Config_Max_Target_Speed_Threshold</t>
  </si>
  <si>
    <t>Maximum target speed for alert trigger</t>
  </si>
  <si>
    <t>VIS_FCF_CV_Config_Brake_Activation_Delay</t>
  </si>
  <si>
    <t>Brake activation delay (silent + ramp)</t>
  </si>
  <si>
    <t>VIS_FCF_CV_Config_Extra_Ego_Spacing</t>
  </si>
  <si>
    <t>Extra ego spacing - hit box around ego vehicle</t>
  </si>
  <si>
    <t>Peer reviewed. Issues found.</t>
  </si>
  <si>
    <t>*Added validator signals.
*Added Aptiv_Protocol_Version
*Added CRC
*Added VIS_FCF_CV_Config_IFCFCV_Optional_Signals
* Updated Size</t>
  </si>
  <si>
    <t>*Removed VIS_FCF_CV_Config_IFCFCV_Optional_Signals
*Updated Size
*Replaced Type:ttc_kneepoint_t by time_5_t
*Replaced Type:deceleration_kneepoint_t by deceleration_10_t
*Replaced Type:speed_kneepoint_t by speed_100_t
*Replaced Type:distance_kneepoint_t by dist_10_t</t>
  </si>
  <si>
    <t>Updates ASIL Compliance to TBD.</t>
  </si>
  <si>
    <t>Updated below signals to use defined Data definition time_5_t instead of float 32. It has no change for the signal definition rather preventing to mention all the values by using the data definition:
*VIS_FCF_CV_Config_Min_Alert_Time
*VIS_FCF_CV_Config_Max_Alert_Time
*VIS_FCF_CV_Config_Min_Pause_After_Warn</t>
  </si>
  <si>
    <t>Review of reference point definition. Vertical position should be set to : Not Applicable</t>
  </si>
  <si>
    <t>Vertical position in reference point changed into "NA"</t>
  </si>
  <si>
    <t>AVI_FCF_VD_Config</t>
  </si>
  <si>
    <t>Reference point on object:
Front bumper for oncoming scenarios and rear bumper for preceding scenarios.
- Longitudinal position: longitudinal position of middle of the bumper
- Lateral position: lateral position of middle of the bumper
- Vertical position: NA</t>
  </si>
  <si>
    <t>Gen4: 1/36
Gen6: 1/20
Gen7:TBD</t>
  </si>
  <si>
    <t>VIS_FCF_VD_Common_Header</t>
  </si>
  <si>
    <t>VIS_FCF_VD.Header</t>
  </si>
  <si>
    <t>VIS_FCF_VD_AEB_Supp_FCV</t>
  </si>
  <si>
    <t xml:space="preserve">AEB suppression reason </t>
  </si>
  <si>
    <t>aeb_suppression_reason_struct</t>
  </si>
  <si>
    <t>VIS_FCF_VD_Alert_FCV</t>
  </si>
  <si>
    <t xml:space="preserve">Fusion suggestion. Based on configurable specific sets G, H for this purpose.
To be used for fused AEB. </t>
  </si>
  <si>
    <t>ENUM:
0=NO_FUSION
0x9977=AVOID
0xAA44=CONTINUE
0x6688=START
65535=INVALID</t>
  </si>
  <si>
    <t>VIS_FCF_VD_ID_FCV</t>
  </si>
  <si>
    <t>ID of vehicle on which activation was issued</t>
  </si>
  <si>
    <t>VIS_FCF_VD_Count</t>
  </si>
  <si>
    <t>VIS_FCF_VD_HeadWay_Alert</t>
  </si>
  <si>
    <t>Headway Alert</t>
  </si>
  <si>
    <t>ENUM:
0=NO_ALERT
1=ALERT
255=INVALID</t>
  </si>
  <si>
    <t>VIS_FCF_VD_HeadWay_Distance</t>
  </si>
  <si>
    <t xml:space="preserve">Headway distance in meters. </t>
  </si>
  <si>
    <t>[-1,200]
INFINITY=INVALID</t>
  </si>
  <si>
    <t>VIS_FCF_VD_HW_Supp_Reason</t>
  </si>
  <si>
    <t>suppression head way reasons</t>
  </si>
  <si>
    <t>headway_suppression_reason_struct</t>
  </si>
  <si>
    <t>VIS_FCF_VD_Headway_Headway</t>
  </si>
  <si>
    <t>Headway distance in seconds</t>
  </si>
  <si>
    <t>time_3_t</t>
  </si>
  <si>
    <t>VIS_FCF_VD_CRC</t>
  </si>
  <si>
    <t>Calculated over Alert set signals. From the signal after the CRC until the last signal in VIS_FCF_VD.Alert_[Element]</t>
  </si>
  <si>
    <t>VIS_FCF_VD.Alert_[Element],
Element ∈ [A:H]</t>
  </si>
  <si>
    <t>VIS_FCF_VD_Alert</t>
  </si>
  <si>
    <t>VIS_FCF_VD_ID</t>
  </si>
  <si>
    <t>VIS_FCF_VD_AEB_Supp</t>
  </si>
  <si>
    <t>AEB suppression reason</t>
  </si>
  <si>
    <t>VIS_FCF_VD_Safety_Suppressed</t>
  </si>
  <si>
    <t>The bit indicates allert suppresion as for safety event</t>
  </si>
  <si>
    <t>0=FALSE 
1=TRUE</t>
  </si>
  <si>
    <t>VIS_FCF_VD_FCW_Supp</t>
  </si>
  <si>
    <t>FCW suppression reason</t>
  </si>
  <si>
    <t>fcw_suppression_reason_struct</t>
  </si>
  <si>
    <t>VIS_FCF_VD_Set_Type</t>
  </si>
  <si>
    <t>The type of the raised alert. It is specifying the scenario.</t>
  </si>
  <si>
    <t>ENUM:
0=REGULAR
1=EGO_TAP
2=HEAD_ON
255=INVALID</t>
  </si>
  <si>
    <t>VIS_FCF_VD_TTC_Thresh</t>
  </si>
  <si>
    <t>TTC used threshold.
It is dynamic, based on host speed.</t>
  </si>
  <si>
    <t>time_10_t</t>
  </si>
  <si>
    <t>VIS_FCF_VD_TTC</t>
  </si>
  <si>
    <t>Estimated TTC at alert event.
For debug purposes.</t>
  </si>
  <si>
    <t>First version of the document</t>
  </si>
  <si>
    <t>*Changed signal name VIS_FCF_VD_CV_SoC_Frame_ID -&gt; VIS_FCF_VD_Algo_Frame_ID
*Changed description of signal  "VIS_FCF_VD_Protocol_Version" from "CV supplier interface version" -&gt; "Computer Vision FCF_VD interface version"
*VIS_FCF_VD_APTIV_Protocol_Version DataType changed from uint8 to uint16.
*VIS_FCF_VD_APTIV_Protocol_Version Size changed from 8 to 16.
*VIS_FCF_VD_APTIV_Protocol_Version Max changed from 255 to 65535.</t>
  </si>
  <si>
    <t> *Changed coordinate system from :''ISO 8855'' to ''SAE J670 Z-down''
*Updated VIS_FCF_VD.Header
*Updated VIS_FCF_VD.Alert.[Element]
*Using one struct with lenght of 8 instead of one struct per alert.
*Using struct instead of BITWIZE signals by introducing:
aeb_suppression_reason_struct
headway_suppression_reason_struct
fcw_suppression_reason_struct
*Removed column Resolution</t>
  </si>
  <si>
    <t>Fixed issues reported in peer review</t>
  </si>
  <si>
    <t>*Updated Struct Name to ''VIS_FCF_VD.Alert_[Element]''
*Updated Description of ''VIS_FCF_VD_HeadWay_Distance''</t>
  </si>
  <si>
    <t>Peer-reviewed, no issue, except size formula.</t>
  </si>
  <si>
    <t>*size updated</t>
  </si>
  <si>
    <t>Peer-reviewed size. No issue found</t>
  </si>
  <si>
    <t>Approved. Referring to FCF_VD_Definitions version 1 &amp; Cross-FCN_Definitions version 1.</t>
  </si>
  <si>
    <t>*Introduced signal VIS_FCF_VD_Element_TTC.
*Updated data type for TTC and TTC threshold signals.
*Introduced signal VIS_FCF_VD_Count</t>
  </si>
  <si>
    <t>*Updated signal VIS_FCF_VD_Element_Alert</t>
  </si>
  <si>
    <t>Delta from 2.0 peer reviewed. no issues found, except issues with descriptions in FCF_Defintions v0.2</t>
  </si>
  <si>
    <t xml:space="preserve">Delta from 2.0 peer reviewed. no issues found. </t>
  </si>
  <si>
    <t>Approved. Referring to FCF_Definitions version 1 &amp; Cross-FCN_Definitions version 1.</t>
  </si>
  <si>
    <t>*Updated VIS_FCF_VD_HeadWay_Distance 
*Updated value of signal VIS_FCF_VD_Element_Set_Type</t>
  </si>
  <si>
    <t>delta-review done, suggestion is marked orange for one value of VIS_FCF_VD_Element_Set_Type.</t>
  </si>
  <si>
    <t>*Updated typo in value of signal VIS_FCF_VD_Element_Set_Type.</t>
  </si>
  <si>
    <t>re-delta-review done, no issue found.</t>
  </si>
  <si>
    <t>Approved. Referring to FCF_Definitions version 1 &amp; Cross-FCN_Definitions version 2.</t>
  </si>
  <si>
    <t xml:space="preserve">*Updated all the signals' name (removed Element from the name) belong to structure VIS_FCF_VD.Alert_[Element] </t>
  </si>
  <si>
    <t>Updated ASIL Compliance for VIS_FCF_VD_Safety_Suppressed from ASIL B into QM. As this signal is not used in safety component, there is no need to protect it.</t>
  </si>
  <si>
    <t>Delta peer reviewed. No issue found.</t>
  </si>
  <si>
    <t>*Updated Type:ttc_t by time_10_t</t>
  </si>
  <si>
    <t>Signal name VIS_FCF_VD_TTC_Thresh was corrected due to accidental mistake</t>
  </si>
  <si>
    <t>Signal "VIS_FCF_VD_Headway_Headway" has been added</t>
  </si>
  <si>
    <t>Corrected as it was highlighted in peer-review. Size of the FCF_VD AVI was changed into 3288 due to the fact that new signal "VIS_FCF_VD_Headway_Headway" has been added.</t>
  </si>
  <si>
    <t>Peer-reviewed. No issue found.</t>
  </si>
  <si>
    <t>Approved. Referring to FCF_Definitions version 2 &amp; Cross-FCN_Definitions version 4</t>
  </si>
  <si>
    <t>10.2</t>
  </si>
  <si>
    <t>Reference point definition changed</t>
  </si>
  <si>
    <t>11</t>
  </si>
  <si>
    <t>11.1</t>
  </si>
  <si>
    <t>11.2</t>
  </si>
  <si>
    <t>12</t>
  </si>
  <si>
    <t>VIS_FCF_VD_Config_CRC</t>
  </si>
  <si>
    <t>TBD</t>
  </si>
  <si>
    <t>VIS_FCF_VD_Config.Alert_Init</t>
  </si>
  <si>
    <t>VIS_FCF_VD_Config_Aptiv_Protocol_Version</t>
  </si>
  <si>
    <t>VIS_FCF_VD_Config_Protocol_Version</t>
  </si>
  <si>
    <t>VIS_FCF_VD_Config_AdhereToGapSensitivity_V</t>
  </si>
  <si>
    <t>This validity flag. If set to TRUE, indicates that we should map the information sent to us in the VIS_FCF_VD_Config_AdhereToGapSensitivity signal to the FFS</t>
  </si>
  <si>
    <t>VIS_FCF_VD_Config_AdhereToGapSensitivity</t>
  </si>
  <si>
    <t>Decide if gap sensitivity is used for specific set. Shall be set to True to allow ego vehicle driver partial control over TTC thresholds.</t>
  </si>
  <si>
    <t>VIS_FCF_VD_Config_AEB_BrakeToStillMode_V</t>
  </si>
  <si>
    <t>This validity flag, if set to TRUE, indicates that we should map the information sent to us in the VIS_FCF_VD_Config_AEB_BrakeToStillMode signal to the FFS</t>
  </si>
  <si>
    <t>VIS_FCF_VD_Config_AEB_BrakeToStillMode</t>
  </si>
  <si>
    <t>Defining stand still mode</t>
  </si>
  <si>
    <t>VIS_FCF_VD_Config_AEB_Deceleration_0_V</t>
  </si>
  <si>
    <t>This validity flag, if set to TRUE, indicates that we should map the information sent to us in the VIS_FCF_VD_Config_AEB_Deceleration_0 signal to the FFS</t>
  </si>
  <si>
    <t>VIS_FCF_VD_Config_AEB_Deceleration_0</t>
  </si>
  <si>
    <t xml:space="preserve">Ego Deceleration-dependent TTC threshold reductions. Defines deceleration thresholds to be used in accordance with  AEB_deceleration_reduction. Based on the signals egobrake and longitudinal Acceleration. </t>
  </si>
  <si>
    <t>[-10,0]
INFINITY=INVALID</t>
  </si>
  <si>
    <t>VIS_FCF_VD_Config_AEB_Deceleration_1_V</t>
  </si>
  <si>
    <t>This validity flag, if set to TRUE, indicates that we should map the information sent to us in the VIS_FCF_VD_Config_AEB_Deceleration_1 signal to the FFS</t>
  </si>
  <si>
    <t>VIS_FCF_VD_Config_AEB_Deceleration_1</t>
  </si>
  <si>
    <t>VIS_FCF_VD_Config_AEB_Deceleration_2_V</t>
  </si>
  <si>
    <t>This validity flag, if set to TRUE, indicates that we should map the information sent to us in the VIS_FCF_VD_Config_AEB_Deceleration_2 signal to the FFS</t>
  </si>
  <si>
    <t>VIS_FCF_VD_Config_AEB_Deceleration_2</t>
  </si>
  <si>
    <t>VIS_FCF_VD_Config_AEB_Deceleration_Reduction_0_V</t>
  </si>
  <si>
    <t>This validity flag, if set to TRUE, indicates that we should map the information sent to us in the VIS_FCF_VD_Config_AEB_Deceleration_Reduction_0 signal to the FFS</t>
  </si>
  <si>
    <t>VIS_FCF_VD_Config_AEB_Deceleration_Reduction_0</t>
  </si>
  <si>
    <t>Threshold reduction values. The TTC Threshold will be reduced by the corresponding parameter value in accordance with the Deceleration Thresholds set in AEB_deceleration</t>
  </si>
  <si>
    <t>[0,2]
INFINITY=INVALID</t>
  </si>
  <si>
    <t>VIS_FCF_VD_Config_AEB_Deceleration_Reduction_1_V</t>
  </si>
  <si>
    <t>This validity flag, if set to TRUE, indicates that we should map the information sent to us in the VIS_FCF_VD_Config_AEB_Deceleration_Reduction_1 signal to the FFS</t>
  </si>
  <si>
    <t>VIS_FCF_VD_Config_AEB_Deceleration_Reduction_1</t>
  </si>
  <si>
    <t>VIS_FCF_VD_Config_AEB_Deceleration_Reduction_2_V</t>
  </si>
  <si>
    <t>This validity flag, if set to TRUE, indicates that we should map the information sent to us in the VIS_FCF_VD_Config_AEB_Deceleration_Reduction_2 signal to the FFS</t>
  </si>
  <si>
    <t>VIS_FCF_VD_Config_AEB_Deceleration_Reduction_2</t>
  </si>
  <si>
    <t>VIS_FCF_VD_Config_AEB_MaxRelevantVelocity_V</t>
  </si>
  <si>
    <t>This validity flag, if set to TRUE, indicates that we should map the information sent to us in the VIS_FCF_VD_Config_AEB_MaxRelevantVelocity signal to the FFS</t>
  </si>
  <si>
    <t>VIS_FCF_VD_Config_AEB_MaxRelevantVelocity</t>
  </si>
  <si>
    <t>Maximum relative speed  for AEB alerts. New alert will not be issued above this speed</t>
  </si>
  <si>
    <t>[-50,0]
INFINITY=INVALID</t>
  </si>
  <si>
    <t>VIS_FCF_VD_Config_AEB_MaxSpeed_V</t>
  </si>
  <si>
    <t>This validity flag, if set to TRUE, indicates that we should map the information sent to us in the VIS_FCF_VD_Config_AEB_MaxSpeed signal to the FFS</t>
  </si>
  <si>
    <t>VIS_FCF_VD_Config_AEB_MaxSpeed</t>
  </si>
  <si>
    <t>Maximum ego Speed for AEB alert.  New alert will not be issued above this speed.</t>
  </si>
  <si>
    <t>VIS_FCF_VD_Config_AEB_MaxSpeedReduction_V</t>
  </si>
  <si>
    <t>This validity flag, if set to TRUE, indicates that we should map the information sent to us in the VIS_FCF_VD_Config_AEB_MaxSpeedReduction signal to the FFS</t>
  </si>
  <si>
    <t>VIS_FCF_VD_Config_AEB_MaxSpeedReduction</t>
  </si>
  <si>
    <t xml:space="preserve">Max speed reduction to abort an AEB warning (starting from AEB warning activation). 0 == no limitation. When the speed reduction due to this alert is reached, the alert will be suppressed </t>
  </si>
  <si>
    <t>VIS_FCF_VD_Config_AEB_MaxYawRate_V</t>
  </si>
  <si>
    <t>This validity flag, if set to TRUE, indicates that we should map the information sent to us in the VIS_FCF_VD_Config_AEB_MaxYawRate signal to the FFS</t>
  </si>
  <si>
    <t>VIS_FCF_VD_Config_AEB_MaxYawRate</t>
  </si>
  <si>
    <t>Max Yaw Rate Suppression Threshold. Based on the signal from ego vehicle</t>
  </si>
  <si>
    <t>deg/s</t>
  </si>
  <si>
    <t>[0,3000]
65535=INVALID</t>
  </si>
  <si>
    <t>VIS_FCF_VD_Config_AEB_Min_time_after_AEB_for_AEB_V</t>
  </si>
  <si>
    <t>This validity flag, if set to TRUE, indicates that we should map the information sent to us in the VIS_FCF_VD_Config_AEB_Min_time_after_AEB_for_AEB signal to the FFS</t>
  </si>
  <si>
    <t>VIS_FCF_VD_Config_AEB_Min_time_after_AEB_for_AEB</t>
  </si>
  <si>
    <t>Minimum Suppression time between  AEB Warnings for a specific set</t>
  </si>
  <si>
    <t>[0,9.9]
INFINITY=INVALID</t>
  </si>
  <si>
    <t>VIS_FCF_VD_Config_AEB_MinRelevantVelocity_V</t>
  </si>
  <si>
    <t>This validity flag, if set to TRUE, indicates that we should map the information sent to us in the VIS_FCF_VD_Config_AEB_MinRelevantVelocity signal to the FFS</t>
  </si>
  <si>
    <t>VIS_FCF_VD_Config_AEB_MinRelevantVelocity</t>
  </si>
  <si>
    <t>Minimum relative speed  for AEB alerts. New alert will not be issued below this speed.</t>
  </si>
  <si>
    <t>VIS_FCF_VD_Config_AEB_MinSpeed_V</t>
  </si>
  <si>
    <t>This validity flag, if set to TRUE, indicates that we should map the information sent to us in the VIS_FCF_VD_Config_AEB_MinSpeed signal to the FFS</t>
  </si>
  <si>
    <t>VIS_FCF_VD_Config_AEB_MinSpeed</t>
  </si>
  <si>
    <t>Maximum ego Speed for AEB alert.  New alert will not be issued below this speed.</t>
  </si>
  <si>
    <t>VIS_FCF_VD_Config_AEB_StandStillFollowTimeHyst_V</t>
  </si>
  <si>
    <t>This validity flag, if set to TRUE, indicates that we should map the information sent to us in the VIS_FCF_VD_Config_AEB_StandStillFollowTimeHyst signal to the FFS</t>
  </si>
  <si>
    <t>VIS_FCF_VD_Config_AEB_StandStillFollowTimeHyst</t>
  </si>
  <si>
    <t>If the Stand Still Mode is set to 2, continue the alert for target vehicles which do not move. If target vehicle starts to move, continue the event for additional AEB_standStillFollowTimeHyst.</t>
  </si>
  <si>
    <t>VIS_FCF_VD_Config_AEB_StandStillMaxSpeed_V</t>
  </si>
  <si>
    <t>This validity flag, if set to TRUE, indicates that we should map the information sent to us in the VIS_FCF_VD_Config_AEB_StandStillMaxSpeed signal to the FFS</t>
  </si>
  <si>
    <t>VIS_FCF_VD_Config_AEB_StandStillMaxSpeed</t>
  </si>
  <si>
    <t>Max ego speed for activating standstill management</t>
  </si>
  <si>
    <t>VIS_FCF_VD_Config_AEB_StandStillStillTimeHyst_V</t>
  </si>
  <si>
    <t>This validity flag, if set to TRUE, indicates that we should map the information sent to us in the VIS_FCF_VD_Config_AEB_StandStillStillTimeHyst signal to the FFS</t>
  </si>
  <si>
    <t>VIS_FCF_VD_Config_AEB_StandStillStillTimeHyst</t>
  </si>
  <si>
    <t xml:space="preserve">If the Stand Still Mode is set to 1, then regardless of target vehicle behavior, alert will be continued for this time </t>
  </si>
  <si>
    <t>VIS_FCF_VD_Config_Far_FCA_HW_VAL_0_V</t>
  </si>
  <si>
    <t>This validity flag, if set to TRUE, indicates that we should map the information sent to us in the VIS_FCF_VD_Config_Far_FCA_HW_VAL_0 signal to the FFS</t>
  </si>
  <si>
    <t>VIS_FCF_VD_Config_Far_FCA_HW_VAL_0</t>
  </si>
  <si>
    <t>HW values kneepoints in Far mode</t>
  </si>
  <si>
    <t>time_to_headway_kneepoint_t</t>
  </si>
  <si>
    <t>VIS_FCF_VD_Config_Far_FCA_HW_VAL_1_V</t>
  </si>
  <si>
    <t>This validity flag, if set to TRUE, indicates that we should map the information sent to us in the VIS_FCF_VD_Config_Far_FCA_HW_VAL_1 signal to the FFS</t>
  </si>
  <si>
    <t>VIS_FCF_VD_Config_Far_FCA_HW_VAL_1</t>
  </si>
  <si>
    <t>VIS_FCF_VD_Config_Far_FCA_HW_VAL_2_V</t>
  </si>
  <si>
    <t>This validity flag, if set to TRUE, indicates that we should map the information sent to us in the VIS_FCF_VD_Config_Far_FCA_HW_VAL_2 signal to the FFS</t>
  </si>
  <si>
    <t>VIS_FCF_VD_Config_Far_FCA_HW_VAL_2</t>
  </si>
  <si>
    <t>VIS_FCF_VD_Config_Far_FCA_HW_VAL_3_V</t>
  </si>
  <si>
    <t>This validity flag, if set to TRUE, indicates that we should map the information sent to us in the VIS_FCF_VD_Config_Far_FCA_HW_VAL_3 signal to the FFS</t>
  </si>
  <si>
    <t>VIS_FCF_VD_Config_Far_FCA_HW_VAL_3</t>
  </si>
  <si>
    <t>VIS_FCF_VD_Config_FAR_TTC_TABLE_0_V</t>
  </si>
  <si>
    <t>This validity flag, if set to TRUE, indicates that we should map the information sent to us in the VIS_FCF_VD_Config_FAR_TTC_TABLE_0 signal to the FFS</t>
  </si>
  <si>
    <t>VIS_FCF_VD_Config_FAR_TTC_TABLE_0</t>
  </si>
  <si>
    <t>TTC threshold array kneepoints for sensitivity level FAR</t>
  </si>
  <si>
    <t>VIS_FCF_VD_Config_FAR_TTC_TABLE_1_V</t>
  </si>
  <si>
    <t>This validity flag, if set to TRUE, indicates that we should map the information sent to us in the VIS_FCF_VD_Config_FAR_TTC_TABLE_1 signal to the FFS</t>
  </si>
  <si>
    <t>VIS_FCF_VD_Config_FAR_TTC_TABLE_1</t>
  </si>
  <si>
    <t>VIS_FCF_VD_Config_FAR_TTC_TABLE_2_V</t>
  </si>
  <si>
    <t>This validity flag, if set to TRUE, indicates that we should map the information sent to us in the VIS_FCF_VD_Config_FAR_TTC_TABLE_2 signal to the FFS</t>
  </si>
  <si>
    <t>VIS_FCF_VD_Config_FAR_TTC_TABLE_2</t>
  </si>
  <si>
    <t>VIS_FCF_VD_Config_FAR_TTC_TABLE_3_V</t>
  </si>
  <si>
    <t>This validity flag, if set to TRUE, indicates that we should map the information sent to us in the VIS_FCF_VD_Config_FAR_TTC_TABLE_3 signal to the FFS</t>
  </si>
  <si>
    <t>VIS_FCF_VD_Config_FAR_TTC_TABLE_3</t>
  </si>
  <si>
    <t>VIS_FCF_VD_Config_FAR_TTC_TABLE_4_V</t>
  </si>
  <si>
    <t>This validity flag, if set to TRUE, indicates that we should map the information sent to us in the VIS_FCF_VD_Config_FAR_TTC_TABLE_4 signal to the FFS</t>
  </si>
  <si>
    <t>VIS_FCF_VD_Config_FAR_TTC_TABLE_4</t>
  </si>
  <si>
    <t>VIS_FCF_VD_Config_FAR_TTC_TABLE_5_V</t>
  </si>
  <si>
    <t>This validity flag, if set to TRUE, indicates that we should map the information sent to us in the VIS_FCF_VD_Config_FAR_TTC_TABLE_5 signal to the FFS</t>
  </si>
  <si>
    <t>VIS_FCF_VD_Config_FAR_TTC_TABLE_5</t>
  </si>
  <si>
    <t>VIS_FCF_VD_Config_FAR_TTC_TABLE_6_V</t>
  </si>
  <si>
    <t>This validity flag, if set to TRUE, indicates that we should map the information sent to us in the VIS_FCF_VD_Config_FAR_TTC_TABLE_6 signal to the FFS</t>
  </si>
  <si>
    <t>VIS_FCF_VD_Config_FAR_TTC_TABLE_6</t>
  </si>
  <si>
    <t>VIS_FCF_VD_Config_FAR_TTC_TABLE_7_V</t>
  </si>
  <si>
    <t>This validity flag, if set to TRUE, indicates that we should map the information sent to us in the VIS_FCF_VD_Config_FAR_TTC_TABLE_7 signal to the FFS</t>
  </si>
  <si>
    <t>VIS_FCF_VD_Config_FAR_TTC_TABLE_7</t>
  </si>
  <si>
    <t>VIS_FCF_VD_Config_FCA_HW_Kneepoints_0_V</t>
  </si>
  <si>
    <t>This validity flag, if set to TRUE, indicates that we should map the information sent to us in the VIS_FCF_VD_Config_FCA_HW_Kneepoints_0 signal to the FFS</t>
  </si>
  <si>
    <t>VIS_FCF_VD_Config_FCA_HW_Kneepoints_0</t>
  </si>
  <si>
    <t>Ego speed kneepoints for HW</t>
  </si>
  <si>
    <t>headway_speed_kneepoint_t</t>
  </si>
  <si>
    <t>VIS_FCF_VD_Config_FCA_HW_Kneepoints_1_V</t>
  </si>
  <si>
    <t>This validity flag, if set to TRUE, indicates that we should map the information sent to us in the VIS_FCF_VD_Config_FCA_HW_Kneepoints_1 signal to the FFS</t>
  </si>
  <si>
    <t>VIS_FCF_VD_Config_FCA_HW_Kneepoints_1</t>
  </si>
  <si>
    <t>VIS_FCF_VD_Config_FCA_HW_Kneepoints_2_V</t>
  </si>
  <si>
    <t>This validity flag, if set to TRUE, indicates that we should map the information sent to us in the VIS_FCF_VD_Config_FCA_HW_Kneepoints_2 signal to the FFS</t>
  </si>
  <si>
    <t>VIS_FCF_VD_Config_FCA_HW_Kneepoints_2</t>
  </si>
  <si>
    <t>VIS_FCF_VD_Config_FCA_HW_Kneepoints_3_V</t>
  </si>
  <si>
    <t>This validity flag, if set to TRUE, indicates that we should map the information sent to us in the VIS_FCF_VD_Config_FCA_HW_Kneepoints_3 signal to the FFS</t>
  </si>
  <si>
    <t>VIS_FCF_VD_Config_FCA_HW_Kneepoints_3</t>
  </si>
  <si>
    <t>VIS_FCF_VD_Config_FCA_HW_Stop_Fact_V</t>
  </si>
  <si>
    <t>This validity flag, if set to TRUE, indicates that we should map the information sent to us in the VIS_FCF_VD_Config_FCA_HW_Stop_Fact signal to the FFS</t>
  </si>
  <si>
    <t>VIS_FCF_VD_Config_FCA_HW_Stop_Fact</t>
  </si>
  <si>
    <t>Hysteresis for stopping HW alert. Used as factor to the HW val</t>
  </si>
  <si>
    <t>VIS_FCF_VD_Config_FCA_Ignition_default_state_V</t>
  </si>
  <si>
    <t>This validity flag, if set to TRUE, indicates that we should map the information sent to us in the VIS_FCF_VD_Config_FCA_Ignition_default_state signal to the FFS</t>
  </si>
  <si>
    <t>VIS_FCF_VD_Config_FCA_Ignition_default_state</t>
  </si>
  <si>
    <t xml:space="preserve">Defines the ignition state. 0=Disabled, 1=Near, 2=Medium, 3=Far. Ignition state correlates to ego speed based TTC threshold tables  </t>
  </si>
  <si>
    <t>VIS_FCF_VD_Config_FCW_BaseSpeeds_0_V</t>
  </si>
  <si>
    <t>This validity flag, if set to TRUE, indicates that we should map the information sent to us in the VIS_FCF_VD_Config_FCW_BaseSpeeds_0 signal to the FFS</t>
  </si>
  <si>
    <t>VIS_FCF_VD_Config_FCW_BaseSpeeds_0</t>
  </si>
  <si>
    <t>Speed kneepoint array to define TTC threshold values in the X axis</t>
  </si>
  <si>
    <t>base_speed_kneepoint_t</t>
  </si>
  <si>
    <t>VIS_FCF_VD_Config_FCW_BaseSpeeds_1_V</t>
  </si>
  <si>
    <t>This validity flag, if set to TRUE, indicates that we should map the information sent to us in the VIS_FCF_VD_Config_FCW_BaseSpeeds_1 signal to the FFS</t>
  </si>
  <si>
    <t>VIS_FCF_VD_Config_FCW_BaseSpeeds_1</t>
  </si>
  <si>
    <t>VIS_FCF_VD_Config_FCW_BaseSpeeds_2_V</t>
  </si>
  <si>
    <t>This validity flag, if set to TRUE, indicates that we should map the information sent to us in the VIS_FCF_VD_Config_FCW_BaseSpeeds_2 signal to the FFS</t>
  </si>
  <si>
    <t>VIS_FCF_VD_Config_FCW_BaseSpeeds_2</t>
  </si>
  <si>
    <t>VIS_FCF_VD_Config_FCW_BaseSpeeds_3_V</t>
  </si>
  <si>
    <t>This validity flag, if set to TRUE, indicates that we should map the information sent to us in the VIS_FCF_VD_Config_FCW_BaseSpeeds_3 signal to the FFS</t>
  </si>
  <si>
    <t>VIS_FCF_VD_Config_FCW_BaseSpeeds_3</t>
  </si>
  <si>
    <t>VIS_FCF_VD_Config_FCW_BaseSpeeds_4_V</t>
  </si>
  <si>
    <t>This validity flag, if set to TRUE, indicates that we should map the information sent to us in the VIS_FCF_VD_Config_FCW_BaseSpeeds_4 signal to the FFS</t>
  </si>
  <si>
    <t>VIS_FCF_VD_Config_FCW_BaseSpeeds_4</t>
  </si>
  <si>
    <t>VIS_FCF_VD_Config_FCW_BaseSpeeds_5_V</t>
  </si>
  <si>
    <t>This validity flag, if set to TRUE, indicates that we should map the information sent to us in the VIS_FCF_VD_Config_FCW_BaseSpeeds_5 signal to the FFS</t>
  </si>
  <si>
    <t>VIS_FCF_VD_Config_FCW_BaseSpeeds_5</t>
  </si>
  <si>
    <t>VIS_FCF_VD_Config_FCW_BaseSpeeds_6_V</t>
  </si>
  <si>
    <t>This validity flag, if set to TRUE, indicates that we should map the information sent to us in the VIS_FCF_VD_Config_FCW_BaseSpeeds_6 signal to the FFS</t>
  </si>
  <si>
    <t>VIS_FCF_VD_Config_FCW_BaseSpeeds_6</t>
  </si>
  <si>
    <t>VIS_FCF_VD_Config_FCW_BaseSpeeds_7_V</t>
  </si>
  <si>
    <t>This validity flag, if set to TRUE, indicates that we should map the information sent to us in the VIS_FCF_VD_Config_FCW_BaseSpeeds_7 signal to the FFS</t>
  </si>
  <si>
    <t>VIS_FCF_VD_Config_FCW_BaseSpeeds_7</t>
  </si>
  <si>
    <t>VIS_FCF_VD_Config_FCW_Deceleration_0_V</t>
  </si>
  <si>
    <t>This validity flag, if set to TRUE, indicates that we should map the information sent to us in the VIS_FCF_VD_Config_FCW_Deceleration_0 signal to the FFS</t>
  </si>
  <si>
    <t>VIS_FCF_VD_Config_FCW_Deceleration_0</t>
  </si>
  <si>
    <t>Deceleration reduction values to be used in case of ego braking for the TTC threshold</t>
  </si>
  <si>
    <t>VIS_FCF_VD_Config_FCW_Deceleration_1_V</t>
  </si>
  <si>
    <t>This validity flag, if set to TRUE, indicates that we should map the information sent to us in the VIS_FCF_VD_Config_FCW_Deceleration_1 signal to the FFS</t>
  </si>
  <si>
    <t>VIS_FCF_VD_Config_FCW_Deceleration_1</t>
  </si>
  <si>
    <t>VIS_FCF_VD_Config_FCW_Deceleration_2_V</t>
  </si>
  <si>
    <t>This validity flag, if set to TRUE, indicates that we should map the information sent to us in the VIS_FCF_VD_Config_FCW_Deceleration_2 signal to the FFS</t>
  </si>
  <si>
    <t>VIS_FCF_VD_Config_FCW_Deceleration_2</t>
  </si>
  <si>
    <t>VIS_FCF_VD_Config_FCW_Deceleration_reduction_0_V</t>
  </si>
  <si>
    <t>This validity flag, if set to TRUE, indicates that we should map the information sent to us in the VIS_FCF_VD_Config_FCW_Deceleration_reduction_0 signal to the FFS</t>
  </si>
  <si>
    <t>VIS_FCF_VD_Config_FCW_Deceleration_reduction_0</t>
  </si>
  <si>
    <t>TTC thresholds reduction values</t>
  </si>
  <si>
    <t>VIS_FCF_VD_Config_FCW_Deceleration_reduction_1_V</t>
  </si>
  <si>
    <t>This validity flag, if set to TRUE, indicates that we should map the information sent to us in the VIS_FCF_VD_Config_FCW_Deceleration_reduction_1 signal to the FFS</t>
  </si>
  <si>
    <t>VIS_FCF_VD_Config_FCW_Deceleration_reduction_1</t>
  </si>
  <si>
    <t>VIS_FCF_VD_Config_FCW_Deceleration_reduction_2_V</t>
  </si>
  <si>
    <t>This validity flag, if set to TRUE, indicates that we should map the information sent to us in the VIS_FCF_VD_Config_FCW_Deceleration_reduction_2 signal to the FFS</t>
  </si>
  <si>
    <t>VIS_FCF_VD_Config_FCW_Deceleration_reduction_2</t>
  </si>
  <si>
    <t>VIS_FCF_VD_Config_FCW_MaxDistance_V</t>
  </si>
  <si>
    <t>This validity flag, if set to TRUE, indicates that we should map the information sent to us in the VIS_FCF_VD_Config_FCW_MaxDistance signal to the FFS</t>
  </si>
  <si>
    <t>VIS_FCF_VD_Config_FCW_MaxDistance</t>
  </si>
  <si>
    <t>Max distance to target for alert. 0 = no limitation</t>
  </si>
  <si>
    <t>VIS_FCF_VD_Config_FCW_MaxThresh_V</t>
  </si>
  <si>
    <t>This validity flag, if set to TRUE, indicates that we should map the information sent to us in the VIS_FCF_VD_Config_FCW_MaxThresh signal to the FFS</t>
  </si>
  <si>
    <t>VIS_FCF_VD_Config_FCW_MaxThresh</t>
  </si>
  <si>
    <t>Max FCW TTC threshold</t>
  </si>
  <si>
    <t>[0,4]
INFINITY=INVALID</t>
  </si>
  <si>
    <t>VIS_FCF_VD_Config_K_FCAAccelHaloTime_V</t>
  </si>
  <si>
    <t>This validity flag, if set to TRUE, indicates that we should map the information sent to us in the VIS_FCF_VD_Config_K_FCAAccelHaloTime signal to the FFS</t>
  </si>
  <si>
    <t>VIS_FCF_VD_Config_K_FCAAccelHaloTime</t>
  </si>
  <si>
    <t xml:space="preserve">Acceleration Suppression will be triggered for FCAAccelHaloTime if the ego vehicle Accelerator Pedal crosses the FCAAccelLevel threshold. </t>
  </si>
  <si>
    <t>VIS_FCF_VD_Config_K_FCAAccelLevel_V</t>
  </si>
  <si>
    <t>This validity flag, if set to TRUE, indicates that we should map the information sent to us in the VIS_FCF_VD_Config_K_FCAAccelLevel signal to the FFS</t>
  </si>
  <si>
    <t>VIS_FCF_VD_Config_K_FCAAccelLevel</t>
  </si>
  <si>
    <t>Acceleration Pedal Threshold required for Acceleration Suppression 10 th of percent/s</t>
  </si>
  <si>
    <t>VIS_FCF_VD_Config_K_FCABrakeApplyDuration_V</t>
  </si>
  <si>
    <t>This validity flag, if set to TRUE, indicates that we should map the information sent to us in the VIS_FCF_VD_Config_K_FCABrakeApplyDuration signal to the FFS</t>
  </si>
  <si>
    <t>VIS_FCF_VD_Config_K_FCABrakeApplyDuration</t>
  </si>
  <si>
    <t>Minimum time for braking to be considered as “real ego braking”. Used for suppressions of non AEB alerts</t>
  </si>
  <si>
    <t>VIS_FCF_VD_Config_K_FCABrakeApplyHaloTime_V</t>
  </si>
  <si>
    <t>This validity flag, if set to TRUE, indicates that we should map the information sent to us in the VIS_FCF_VD_Config_K_FCABrakeApplyHaloTime signal to the FFS</t>
  </si>
  <si>
    <t>VIS_FCF_VD_Config_K_FCABrakeApplyHaloTime</t>
  </si>
  <si>
    <t>Grace period (FCW suppression) after “real ego braking” is achieved-- the alert will continue to be disabled after this time period</t>
  </si>
  <si>
    <t>VIS_FCF_VD_Config_K_FCALIATime_V</t>
  </si>
  <si>
    <t>This validity flag, if set to TRUE, indicates that we should map the information sent to us in the VIS_FCF_VD_Config_K_FCALIATime signal to the FFS</t>
  </si>
  <si>
    <t>VIS_FCF_VD_Config_K_FCALIATime</t>
  </si>
  <si>
    <t>Suppression time after FCA alert is given (grace period between alerts).</t>
  </si>
  <si>
    <t>VIS_FCF_VD_Config_K_FCAR_t_ClutchHaloTime_V</t>
  </si>
  <si>
    <t>This validity flag, if set to TRUE, indicates that we should map the information sent to us in the VIS_FCF_VD_Config_K_FCAR_t_ClutchHaloTime signal to the FFS</t>
  </si>
  <si>
    <t>VIS_FCF_VD_Config_K_FCAR_t_ClutchHaloTime</t>
  </si>
  <si>
    <t>FCW Suppression grace period after clutch is pressed</t>
  </si>
  <si>
    <t>VIS_FCF_VD_Config_K_MaxFCAEnableSpeed_V</t>
  </si>
  <si>
    <t>This validity flag, if set to TRUE, indicates that we should map the information sent to us in the VIS_FCF_VD_Config_K_MaxFCAEnableSpeed signal to the FFS</t>
  </si>
  <si>
    <t>VIS_FCF_VD_Config_K_MaxFCAEnableSpeed</t>
  </si>
  <si>
    <t>Max speed for non AEB alerts. 0 = no limit</t>
  </si>
  <si>
    <t>[0,55.55]
INFINITY=INVALID</t>
  </si>
  <si>
    <t>VIS_FCF_VD_Config_K_MaxFCAEnableSpeedHysteresis_V</t>
  </si>
  <si>
    <t>This validity flag, if set to TRUE, indicates that we should map the information sent to us in the VIS_FCF_VD_Config_K_MaxFCAEnableSpeedHysteresis signal to the FFS</t>
  </si>
  <si>
    <t>VIS_FCF_VD_Config_K_MaxFCAEnableSpeedHysteresis</t>
  </si>
  <si>
    <t>Hysteresis of FCW function. If ego speed was above minimum ego speed, function will be available until K_MaxFCAEnableSpeed + K_MaxFCAEnableSpeedHysteresis</t>
  </si>
  <si>
    <t>[0,27.77]
INFINITY=INVALID</t>
  </si>
  <si>
    <t>VIS_FCF_VD_Config_K_MinFCAEnableSpeed_V</t>
  </si>
  <si>
    <t>This validity flag, if set to TRUE, indicates that we should map the information sent to us in the VIS_FCF_VD_Config_K_MinFCAEnableSpeed signal to the FFS</t>
  </si>
  <si>
    <t>VIS_FCF_VD_Config_K_MinFCAEnableSpeed</t>
  </si>
  <si>
    <t>Minimum speed for None AEB alert</t>
  </si>
  <si>
    <t>[0,13.88]
INFINITY=INVALID</t>
  </si>
  <si>
    <t>VIS_FCF_VD_Config_K_MinFCAEnableSpeedHysteresis_V</t>
  </si>
  <si>
    <t>This validity flag, if set to TRUE, indicates that we should map the information sent to us in the VIS_FCF_VD_Config_K_MinFCAEnableSpeedHysteresis signal to the FFS</t>
  </si>
  <si>
    <t>VIS_FCF_VD_Config_K_MinFCAEnableSpeedHysteresis</t>
  </si>
  <si>
    <t>Hysteresis of FCW function. If ego speed was above minimum ego speed, function will be available until VIS_FCF_VD_Config_K_MinFCAEnableSpeed - VIS_FCF_VD_Config_K_MinFCAEnableSpeedHysteresis</t>
  </si>
  <si>
    <t>VIS_FCF_VD_Config_Medium_FCA_HW_VAL_0_V</t>
  </si>
  <si>
    <t>This validity flag, if set to TRUE, indicates that we should map the information sent to us in the VIS_FCF_VD_Config_Medium_FCA_HW_VAL_0 signal to the FFS</t>
  </si>
  <si>
    <t>VIS_FCF_VD_Config_Medium_FCA_HW_VAL_0</t>
  </si>
  <si>
    <t>HW values kneepoints in Medium mode</t>
  </si>
  <si>
    <t>VIS_FCF_VD_Config_Medium_FCA_HW_VAL_1_V</t>
  </si>
  <si>
    <t>This validity flag, if set to TRUE, indicates that we should map the information sent to us in the VIS_FCF_VD_Config_Medium_FCA_HW_VAL_1 signal to the FFS</t>
  </si>
  <si>
    <t>VIS_FCF_VD_Config_Medium_FCA_HW_VAL_1</t>
  </si>
  <si>
    <t>VIS_FCF_VD_Config_Medium_FCA_HW_VAL_2_V</t>
  </si>
  <si>
    <t>This validity flag, if set to TRUE, indicates that we should map the information sent to us in the VIS_FCF_VD_Config_Medium_FCA_HW_VAL_2 signal to the FFS</t>
  </si>
  <si>
    <t>VIS_FCF_VD_Config_Medium_FCA_HW_VAL_2</t>
  </si>
  <si>
    <t>VIS_FCF_VD_Config_Medium_FCA_HW_VAL_3_V</t>
  </si>
  <si>
    <t>This validity flag, if set to TRUE, indicates that we should map the information sent to us in the VIS_FCF_VD_Config_Medium_FCA_HW_VAL_3 signal to the FFS</t>
  </si>
  <si>
    <t>VIS_FCF_VD_Config_Medium_FCA_HW_VAL_3</t>
  </si>
  <si>
    <t>VIS_FCF_VD_Config_MEDIUM_TTC_TABLE_0_V</t>
  </si>
  <si>
    <t>This validity flag, if set to TRUE, indicates that we should map the information sent to us in the VIS_FCF_VD_Config_MEDIUM_TTC_TABLE_0 signal to the FFS</t>
  </si>
  <si>
    <t>VIS_FCF_VD_Config_MEDIUM_TTC_TABLE_0</t>
  </si>
  <si>
    <t>TTC threshold array kneepoints for sensitivity level Medium</t>
  </si>
  <si>
    <t>VIS_FCF_VD_Config_MEDIUM_TTC_TABLE_1_V</t>
  </si>
  <si>
    <t>This validity flag, if set to TRUE, indicates that we should map the information sent to us in the VIS_FCF_VD_Config_MEDIUM_TTC_TABLE_1 signal to the FFS</t>
  </si>
  <si>
    <t>VIS_FCF_VD_Config_MEDIUM_TTC_TABLE_1</t>
  </si>
  <si>
    <t>VIS_FCF_VD_Config_MEDIUM_TTC_TABLE_2_V</t>
  </si>
  <si>
    <t>This validity flag, if set to TRUE, indicates that we should map the information sent to us in the VIS_FCF_VD_Config_MEDIUM_TTC_TABLE_2 signal to the FFS</t>
  </si>
  <si>
    <t>VIS_FCF_VD_Config_MEDIUM_TTC_TABLE_2</t>
  </si>
  <si>
    <t>VIS_FCF_VD_Config_MEDIUM_TTC_TABLE_3_V</t>
  </si>
  <si>
    <t>This validity flag, if set to TRUE, indicates that we should map the information sent to us in the VIS_FCF_VD_Config_MEDIUM_TTC_TABLE_3 signal to the FFS</t>
  </si>
  <si>
    <t>VIS_FCF_VD_Config_MEDIUM_TTC_TABLE_3</t>
  </si>
  <si>
    <t>VIS_FCF_VD_Config_MEDIUM_TTC_TABLE_4_V</t>
  </si>
  <si>
    <t>This validity flag, if set to TRUE, indicates that we should map the information sent to us in the VIS_FCF_VD_Config_MEDIUM_TTC_TABLE_4 signal to the FFS</t>
  </si>
  <si>
    <t>VIS_FCF_VD_Config_MEDIUM_TTC_TABLE_4</t>
  </si>
  <si>
    <t>VIS_FCF_VD_Config_MEDIUM_TTC_TABLE_5_V</t>
  </si>
  <si>
    <t>This validity flag, if set to TRUE, indicates that we should map the information sent to us in the VIS_FCF_VD_Config_MEDIUM_TTC_TABLE_5 signal to the FFS</t>
  </si>
  <si>
    <t>VIS_FCF_VD_Config_MEDIUM_TTC_TABLE_5</t>
  </si>
  <si>
    <t>VIS_FCF_VD_Config_MEDIUM_TTC_TABLE_6_V</t>
  </si>
  <si>
    <t>This validity flag, if set to TRUE, indicates that we should map the information sent to us in the VIS_FCF_VD_Config_MEDIUM_TTC_TABLE_6 signal to the FFS</t>
  </si>
  <si>
    <t>VIS_FCF_VD_Config_MEDIUM_TTC_TABLE_6</t>
  </si>
  <si>
    <t>VIS_FCF_VD_Config_MEDIUM_TTC_TABLE_7_V</t>
  </si>
  <si>
    <t>This validity flag, if set to TRUE, indicates that we should map the information sent to us in the VIS_FCF_VD_Config_MEDIUM_TTC_TABLE_7 signal to the FFS</t>
  </si>
  <si>
    <t>VIS_FCF_VD_Config_MEDIUM_TTC_TABLE_7</t>
  </si>
  <si>
    <t>VIS_FCF_VD_Config_Near_FCA_HW_VAL_0_V</t>
  </si>
  <si>
    <t>This validity flag, if set to TRUE, indicates that we should map the information sent to us in the VIS_FCF_VD_Config_Near_FCA_HW_VAL_0 signal to the FFS</t>
  </si>
  <si>
    <t>VIS_FCF_VD_Config_Near_FCA_HW_VAL_0</t>
  </si>
  <si>
    <t>HW values kneepoints in Near mode</t>
  </si>
  <si>
    <t>VIS_FCF_VD_Config_Near_FCA_HW_VAL_1_V</t>
  </si>
  <si>
    <t>This validity flag, if set to TRUE, indicates that we should map the information sent to us in the VIS_FCF_VD_Config_Near_FCA_HW_VAL_1 signal to the FFS</t>
  </si>
  <si>
    <t>VIS_FCF_VD_Config_Near_FCA_HW_VAL_1</t>
  </si>
  <si>
    <t>VIS_FCF_VD_Config_Near_FCA_HW_VAL_2_V</t>
  </si>
  <si>
    <t>This validity flag, if set to TRUE, indicates that we should map the information sent to us in the VIS_FCF_VD_Config_Near_FCA_HW_VAL_2 signal to the FFS</t>
  </si>
  <si>
    <t>VIS_FCF_VD_Config_Near_FCA_HW_VAL_2</t>
  </si>
  <si>
    <t>VIS_FCF_VD_Config_Near_FCA_HW_VAL_3_V</t>
  </si>
  <si>
    <t>This validity flag, if set to TRUE, indicates that we should map the information sent to us in the VIS_FCF_VD_Config_Near_FCA_HW_VAL_3 signal to the FFS</t>
  </si>
  <si>
    <t>VIS_FCF_VD_Config_Near_FCA_HW_VAL_3</t>
  </si>
  <si>
    <t>VIS_FCF_VD_Config_NEAR_TTC_TABLE_0_V</t>
  </si>
  <si>
    <t>This validity flag, if set to TRUE, indicates that we should map the information sent to us in the VIS_FCF_VD_Config_NEAR_TTC_TABLE_0 signal to the FFS</t>
  </si>
  <si>
    <t>VIS_FCF_VD_Config_NEAR_TTC_TABLE_0</t>
  </si>
  <si>
    <t>TTC threshold array kneepoints for sensitivity level NEAR</t>
  </si>
  <si>
    <t>VIS_FCF_VD_Config_NEAR_TTC_TABLE_1_V</t>
  </si>
  <si>
    <t>This validity flag, if set to TRUE, indicates that we should map the information sent to us in the VIS_FCF_VD_Config_NEAR_TTC_TABLE_1 signal to the FFS</t>
  </si>
  <si>
    <t>VIS_FCF_VD_Config_NEAR_TTC_TABLE_1</t>
  </si>
  <si>
    <t>VIS_FCF_VD_Config_NEAR_TTC_TABLE_2_V</t>
  </si>
  <si>
    <t>This validity flag, if set to TRUE, indicates that we should map the information sent to us in the VIS_FCF_VD_Config_NEAR_TTC_TABLE_2 signal to the FFS</t>
  </si>
  <si>
    <t>VIS_FCF_VD_Config_NEAR_TTC_TABLE_2</t>
  </si>
  <si>
    <t>VIS_FCF_VD_Config_NEAR_TTC_TABLE_3_V</t>
  </si>
  <si>
    <t>This validity flag, if set to TRUE, indicates that we should map the information sent to us in the VIS_FCF_VD_Config_NEAR_TTC_TABLE_3 signal to the FFS</t>
  </si>
  <si>
    <t>VIS_FCF_VD_Config_NEAR_TTC_TABLE_3</t>
  </si>
  <si>
    <t>VIS_FCF_VD_Config_NEAR_TTC_TABLE_4_V</t>
  </si>
  <si>
    <t>This validity flag, if set to TRUE, indicates that we should map the information sent to us in the VIS_FCF_VD_Config_NEAR_TTC_TABLE_4 signal to the FFS</t>
  </si>
  <si>
    <t>VIS_FCF_VD_Config_NEAR_TTC_TABLE_4</t>
  </si>
  <si>
    <t>VIS_FCF_VD_Config_NEAR_TTC_TABLE_5_V</t>
  </si>
  <si>
    <t>This validity flag, if set to TRUE, indicates that we should map the information sent to us in the VIS_FCF_VD_Config_NEAR_TTC_TABLE_5 signal to the FFS</t>
  </si>
  <si>
    <t>VIS_FCF_VD_Config_NEAR_TTC_TABLE_5</t>
  </si>
  <si>
    <t>VIS_FCF_VD_Config_NEAR_TTC_TABLE_6_V</t>
  </si>
  <si>
    <t>This validity flag, if set to TRUE, indicates that we should map the information sent to us in the VIS_FCF_VD_Config_NEAR_TTC_TABLE_6 signal to the FFS</t>
  </si>
  <si>
    <t>VIS_FCF_VD_Config_NEAR_TTC_TABLE_6</t>
  </si>
  <si>
    <t>VIS_FCF_VD_Config_NEAR_TTC_TABLE_7_V</t>
  </si>
  <si>
    <t>This validity flag, if set to TRUE, indicates that we should map the information sent to us in the VIS_FCF_VD_Config_NEAR_TTC_TABLE_7 signal to the FFS</t>
  </si>
  <si>
    <t>VIS_FCF_VD_Config_NEAR_TTC_TABLE_7</t>
  </si>
  <si>
    <t>VIS_FCF_VD_Config_STEERING_VALUES_TABLE_0_V</t>
  </si>
  <si>
    <t>This validity flag, if set to TRUE, indicates that we should map the information sent to us in the VIS_FCF_VD_Config_STEERING_VALUES_TABLE_0 signal to the FFS</t>
  </si>
  <si>
    <t>VIS_FCF_VD_Config_STEERING_VALUES_TABLE_0</t>
  </si>
  <si>
    <t>Defines kneepoints for steering values to be used for TTC threshold reduction</t>
  </si>
  <si>
    <t>[0,900]
65535=INVALID</t>
  </si>
  <si>
    <t>VIS_FCF_VD_Config_STEERING_VALUES_TABLE_1_V</t>
  </si>
  <si>
    <t>This validity flag, if set to TRUE, indicates that we should map the information sent to us in the VIS_FCF_VD_Config_STEERING_VALUES_TABLE_1 signal to the FFS</t>
  </si>
  <si>
    <t>VIS_FCF_VD_Config_STEERING_VALUES_TABLE_1</t>
  </si>
  <si>
    <t>VIS_FCF_VD_Config_STEERING_VALUES_TABLE_2_V</t>
  </si>
  <si>
    <t>This validity flag, if set to TRUE, indicates that we should map the information sent to us in the VIS_FCF_VD_Config_STEERING_VALUES_TABLE_2 signal to the FFS</t>
  </si>
  <si>
    <t>VIS_FCF_VD_Config_STEERING_VALUES_TABLE_2</t>
  </si>
  <si>
    <t>VIS_FCF_VD_Config_vEgo_vs_vRel_threshAdditive_0_V</t>
  </si>
  <si>
    <t>This validity flag, if set to TRUE, indicates that we should map the information sent to us in the VIS_FCF_VD_Config_vEgo_vs_vRel_threshAdditive_0 signal to the FFS</t>
  </si>
  <si>
    <t>VIS_FCF_VD_Config_vEgo_vs_vRel_threshAdditive_0</t>
  </si>
  <si>
    <t>TTC thresholds table correlates to ego/rel speed kneepoints. Actual range to use is [0-4]</t>
  </si>
  <si>
    <t>time_4_t</t>
  </si>
  <si>
    <t>VIS_FCF_VD_Config_vEgo_vs_vRel_threshAdditive_1_V</t>
  </si>
  <si>
    <t>This validity flag, if set to TRUE, indicates that we should map the information sent to us in the VIS_FCF_VD_Config_vEgo_vs_vRel_threshAdditive_1 signal to the FFS</t>
  </si>
  <si>
    <t>VIS_FCF_VD_Config_vEgo_vs_vRel_threshAdditive_1</t>
  </si>
  <si>
    <t>VIS_FCF_VD_Config_vEgo_vs_vRel_threshAdditive_2_V</t>
  </si>
  <si>
    <t>This validity flag, if set to TRUE, indicates that we should map the information sent to us in the VIS_FCF_VD_Config_vEgo_vs_vRel_threshAdditive_2 signal to the FFS</t>
  </si>
  <si>
    <t>VIS_FCF_VD_Config_vEgo_vs_vRel_threshAdditive_2</t>
  </si>
  <si>
    <t>VIS_FCF_VD_Config_vEgo_vs_vRel_threshAdditive_3_V</t>
  </si>
  <si>
    <t>This validity flag, if set to TRUE, indicates that we should map the information sent to us in the VIS_FCF_VD_Config_vEgo_vs_vRel_threshAdditive_3 signal to the FFS</t>
  </si>
  <si>
    <t>VIS_FCF_VD_Config_vEgo_vs_vRel_threshAdditive_3</t>
  </si>
  <si>
    <t>VIS_FCF_VD_Config_vEgo_vs_vRel_threshAdditive_4_V</t>
  </si>
  <si>
    <t>This validity flag, if set to TRUE, indicates that we should map the information sent to us in the VIS_FCF_VD_Config_vEgo_vs_vRel_threshAdditive_4 signal to the FFS</t>
  </si>
  <si>
    <t>VIS_FCF_VD_Config_vEgo_vs_vRel_threshAdditive_4</t>
  </si>
  <si>
    <t>VIS_FCF_VD_Config_vEgo_vs_vRel_threshAdditive_5_V</t>
  </si>
  <si>
    <t>This validity flag, if set to TRUE, indicates that we should map the information sent to us in the VIS_FCF_VD_Config_vEgo_vs_vRel_threshAdditive_5 signal to the FFS</t>
  </si>
  <si>
    <t>VIS_FCF_VD_Config_vEgo_vs_vRel_threshAdditive_5</t>
  </si>
  <si>
    <t>VIS_FCF_VD_Config_vEgo_vs_vRel_threshAdditive_6_V</t>
  </si>
  <si>
    <t>This validity flag, if set to TRUE, indicates that we should map the information sent to us in the VIS_FCF_VD_Config_vEgo_vs_vRel_threshAdditive_6 signal to the FFS</t>
  </si>
  <si>
    <t>VIS_FCF_VD_Config_vEgo_vs_vRel_threshAdditive_6</t>
  </si>
  <si>
    <t>VIS_FCF_VD_Config_vEgo_vs_vRel_threshAdditive_7_V</t>
  </si>
  <si>
    <t>This validity flag, if set to TRUE, indicates that we should map the information sent to us in the VIS_FCF_VD_Config_vEgo_vs_vRel_threshAdditive_7 signal to the FFS</t>
  </si>
  <si>
    <t>VIS_FCF_VD_Config_vEgo_vs_vRel_threshAdditive_7</t>
  </si>
  <si>
    <t>VIS_FCF_VD_Config_vEgo_vs_vRel_threshAdditive_8_V</t>
  </si>
  <si>
    <t>This validity flag, if set to TRUE, indicates that we should map the information sent to us in the VIS_FCF_VD_Config_vEgo_vs_vRel_threshAdditive_8 signal to the FFS</t>
  </si>
  <si>
    <t>VIS_FCF_VD_Config_vEgo_vs_vRel_threshAdditive_8</t>
  </si>
  <si>
    <t>VIS_FCF_VD_Config_vEgo_vs_vRel_threshAdditive_9_V</t>
  </si>
  <si>
    <t>This validity flag, if set to TRUE, indicates that we should map the information sent to us in the VIS_FCF_VD_Config_vEgo_vs_vRel_threshAdditive_9 signal to the FFS</t>
  </si>
  <si>
    <t>VIS_FCF_VD_Config_vEgo_vs_vRel_threshAdditive_9</t>
  </si>
  <si>
    <t>VIS_FCF_VD_Config_vEgo_vs_vRel_threshAdditive_10_V</t>
  </si>
  <si>
    <t>This validity flag, if set to TRUE, indicates that we should map the information sent to us in the VIS_FCF_VD_Config_vEgo_vs_vRel_threshAdditive_10 signal to the FFS</t>
  </si>
  <si>
    <t>VIS_FCF_VD_Config_vEgo_vs_vRel_threshAdditive_10</t>
  </si>
  <si>
    <t>VIS_FCF_VD_Config_vEgo_vs_vRel_threshAdditive_11_V</t>
  </si>
  <si>
    <t>This validity flag, if set to TRUE, indicates that we should map the information sent to us in the VIS_FCF_VD_Config_vEgo_vs_vRel_threshAdditive_11 signal to the FFS</t>
  </si>
  <si>
    <t>VIS_FCF_VD_Config_vEgo_vs_vRel_threshAdditive_11</t>
  </si>
  <si>
    <t>VIS_FCF_VD_Config_vEgo_vs_vRel_threshAdditive_12_V</t>
  </si>
  <si>
    <t>This validity flag, if set to TRUE, indicates that we should map the information sent to us in the VIS_FCF_VD_Config_vEgo_vs_vRel_threshAdditive_12 signal to the FFS</t>
  </si>
  <si>
    <t>VIS_FCF_VD_Config_vEgo_vs_vRel_threshAdditive_12</t>
  </si>
  <si>
    <t>VIS_FCF_VD_Config_vEgo_vs_vRel_threshAdditive_13_V</t>
  </si>
  <si>
    <t>This validity flag, if set to TRUE, indicates that we should map the information sent to us in the VIS_FCF_VD_Config_vEgo_vs_vRel_threshAdditive_13 signal to the FFS</t>
  </si>
  <si>
    <t>VIS_FCF_VD_Config_vEgo_vs_vRel_threshAdditive_13</t>
  </si>
  <si>
    <t>VIS_FCF_VD_Config_vEgo_vs_vRel_threshAdditive_14_V</t>
  </si>
  <si>
    <t>This validity flag, if set to TRUE, indicates that we should map the information sent to us in the VIS_FCF_VD_Config_vEgo_vs_vRel_threshAdditive_14 signal to the FFS</t>
  </si>
  <si>
    <t>VIS_FCF_VD_Config_vEgo_vs_vRel_threshAdditive_14</t>
  </si>
  <si>
    <t>VIS_FCF_VD_Config_vEgo_vs_vRel_threshAdditive_15_V</t>
  </si>
  <si>
    <t>This validity flag, if set to TRUE, indicates that we should map the information sent to us in the VIS_FCF_VD_Config_vEgo_vs_vRel_threshAdditive_15 signal to the FFS</t>
  </si>
  <si>
    <t>VIS_FCF_VD_Config_vEgo_vs_vRel_threshAdditive_15</t>
  </si>
  <si>
    <t>VIS_FCF_VD_Config_vEgo_vs_vRel_threshAdditive_16_V</t>
  </si>
  <si>
    <t>This validity flag, if set to TRUE, indicates that we should map the information sent to us in the VIS_FCF_VD_Config_vEgo_vs_vRel_threshAdditive_16 signal to the FFS</t>
  </si>
  <si>
    <t>VIS_FCF_VD_Config_vEgo_vs_vRel_threshAdditive_16</t>
  </si>
  <si>
    <t>VIS_FCF_VD_Config_vEgo_vs_vRel_threshAdditive_17_V</t>
  </si>
  <si>
    <t>This validity flag, if set to TRUE, indicates that we should map the information sent to us in the VIS_FCF_VD_Config_vEgo_vs_vRel_threshAdditive_17 signal to the FFS</t>
  </si>
  <si>
    <t>VIS_FCF_VD_Config_vEgo_vs_vRel_threshAdditive_17</t>
  </si>
  <si>
    <t>VIS_FCF_VD_Config_vEgo_vs_vRel_threshAdditive_18_V</t>
  </si>
  <si>
    <t>This validity flag, if set to TRUE, indicates that we should map the information sent to us in the VIS_FCF_VD_Config_vEgo_vs_vRel_threshAdditive_18 signal to the FFS</t>
  </si>
  <si>
    <t>VIS_FCF_VD_Config_vEgo_vs_vRel_threshAdditive_18</t>
  </si>
  <si>
    <t>VIS_FCF_VD_Config_vEgo_vs_vRel_threshAdditive_19_V</t>
  </si>
  <si>
    <t>This validity flag, if set to TRUE, indicates that we should map the information sent to us in the VIS_FCF_VD_Config_vEgo_vs_vRel_threshAdditive_19 signal to the FFS</t>
  </si>
  <si>
    <t>VIS_FCF_VD_Config_vEgo_vs_vRel_threshAdditive_19</t>
  </si>
  <si>
    <t>VIS_FCF_VD_Config_vEgo_vs_vRel_threshAdditive_20_V</t>
  </si>
  <si>
    <t>This validity flag, if set to TRUE, indicates that we should map the information sent to us in the VIS_FCF_VD_Config_vEgo_vs_vRel_threshAdditive_20 signal to the FFS</t>
  </si>
  <si>
    <t>VIS_FCF_VD_Config_vEgo_vs_vRel_threshAdditive_20</t>
  </si>
  <si>
    <t>VIS_FCF_VD_Config_vEgo_vs_vRel_threshAdditive_21_V</t>
  </si>
  <si>
    <t>This validity flag, if set to TRUE, indicates that we should map the information sent to us in the VIS_FCF_VD_Config_vEgo_vs_vRel_threshAdditive_21 signal to the FFS</t>
  </si>
  <si>
    <t>VIS_FCF_VD_Config_vEgo_vs_vRel_threshAdditive_21</t>
  </si>
  <si>
    <t>VIS_FCF_VD_Config_vEgo_vs_vRel_threshAdditive_22_V</t>
  </si>
  <si>
    <t>This validity flag, if set to TRUE, indicates that we should map the information sent to us in the VIS_FCF_VD_Config_vEgo_vs_vRel_threshAdditive_22 signal to the FFS</t>
  </si>
  <si>
    <t>VIS_FCF_VD_Config_vEgo_vs_vRel_threshAdditive_22</t>
  </si>
  <si>
    <t>VIS_FCF_VD_Config_vEgo_vs_vRel_threshAdditive_23_V</t>
  </si>
  <si>
    <t>This validity flag, if set to TRUE, indicates that we should map the information sent to us in the VIS_FCF_VD_Config_vEgo_vs_vRel_threshAdditive_23 signal to the FFS</t>
  </si>
  <si>
    <t>VIS_FCF_VD_Config_vEgo_vs_vRel_threshAdditive_23</t>
  </si>
  <si>
    <t>VIS_FCF_VD_Config_vEgo_vs_vRel_threshAdditive_24_V</t>
  </si>
  <si>
    <t>This validity flag, if set to TRUE, indicates that we should map the information sent to us in the VIS_FCF_VD_Config_vEgo_vs_vRel_threshAdditive_24 signal to the FFS</t>
  </si>
  <si>
    <t>VIS_FCF_VD_Config_vEgo_vs_vRel_threshAdditive_24</t>
  </si>
  <si>
    <t>VIS_FCF_VD_Config_vEgo_vs_vRel_vEgoKneePts_0_V</t>
  </si>
  <si>
    <t>This validity flag, if set to TRUE, indicates that we should map the information sent to us in the VIS_FCF_VD_Config_vEgo_vs_vRel_vEgoKneePts_0 signal to the FFS</t>
  </si>
  <si>
    <t>VIS_FCF_VD_Config_vEgo_vs_vRel_vEgoKneePts_0</t>
  </si>
  <si>
    <t>ego speed kneepoints for ego/rel table</t>
  </si>
  <si>
    <t>speed_kneepoint_relative_velocity_t</t>
  </si>
  <si>
    <t>VIS_FCF_VD_Config_vEgo_vs_vRel_vEgoKneePts_1_V</t>
  </si>
  <si>
    <t>This validity flag, if set to TRUE, indicates that we should map the information sent to us in the VIS_FCF_VD_Config_vEgo_vs_vRel_vEgoKneePts_1 signal to the FFS</t>
  </si>
  <si>
    <t>VIS_FCF_VD_Config_vEgo_vs_vRel_vEgoKneePts_1</t>
  </si>
  <si>
    <t>VIS_FCF_VD_Config_vEgo_vs_vRel_vEgoKneePts_2_V</t>
  </si>
  <si>
    <t>This validity flag, if set to TRUE, indicates that we should map the information sent to us in the VIS_FCF_VD_Config_vEgo_vs_vRel_vEgoKneePts_2 signal to the FFS</t>
  </si>
  <si>
    <t>VIS_FCF_VD_Config_vEgo_vs_vRel_vEgoKneePts_2</t>
  </si>
  <si>
    <t>VIS_FCF_VD_Config_vEgo_vs_vRel_vEgoKneePts_3_V</t>
  </si>
  <si>
    <t>This validity flag, if set to TRUE, indicates that we should map the information sent to us in the VIS_FCF_VD_Config_vEgo_vs_vRel_vEgoKneePts_3 signal to the FFS</t>
  </si>
  <si>
    <t>VIS_FCF_VD_Config_vEgo_vs_vRel_vEgoKneePts_3</t>
  </si>
  <si>
    <t>VIS_FCF_VD_Config_vEgo_vs_vRel_vEgoKneePts_4_V</t>
  </si>
  <si>
    <t>This validity flag, if set to TRUE, indicates that we should map the information sent to us in the VIS_FCF_VD_Config_vEgo_vs_vRel_vEgoKneePts_4 signal to the FFS</t>
  </si>
  <si>
    <t>VIS_FCF_VD_Config_vEgo_vs_vRel_vEgoKneePts_4</t>
  </si>
  <si>
    <t>VIS_FCF_VD_Config_vEgo_vs_vRel_vRelKneePts_0_V</t>
  </si>
  <si>
    <t>This validity flag, if set to TRUE, indicates that we should map the information sent to us in the VIS_FCF_VD_Config_vEgo_vs_vRel_vRelKneePts_0 signal to the FFS</t>
  </si>
  <si>
    <t>VIS_FCF_VD_Config_vEgo_vs_vRel_vRelKneePts_0</t>
  </si>
  <si>
    <t>Relative speed kneepoint for ego/rel table</t>
  </si>
  <si>
    <t>VIS_FCF_VD_Config_vEgo_vs_vRel_vRelKneePts_1_V</t>
  </si>
  <si>
    <t>This validity flag, if set to TRUE, indicates that we should map the information sent to us in the VIS_FCF_VD_Config_vEgo_vs_vRel_vRelKneePts_1 signal to the FFS</t>
  </si>
  <si>
    <t>VIS_FCF_VD_Config_vEgo_vs_vRel_vRelKneePts_1</t>
  </si>
  <si>
    <t>VIS_FCF_VD_Config_vEgo_vs_vRel_vRelKneePts_2_V</t>
  </si>
  <si>
    <t>This validity flag, if set to TRUE, indicates that we should map the information sent to us in the VIS_FCF_VD_Config_vEgo_vs_vRel_vRelKneePts_2 signal to the FFS</t>
  </si>
  <si>
    <t>VIS_FCF_VD_Config_vEgo_vs_vRel_vRelKneePts_2</t>
  </si>
  <si>
    <t>VIS_FCF_VD_Config_vEgo_vs_vRel_vRelKneePts_3_V</t>
  </si>
  <si>
    <t>This validity flag, if set to TRUE, indicates that we should map the information sent to us in the VIS_FCF_VD_Config_vEgo_vs_vRel_vRelKneePts_3 signal to the FFS</t>
  </si>
  <si>
    <t>VIS_FCF_VD_Config_vEgo_vs_vRel_vRelKneePts_3</t>
  </si>
  <si>
    <t>VIS_FCF_VD_Config_vEgo_vs_vRel_vRelKneePts_4_V</t>
  </si>
  <si>
    <t>This validity flag, if set to TRUE, indicates that we should map the information sent to us in the VIS_FCF_VD_Config_vEgo_vs_vRel_vRelKneePts_4 signal to the FFS</t>
  </si>
  <si>
    <t>VIS_FCF_VD_Config_vEgo_vs_vRel_vRelKneePts_4</t>
  </si>
  <si>
    <t>VIS_FCF_VD_Config_vRel_vs_Olap_OlapKnePts_0_V</t>
  </si>
  <si>
    <t>This validity flag, if set to TRUE, indicates that we should map the information sent to us in the VIS_FCF_VD_Config_vRel_vs_Olap_OlapKnePts_0 signal to the FFS</t>
  </si>
  <si>
    <t>VIS_FCF_VD_Config_vRel_vs_Olap_OlapKnePts_0</t>
  </si>
  <si>
    <t>Overlap kneepoints for TTC threshold reduction according to overlap between ego and targets</t>
  </si>
  <si>
    <t>VIS_FCF_VD_Config_vRel_vs_Olap_OlapKnePts_1_V</t>
  </si>
  <si>
    <t>This validity flag, if set to TRUE, indicates that we should map the information sent to us in the VIS_FCF_VD_Config_vRel_vs_Olap_OlapKnePts_1 signal to the FFS</t>
  </si>
  <si>
    <t>VIS_FCF_VD_Config_vRel_vs_Olap_OlapKnePts_1</t>
  </si>
  <si>
    <t>VIS_FCF_VD_Config_vRel_vs_Olap_OlapKnePts_2_V</t>
  </si>
  <si>
    <t>This validity flag, if set to TRUE, indicates that we should map the information sent to us in the VIS_FCF_VD_Config_vRel_vs_Olap_OlapKnePts_2 signal to the FFS</t>
  </si>
  <si>
    <t>VIS_FCF_VD_Config_vRel_vs_Olap_OlapKnePts_2</t>
  </si>
  <si>
    <t>VIS_FCF_VD_Config_vRel_vs_Olap_OlapKnePts_3_V</t>
  </si>
  <si>
    <t>This validity flag, if set to TRUE, indicates that we should map the information sent to us in the VIS_FCF_VD_Config_vRel_vs_Olap_OlapKnePts_3 signal to the FFS</t>
  </si>
  <si>
    <t>VIS_FCF_VD_Config_vRel_vs_Olap_OlapKnePts_3</t>
  </si>
  <si>
    <t>VIS_FCF_VD_Config_vRel_vs_Olap_OlapKnePts_4_V</t>
  </si>
  <si>
    <t>This validity flag, if set to TRUE, indicates that we should map the information sent to us in the VIS_FCF_VD_Config_vRel_vs_Olap_OlapKnePts_4 signal to the FFS</t>
  </si>
  <si>
    <t>VIS_FCF_VD_Config_vRel_vs_Olap_OlapKnePts_4</t>
  </si>
  <si>
    <t>VIS_FCF_VD_Config_vRel_vs_Olap_ReductionVals_0_V</t>
  </si>
  <si>
    <t>This validity flag, if set to TRUE, indicates that we should map the information sent to us in the VIS_FCF_VD_Config_vRel_vs_Olap_ReductionVals_0 signal to the FFS</t>
  </si>
  <si>
    <t>VIS_FCF_VD_Config_vRel_vs_Olap_ReductionVals_0</t>
  </si>
  <si>
    <t>TTC threshold reduction values by overlap/relative speed table</t>
  </si>
  <si>
    <t>VIS_FCF_VD_Config_vRel_vs_Olap_ReductionVals_1_V</t>
  </si>
  <si>
    <t>This validity flag, if set to TRUE, indicates that we should map the information sent to us in the VIS_FCF_VD_Config_vRel_vs_Olap_ReductionVals_1 signal to the FFS</t>
  </si>
  <si>
    <t>VIS_FCF_VD_Config_vRel_vs_Olap_ReductionVals_1</t>
  </si>
  <si>
    <t>VIS_FCF_VD_Config_vRel_vs_Olap_ReductionVals_2_V</t>
  </si>
  <si>
    <t>This validity flag, if set to TRUE, indicates that we should map the information sent to us in the VIS_FCF_VD_Config_vRel_vs_Olap_ReductionVals_2 signal to the FFS</t>
  </si>
  <si>
    <t>VIS_FCF_VD_Config_vRel_vs_Olap_ReductionVals_2</t>
  </si>
  <si>
    <t>VIS_FCF_VD_Config_vRel_vs_Olap_ReductionVals_3_V</t>
  </si>
  <si>
    <t>This validity flag, if set to TRUE, indicates that we should map the information sent to us in the VIS_FCF_VD_Config_vRel_vs_Olap_ReductionVals_3 signal to the FFS</t>
  </si>
  <si>
    <t>VIS_FCF_VD_Config_vRel_vs_Olap_ReductionVals_3</t>
  </si>
  <si>
    <t>VIS_FCF_VD_Config_vRel_vs_Olap_ReductionVals_4_V</t>
  </si>
  <si>
    <t>This validity flag, if set to TRUE, indicates that we should map the information sent to us in the VIS_FCF_VD_Config_vRel_vs_Olap_ReductionVals_4 signal to the FFS</t>
  </si>
  <si>
    <t>VIS_FCF_VD_Config_vRel_vs_Olap_ReductionVals_4</t>
  </si>
  <si>
    <t>VIS_FCF_VD_Config_vRel_vs_Olap_ReductionVals_5_V</t>
  </si>
  <si>
    <t>This validity flag, if set to TRUE, indicates that we should map the information sent to us in the VIS_FCF_VD_Config_vRel_vs_Olap_ReductionVals_5 signal to the FFS</t>
  </si>
  <si>
    <t>VIS_FCF_VD_Config_vRel_vs_Olap_ReductionVals_5</t>
  </si>
  <si>
    <t>VIS_FCF_VD_Config_vRel_vs_Olap_ReductionVals_6_V</t>
  </si>
  <si>
    <t>This validity flag, if set to TRUE, indicates that we should map the information sent to us in the VIS_FCF_VD_Config_vRel_vs_Olap_ReductionVals_6 signal to the FFS</t>
  </si>
  <si>
    <t>VIS_FCF_VD_Config_vRel_vs_Olap_ReductionVals_6</t>
  </si>
  <si>
    <t>VIS_FCF_VD_Config_vRel_vs_Olap_ReductionVals_7_V</t>
  </si>
  <si>
    <t>This validity flag, if set to TRUE, indicates that we should map the information sent to us in the VIS_FCF_VD_Config_vRel_vs_Olap_ReductionVals_7 signal to the FFS</t>
  </si>
  <si>
    <t>VIS_FCF_VD_Config_vRel_vs_Olap_ReductionVals_7</t>
  </si>
  <si>
    <t>VIS_FCF_VD_Config_vRel_vs_Olap_ReductionVals_8_V</t>
  </si>
  <si>
    <t>This validity flag, if set to TRUE, indicates that we should map the information sent to us in the VIS_FCF_VD_Config_vRel_vs_Olap_ReductionVals_8 signal to the FFS</t>
  </si>
  <si>
    <t>VIS_FCF_VD_Config_vRel_vs_Olap_ReductionVals_8</t>
  </si>
  <si>
    <t>VIS_FCF_VD_Config_vRel_vs_Olap_ReductionVals_9_V</t>
  </si>
  <si>
    <t>This validity flag, if set to TRUE, indicates that we should map the information sent to us in the VIS_FCF_VD_Config_vRel_vs_Olap_ReductionVals_9 signal to the FFS</t>
  </si>
  <si>
    <t>VIS_FCF_VD_Config_vRel_vs_Olap_ReductionVals_9</t>
  </si>
  <si>
    <t>VIS_FCF_VD_Config_vRel_vs_Olap_ReductionVals_10_V</t>
  </si>
  <si>
    <t>This validity flag, if set to TRUE, indicates that we should map the information sent to us in the VIS_FCF_VD_Config_vRel_vs_Olap_ReductionVals_10 signal to the FFS</t>
  </si>
  <si>
    <t>VIS_FCF_VD_Config_vRel_vs_Olap_ReductionVals_10</t>
  </si>
  <si>
    <t>VIS_FCF_VD_Config_vRel_vs_Olap_ReductionVals_11_V</t>
  </si>
  <si>
    <t>This validity flag, if set to TRUE, indicates that we should map the information sent to us in the VIS_FCF_VD_Config_vRel_vs_Olap_ReductionVals_11 signal to the FFS</t>
  </si>
  <si>
    <t>VIS_FCF_VD_Config_vRel_vs_Olap_ReductionVals_11</t>
  </si>
  <si>
    <t>VIS_FCF_VD_Config_vRel_vs_Olap_ReductionVals_12_V</t>
  </si>
  <si>
    <t>This validity flag, if set to TRUE, indicates that we should map the information sent to us in the VIS_FCF_VD_Config_vRel_vs_Olap_ReductionVals_12 signal to the FFS</t>
  </si>
  <si>
    <t>VIS_FCF_VD_Config_vRel_vs_Olap_ReductionVals_12</t>
  </si>
  <si>
    <t>VIS_FCF_VD_Config_vRel_vs_Olap_ReductionVals_13_V</t>
  </si>
  <si>
    <t>This validity flag, if set to TRUE, indicates that we should map the information sent to us in the VIS_FCF_VD_Config_vRel_vs_Olap_ReductionVals_13 signal to the FFS</t>
  </si>
  <si>
    <t>VIS_FCF_VD_Config_vRel_vs_Olap_ReductionVals_13</t>
  </si>
  <si>
    <t>VIS_FCF_VD_Config_vRel_vs_Olap_ReductionVals_14_V</t>
  </si>
  <si>
    <t>This validity flag, if set to TRUE, indicates that we should map the information sent to us in the VIS_FCF_VD_Config_vRel_vs_Olap_ReductionVals_14 signal to the FFS</t>
  </si>
  <si>
    <t>VIS_FCF_VD_Config_vRel_vs_Olap_ReductionVals_14</t>
  </si>
  <si>
    <t>VIS_FCF_VD_Config_vRel_vs_Olap_ReductionVals_15_V</t>
  </si>
  <si>
    <t>This validity flag, if set to TRUE, indicates that we should map the information sent to us in the VIS_FCF_VD_Config_vRel_vs_Olap_ReductionVals_15 signal to the FFS</t>
  </si>
  <si>
    <t>VIS_FCF_VD_Config_vRel_vs_Olap_ReductionVals_15</t>
  </si>
  <si>
    <t>VIS_FCF_VD_Config_vRel_vs_Olap_ReductionVals_16_V</t>
  </si>
  <si>
    <t>This validity flag, if set to TRUE, indicates that we should map the information sent to us in the VIS_FCF_VD_Config_vRel_vs_Olap_ReductionVals_16 signal to the FFS</t>
  </si>
  <si>
    <t>VIS_FCF_VD_Config_vRel_vs_Olap_ReductionVals_16</t>
  </si>
  <si>
    <t>VIS_FCF_VD_Config_vRel_vs_Olap_ReductionVals_17_V</t>
  </si>
  <si>
    <t>This validity flag, if set to TRUE, indicates that we should map the information sent to us in the VIS_FCF_VD_Config_vRel_vs_Olap_ReductionVals_17 signal to the FFS</t>
  </si>
  <si>
    <t>VIS_FCF_VD_Config_vRel_vs_Olap_ReductionVals_17</t>
  </si>
  <si>
    <t>VIS_FCF_VD_Config_vRel_vs_Olap_ReductionVals_18_V</t>
  </si>
  <si>
    <t>This validity flag, if set to TRUE, indicates that we should map the information sent to us in the VIS_FCF_VD_Config_vRel_vs_Olap_ReductionVals_18 signal to the FFS</t>
  </si>
  <si>
    <t>VIS_FCF_VD_Config_vRel_vs_Olap_ReductionVals_18</t>
  </si>
  <si>
    <t>VIS_FCF_VD_Config_vRel_vs_Olap_ReductionVals_19_V</t>
  </si>
  <si>
    <t>This validity flag, if set to TRUE, indicates that we should map the information sent to us in the VIS_FCF_VD_Config_vRel_vs_Olap_ReductionVals_19 signal to the FFS</t>
  </si>
  <si>
    <t>VIS_FCF_VD_Config_vRel_vs_Olap_ReductionVals_19</t>
  </si>
  <si>
    <t>VIS_FCF_VD_Config_vRel_vs_Olap_ReductionVals_20_V</t>
  </si>
  <si>
    <t>This validity flag, if set to TRUE, indicates that we should map the information sent to us in the VIS_FCF_VD_Config_vRel_vs_Olap_ReductionVals_20 signal to the FFS</t>
  </si>
  <si>
    <t>VIS_FCF_VD_Config_vRel_vs_Olap_ReductionVals_20</t>
  </si>
  <si>
    <t>VIS_FCF_VD_Config_vRel_vs_Olap_ReductionVals_21_V</t>
  </si>
  <si>
    <t>This validity flag, if set to TRUE, indicates that we should map the information sent to us in the VIS_FCF_VD_Config_vRel_vs_Olap_ReductionVals_21 signal to the FFS</t>
  </si>
  <si>
    <t>VIS_FCF_VD_Config_vRel_vs_Olap_ReductionVals_21</t>
  </si>
  <si>
    <t>VIS_FCF_VD_Config_vRel_vs_Olap_ReductionVals_22_V</t>
  </si>
  <si>
    <t>This validity flag, if set to TRUE, indicates that we should map the information sent to us in the VIS_FCF_VD_Config_vRel_vs_Olap_ReductionVals_22 signal to the FFS</t>
  </si>
  <si>
    <t>VIS_FCF_VD_Config_vRel_vs_Olap_ReductionVals_22</t>
  </si>
  <si>
    <t>VIS_FCF_VD_Config_vRel_vs_Olap_ReductionVals_23_V</t>
  </si>
  <si>
    <t>This validity flag, if set to TRUE, indicates that we should map the information sent to us in the VIS_FCF_VD_Config_vRel_vs_Olap_ReductionVals_23 signal to the FFS</t>
  </si>
  <si>
    <t>VIS_FCF_VD_Config_vRel_vs_Olap_ReductionVals_23</t>
  </si>
  <si>
    <t>VIS_FCF_VD_Config_vRel_vs_Olap_ReductionVals_24_V</t>
  </si>
  <si>
    <t>This validity flag, if set to TRUE, indicates that we should map the information sent to us in the VIS_FCF_VD_Config_vRel_vs_Olap_ReductionVals_24 signal to the FFS</t>
  </si>
  <si>
    <t>VIS_FCF_VD_Config_vRel_vs_Olap_ReductionVals_24</t>
  </si>
  <si>
    <t>VIS_FCF_VD_Config_vRel_vs_Olap_vRelKneePts_0_V</t>
  </si>
  <si>
    <t>This validity flag, if set to TRUE, indicates that we should map the information sent to us in the VIS_FCF_VD_Config_vRel_vs_Olap_vRelKneePts_0 signal to the FFS</t>
  </si>
  <si>
    <t>VIS_FCF_VD_Config_vRel_vs_Olap_vRelKneePts_0</t>
  </si>
  <si>
    <t>Relative speed kneepoints for TTC threshold reduction according to overlap between ego and target</t>
  </si>
  <si>
    <t>VIS_FCF_VD_Config_vRel_vs_Olap_vRelKneePts_1_V</t>
  </si>
  <si>
    <t>This validity flag, if set to TRUE, indicates that we should map the information sent to us in the VIS_FCF_VD_Config_vRel_vs_Olap_vRelKneePts_1 signal to the FFS</t>
  </si>
  <si>
    <t>VIS_FCF_VD_Config_vRel_vs_Olap_vRelKneePts_1</t>
  </si>
  <si>
    <t>VIS_FCF_VD_Config_vRel_vs_Olap_vRelKneePts_2_V</t>
  </si>
  <si>
    <t>This validity flag, if set to TRUE, indicates that we should map the information sent to us in the VIS_FCF_VD_Config_vRel_vs_Olap_vRelKneePts_2 signal to the FFS</t>
  </si>
  <si>
    <t>VIS_FCF_VD_Config_vRel_vs_Olap_vRelKneePts_2</t>
  </si>
  <si>
    <t>VIS_FCF_VD_Config_vRel_vs_Olap_vRelKneePts_3_V</t>
  </si>
  <si>
    <t>This validity flag, if set to TRUE, indicates that we should map the information sent to us in the VIS_FCF_VD_Config_vRel_vs_Olap_vRelKneePts_3 signal to the FFS</t>
  </si>
  <si>
    <t>VIS_FCF_VD_Config_vRel_vs_Olap_vRelKneePts_3</t>
  </si>
  <si>
    <t>VIS_FCF_VD_Config_vRel_vs_Olap_vRelKneePts_4_V</t>
  </si>
  <si>
    <t>This validity flag, if set to TRUE, indicates that we should map the information sent to us in the VIS_FCF_VD_Config_vRel_vs_Olap_vRelKneePts_4 signal to the FFS</t>
  </si>
  <si>
    <t>VIS_FCF_VD_Config_vRel_vs_Olap_vRelKneePts_4</t>
  </si>
  <si>
    <t>VIS_FCF_VD_Config_AEB_ayAvoidEgoSpeed_0_V</t>
  </si>
  <si>
    <t>This validity flag, if set to TRUE, indicates that we should map the information sent to us in the VIS_FCF_VD_Config_AEB_ayAvoidEgoSpeed_0 signal to the FFS</t>
  </si>
  <si>
    <t>VIS_FCF_VD_Config_AEB_ayAvoidEgoSpeed_0</t>
  </si>
  <si>
    <t>Ego speed kneepoints for lateral avoidance</t>
  </si>
  <si>
    <t>speed_kneepoint_ay_avoid_t</t>
  </si>
  <si>
    <t>VIS_FCF_VD_Config_AEB_ayAvoidEgoSpeed_1_V</t>
  </si>
  <si>
    <t>This validity flag, if set to TRUE, indicates that we should map the information sent to us in the VIS_FCF_VD_Config_AEB_ayAvoidEgoSpeed_1 signal to the FFS</t>
  </si>
  <si>
    <t>VIS_FCF_VD_Config_AEB_ayAvoidEgoSpeed_1</t>
  </si>
  <si>
    <t>VIS_FCF_VD_Config_AEB_ayAvoidEgoSpeed_2_V</t>
  </si>
  <si>
    <t>This validity flag, if set to TRUE, indicates that we should map the information sent to us in the VIS_FCF_VD_Config_AEB_ayAvoidEgoSpeed_2 signal to the FFS</t>
  </si>
  <si>
    <t>VIS_FCF_VD_Config_AEB_ayAvoidEgoSpeed_2</t>
  </si>
  <si>
    <t>VIS_FCF_VD_Config_AEB_ayAvoidEgoSpeed_3_V</t>
  </si>
  <si>
    <t>This validity flag, if set to TRUE, indicates that we should map the information sent to us in the VIS_FCF_VD_Config_AEB_ayAvoidEgoSpeed_3 signal to the FFS</t>
  </si>
  <si>
    <t>VIS_FCF_VD_Config_AEB_ayAvoidEgoSpeed_3</t>
  </si>
  <si>
    <t>VIS_FCF_VD_Config_AEB_ayAvoidLatAcc_0_V</t>
  </si>
  <si>
    <t>This validity flag, if set to TRUE, indicates that we should map the information sent to us in the VIS_FCF_VD_Config_AEB_ayAvoidLatAcc_0 signal to the FFS</t>
  </si>
  <si>
    <t>VIS_FCF_VD_Config_AEB_ayAvoidLatAcc_0</t>
  </si>
  <si>
    <t xml:space="preserve">Define the maximum lateral acceleration for lateral avoidance. If the  lateral acceleration needed is lower than the defined value, the alert is suppressed </t>
  </si>
  <si>
    <t>VIS_FCF_VD_Config_AEB_ayAvoidLatAcc_1_V</t>
  </si>
  <si>
    <t>This validity flag, if set to TRUE, indicates that we should map the information sent to us in the VIS_FCF_VD_Config_AEB_ayAvoidLatAcc_1 signal to the FFS</t>
  </si>
  <si>
    <t>VIS_FCF_VD_Config_AEB_ayAvoidLatAcc_1</t>
  </si>
  <si>
    <t xml:space="preserve">Define the maximum lateral acceleration for lateral avoidance. If the lateral acceleration needed is lower than the defined value, the alert is suppressed </t>
  </si>
  <si>
    <t>VIS_FCF_VD_Config_AEB_ayAvoidLatAcc_2_V</t>
  </si>
  <si>
    <t>This validity flag, if set to TRUE, indicates that we should map the information sent to us in the VIS_FCF_VD_Config_AEB_ayAvoidLatAcc_2 signal to the FFS</t>
  </si>
  <si>
    <t>VIS_FCF_VD_Config_AEB_ayAvoidLatAcc_2</t>
  </si>
  <si>
    <t>VIS_FCF_VD_Config_AEB_ayAvoidLatAcc_3_V</t>
  </si>
  <si>
    <t>This validity flag, if set to TRUE, indicates that we should map the information sent to us in the VIS_FCF_VD_Config_AEB_ayAvoidLatAcc_3 signal to the FFS</t>
  </si>
  <si>
    <t>VIS_FCF_VD_Config_AEB_ayAvoidLatAcc_3</t>
  </si>
  <si>
    <t>VIS_FCF_VD_Config_AEB_followBrakeMaxBonus_V</t>
  </si>
  <si>
    <t>This validity flag, if set to TRUE, indicates that we should map the information sent to us in the VIS_FCF_VD_Config_AEB_followBrakeMaxBonus signal to the FFS</t>
  </si>
  <si>
    <t>VIS_FCF_VD_Config_AEB_followBrakeMaxBonus</t>
  </si>
  <si>
    <t>Bonus TTC threshold in case of follow brake scenario (target braking)</t>
  </si>
  <si>
    <t>[-1,2]
INFINITY=INVALID</t>
  </si>
  <si>
    <t>VIS_FCF_VD_Config_AEB_maxAccelerationForBrakeReduction_V</t>
  </si>
  <si>
    <t>This validity flag, if set to TRUE, indicates that we should map the information sent to us in the VIS_FCF_VD_Config_AEB_maxAccelerationForBrakeReduction signal to the FFS</t>
  </si>
  <si>
    <t>VIS_FCF_VD_Config_AEB_maxAccelerationForBrakeReduction</t>
  </si>
  <si>
    <t>[-20,0]
INFINITY=INVALID</t>
  </si>
  <si>
    <t>VIS_FCF_VD_Config_DA_TTC_REDUCTION_TABLE_0_V</t>
  </si>
  <si>
    <t>This validity flag, if set to TRUE, indicates that we should map the information sent to us in the VIS_FCF_VD_Config_DA_TTC_REDUCTION_TABLE_0 signal to the FFS</t>
  </si>
  <si>
    <t>VIS_FCF_VD_Config_DA_TTC_REDUCTION_TABLE_0</t>
  </si>
  <si>
    <t>Driver awarness TTC reduction value</t>
  </si>
  <si>
    <t>[-2,2]
INFINITY=INVALID</t>
  </si>
  <si>
    <t>VIS_FCF_VD_Config_DA_TTC_REDUCTION_TABLE_1_V</t>
  </si>
  <si>
    <t>This validity flag, if set to TRUE, indicates that we should map the information sent to us in the VIS_FCF_VD_Config_DA_TTC_REDUCTION_TABLE_1 signal to the FFS</t>
  </si>
  <si>
    <t>VIS_FCF_VD_Config_DA_TTC_REDUCTION_TABLE_1</t>
  </si>
  <si>
    <t>VIS_FCF_VD_Config_DA_TTC_REDUCTION_TABLE_2_V</t>
  </si>
  <si>
    <t>This validity flag, if set to TRUE, indicates that we should map the information sent to us in the VIS_FCF_VD_Config_DA_TTC_REDUCTION_TABLE_2 signal to the FFS</t>
  </si>
  <si>
    <t>VIS_FCF_VD_Config_DA_TTC_REDUCTION_TABLE_2</t>
  </si>
  <si>
    <t>VIS_FCF_VD_Config_DA_TTC_REDUCTION_TABLE_3_V</t>
  </si>
  <si>
    <t>This validity flag, if set to TRUE, indicates that we should map the information sent to us in the VIS_FCF_VD_Config_DA_TTC_REDUCTION_TABLE_3 signal to the FFS</t>
  </si>
  <si>
    <t>VIS_FCF_VD_Config_DA_TTC_REDUCTION_TABLE_3</t>
  </si>
  <si>
    <t>VIS_FCF_VD_Config_DA_TTC_REDUCTION_TABLE_4_V</t>
  </si>
  <si>
    <t>This validity flag, if set to TRUE, indicates that we should map the information sent to us in the VIS_FCF_VD_Config_DA_TTC_REDUCTION_TABLE_4 signal to the FFS</t>
  </si>
  <si>
    <t>VIS_FCF_VD_Config_DA_TTC_REDUCTION_TABLE_4</t>
  </si>
  <si>
    <t>VIS_FCF_VD_Config_DA_VALUES_TABLE_0_V</t>
  </si>
  <si>
    <t>This validity flag, if set to TRUE, indicates that we should map the information sent to us in the VIS_FCF_VD_Config_DA_VALUES_TABLE_0 signal to the FFS</t>
  </si>
  <si>
    <t>VIS_FCF_VD_Config_DA_VALUES_TABLE_0</t>
  </si>
  <si>
    <t>Driver awarness knee points for DA_TTC_REDUCTION_TABLE values</t>
  </si>
  <si>
    <t>VIS_FCF_VD_Config_DA_VALUES_TABLE_1_V</t>
  </si>
  <si>
    <t>This validity flag, if set to TRUE, indicates that we should map the information sent to us in the VIS_FCF_VD_Config_DA_VALUES_TABLE_1 signal to the FFS</t>
  </si>
  <si>
    <t>VIS_FCF_VD_Config_DA_VALUES_TABLE_1</t>
  </si>
  <si>
    <t>VIS_FCF_VD_Config_DA_VALUES_TABLE_2_V</t>
  </si>
  <si>
    <t>This validity flag, if set to TRUE, indicates that we should map the information sent to us in the VIS_FCF_VD_Config_DA_VALUES_TABLE_2 signal to the FFS</t>
  </si>
  <si>
    <t>VIS_FCF_VD_Config_DA_VALUES_TABLE_2</t>
  </si>
  <si>
    <t>VIS_FCF_VD_Config_DA_VALUES_TABLE_3_V</t>
  </si>
  <si>
    <t>This validity flag, if set to TRUE, indicates that we should map the information sent to us in the VIS_FCF_VD_Config_DA_VALUES_TABLE_3 signal to the FFS</t>
  </si>
  <si>
    <t>VIS_FCF_VD_Config_DA_VALUES_TABLE_3</t>
  </si>
  <si>
    <t>VIS_FCF_VD_Config_DA_VALUES_TABLE_4_V</t>
  </si>
  <si>
    <t>This validity flag, if set to TRUE, indicates that we should map the information sent to us in the VIS_FCF_VD_Config_DA_VALUES_TABLE_4 signal to the FFS</t>
  </si>
  <si>
    <t>VIS_FCF_VD_Config_DA_VALUES_TABLE_4</t>
  </si>
  <si>
    <t>VIS_FCF_VD_Config_FCW_ayAvoidEgoSpeed_0_V</t>
  </si>
  <si>
    <t>This validity flag, if set to TRUE, indicates that we should map the information sent to us in the VIS_FCF_VD_Config_FCW_ayAvoidEgoSpeed_0 signal to the FFS</t>
  </si>
  <si>
    <t>VIS_FCF_VD_Config_FCW_ayAvoidEgoSpeed_0</t>
  </si>
  <si>
    <t>VIS_FCF_VD_Config_FCW_ayAvoidEgoSpeed_1_V</t>
  </si>
  <si>
    <t>This validity flag, if set to TRUE, indicates that we should map the information sent to us in the VIS_FCF_VD_Config_FCW_ayAvoidEgoSpeed_1 signal to the FFS</t>
  </si>
  <si>
    <t>VIS_FCF_VD_Config_FCW_ayAvoidEgoSpeed_1</t>
  </si>
  <si>
    <t>VIS_FCF_VD_Config_FCW_ayAvoidEgoSpeed_2_V</t>
  </si>
  <si>
    <t>This validity flag, if set to TRUE, indicates that we should map the information sent to us in the VIS_FCF_VD_Config_FCW_ayAvoidEgoSpeed_2 signal to the FFS</t>
  </si>
  <si>
    <t>VIS_FCF_VD_Config_FCW_ayAvoidEgoSpeed_2</t>
  </si>
  <si>
    <t>VIS_FCF_VD_Config_FCW_ayAvoidEgoSpeed_3_V</t>
  </si>
  <si>
    <t>This validity flag, if set to TRUE, indicates that we should map the information sent to us in the VIS_FCF_VD_Config_FCW_ayAvoidEgoSpeed_3 signal to the FFS</t>
  </si>
  <si>
    <t>VIS_FCF_VD_Config_FCW_ayAvoidEgoSpeed_3</t>
  </si>
  <si>
    <t>VIS_FCF_VD_Config_FCW_ayAvoidLatAcc_0_V</t>
  </si>
  <si>
    <t>This validity flag, if set to TRUE, indicates that we should map the information sent to us in the VIS_FCF_VD_Config_FCW_ayAvoidLatAcc_0 signal to the FFS</t>
  </si>
  <si>
    <t>VIS_FCF_VD_Config_FCW_ayAvoidLatAcc_0</t>
  </si>
  <si>
    <t>VIS_FCF_VD_Config_FCW_ayAvoidLatAcc_1_V</t>
  </si>
  <si>
    <t>This validity flag, if set to TRUE, indicates that we should map the information sent to us in the VIS_FCF_VD_Config_FCW_ayAvoidLatAcc_1 signal to the FFS</t>
  </si>
  <si>
    <t>VIS_FCF_VD_Config_FCW_ayAvoidLatAcc_1</t>
  </si>
  <si>
    <t>VIS_FCF_VD_Config_FCW_ayAvoidLatAcc_2_V</t>
  </si>
  <si>
    <t>This validity flag, if set to TRUE, indicates that we should map the information sent to us in the VIS_FCF_VD_Config_FCW_ayAvoidLatAcc_2 signal to the FFS</t>
  </si>
  <si>
    <t>VIS_FCF_VD_Config_FCW_ayAvoidLatAcc_2</t>
  </si>
  <si>
    <t>VIS_FCF_VD_Config_FCW_ayAvoidLatAcc_3_V</t>
  </si>
  <si>
    <t>This validity flag, if set to TRUE, indicates that we should map the information sent to us in the VIS_FCF_VD_Config_FCW_ayAvoidLatAcc_3 signal to the FFS</t>
  </si>
  <si>
    <t>VIS_FCF_VD_Config_FCW_ayAvoidLatAcc_3</t>
  </si>
  <si>
    <t>*Removed VIS_FCF_VD_Config_IIPB_Optional_Signals
*Updated Size
*Replaced Type:ttc_kneepoint_t by time_5_t
*Replaced Type:deceleration_kneepoint_t by deceleration_10_t
*Replaced Type:speed_kneepoint_t by speed_100_t
*Replaced Type:ttc_kneepoint_relative_velocity_t by time_4_t
*Replaced Type:ttc_thresh_reduction_t by time_3_t</t>
  </si>
  <si>
    <t>Peer review done. Issues found.</t>
  </si>
  <si>
    <t>Updated below signals, using defined data types :
*VIS_FCF_VD_Config_AEB_BrakeToStillMode
*VIS_FCF_VD_Config_FCA_Ignition_default_state</t>
  </si>
  <si>
    <t>2.2</t>
  </si>
  <si>
    <t>2.3</t>
  </si>
  <si>
    <t>Vertical position of reference point changed into "NA"</t>
  </si>
  <si>
    <t>AVI_FCF_VRU_Config</t>
  </si>
  <si>
    <t xml:space="preserve">Reference point on object:
(Pedestrian, Bicyclist, 2-Wheeler):
- Longitudinal position: Point on object, closest to camera
- Lateral position: Horizontal center of object
- Vertical position: NA				</t>
  </si>
  <si>
    <t>VIS_FCF_VRU_Common_Header</t>
  </si>
  <si>
    <t>VIS_FCF_VRU.Header</t>
  </si>
  <si>
    <t>VIS_FCF_VRU_Count</t>
  </si>
  <si>
    <t>Defines how many levels are reported in the message</t>
  </si>
  <si>
    <t>VIS_FCF_VRU_CRC</t>
  </si>
  <si>
    <t>Calculated over Alert set signals. From the signal after the CRC until the last signal in VIS_FCF_VRU.Alert_Element</t>
  </si>
  <si>
    <t>VIS_FCF_VRU.Alert_[Element],
Element ∈ [L1:L8]</t>
  </si>
  <si>
    <t>VIS_FCF_VRU_Alert</t>
  </si>
  <si>
    <t>VIS_FCF_VRU_PED_ID</t>
  </si>
  <si>
    <t>ID for MCP
Applies to bicyclist too.</t>
  </si>
  <si>
    <t>VIS_FCF_VRU_Suppress</t>
  </si>
  <si>
    <t>alert_suppression_reason_struct</t>
  </si>
  <si>
    <t>VIS_FCF_VRU_Safety_Suppressed</t>
  </si>
  <si>
    <t>The bit represents allert suppresion as for safety event</t>
  </si>
  <si>
    <t>VIS_FCF_VRU_Set_Type</t>
  </si>
  <si>
    <t>The type of the raised alert.  It is specifying the scenario.</t>
  </si>
  <si>
    <t>ENUM:
0=PED
1=BIC
2=PEDTAP
3=BICTAP
255=INVALID</t>
  </si>
  <si>
    <t>VIS_FCF_VRU_Curr_In_Path</t>
  </si>
  <si>
    <t>Is target inside current corridor?</t>
  </si>
  <si>
    <t>VIS_FCF_VRU_Pred_In_Path</t>
  </si>
  <si>
    <t>Is target predicted to be in predicted corridor?</t>
  </si>
  <si>
    <t>VIS_FCF_VRU_TTC</t>
  </si>
  <si>
    <t>VIS_FCF_VRU_TTC_Thresh</t>
  </si>
  <si>
    <t>TTC threshold for target.
It is dynamic, based on host speed.</t>
  </si>
  <si>
    <t> Released as part of AVI V3</t>
  </si>
  <si>
    <t> *Changed signal name VIS_FCF_VRU_CV_SoC_Frame_ID -&gt; VIS_FCF_VRU_Algo_Frame_ID
*Changed description of signal  "VIS_FCF_VRU_Protocol_Version" from "CV supplier interface version" -&gt; "Computer Vision FCF_VRU interface version"
*VIS_FCF_VRU_APTIV_Protocol_Version DataType changed from uint8 to uint16.
*VIS_FCF_VRU_APTIV_Protocol_Version Size changed from 8 to 16.
*VIS_FCF_VRU_APTIV_Protocol_Version Max changed from 255 to 65535.</t>
  </si>
  <si>
    <t xml:space="preserve"> *Changed coordinate system from :''ISO 8855'' to ''SAE J670 Z-down''
*Updated VIS_FCF_VRU.Header
*Introduced VIS_FCF_VRU.Alert_[Element]
  Using one struct with lenght of 8 instead of one struct per alert.
*Using struct instead of BITWIZE signals by introducing:
   alert_suppression_reason_struct
*Removed column Resolution
*Updated VIS_FCF_VRU.Alert_[Element] </t>
  </si>
  <si>
    <t>Peer-review done, no issue found except size formula.</t>
  </si>
  <si>
    <t>*Updated size.</t>
  </si>
  <si>
    <t>Approved.Referring to FCF_VRU_Definitions version 1 &amp; Cross-FCN_Definitions version 1</t>
  </si>
  <si>
    <t>*Updated data type for TTC and TTC threshold signals.
*Introduced signal VIS_FCF_VRU_Count.</t>
  </si>
  <si>
    <t>*Updated signal VIS_FCF_VRU_Element_Alert</t>
  </si>
  <si>
    <t>*Updated value of signal VIS_FCF_VRU_Element_Set_Type</t>
  </si>
  <si>
    <t>*Updated signal name from VIS_FCF_VRU_PED_Element_ID into VIS_FCF_VRU_Element_PED_ID</t>
  </si>
  <si>
    <t xml:space="preserve">*Updated all the signals' name (removed Element from the name) belong to structure VIS_FCF_VRU.Alert_[Element] </t>
  </si>
  <si>
    <t>Updated ASIL Compliance for VIS_FCF_VRU_Safety_Suppressed from ASIL B into QM. As this signal is not used in safety component, there is no need to protect it.</t>
  </si>
  <si>
    <t>Signal name VIS_FCF_VRU_TTC_Thresh was corrected due to accidental mistake</t>
  </si>
  <si>
    <t>9.2</t>
  </si>
  <si>
    <t>10.1</t>
  </si>
  <si>
    <t>Refence point wording has changed to make it more clear. Reference point has changed from middle of the object into closes point of the object to the camera. Format of coordinate system was aligned with format that already exist in Polarion and was used for previous versions of AVI</t>
  </si>
  <si>
    <t xml:space="preserve">Reference point on object:
(Pedestrian, Bicyclist, 2-Wheeler):
- Longitudinal position: Point on object, closest to camera
- Lateral position: Horizontal center of object
- Vertical position: NA		</t>
  </si>
  <si>
    <t>VIS_FCF_VRU_Config_CRC</t>
  </si>
  <si>
    <t>VIS_FCF_VRU_Config.Alert_Init</t>
  </si>
  <si>
    <t>VIS_FCF_VRU_Config_Aptiv_Protocol_Version</t>
  </si>
  <si>
    <t>VIS_FCF_VRU_Config_Protocol_Version</t>
  </si>
  <si>
    <t>VIS_FCF_VRU_Config_Ignition_default_state_V</t>
  </si>
  <si>
    <t>This validity flag, if set to TRUE, tells us to map the information sent to us in the VIS_FCF_VRU_Config_Ignition_default_state signal to the FFS</t>
  </si>
  <si>
    <t>VIS_FCF_VRU_Config_Ignition_default_state</t>
  </si>
  <si>
    <t>Initial level of gap sensitivity</t>
  </si>
  <si>
    <t>[1,3]
255=INVALID</t>
  </si>
  <si>
    <t>VIS_FCF_VRU_Config_FCV_MediumTTCAddition_V</t>
  </si>
  <si>
    <t>This validity flag, if set to TRUE, tells us to map the information sent to us in the VIS_FCF_VRU_Config_FCV_MediumTTCAddition signal to the FFS</t>
  </si>
  <si>
    <t>VIS_FCF_VRU_Config_FCV_MediumTTCAddition</t>
  </si>
  <si>
    <t>Addition of TTC values to the TTC threshold to activate medium level</t>
  </si>
  <si>
    <t>VIS_FCF_VRU_Config_LX_TTC_kneePoints_warn_0_V</t>
  </si>
  <si>
    <t>This validity flag, if set to TRUE, tells us to map the information sent to us in the VIS_FCF_VRU_Config_LX_TTC_kneePoints_warn_0 signal to the FFS</t>
  </si>
  <si>
    <t>VIS_FCF_VRU_Config_LX_TTC_kneePoints_warn_0</t>
  </si>
  <si>
    <t>TTC threshold kneepoints for pedestrian targets by day</t>
  </si>
  <si>
    <t>VIS_FCF_VRU_Config_LX_TTC_kneePoints_warn_1_V</t>
  </si>
  <si>
    <t>This validity flag, if set to TRUE, tells us to map the information sent to us in the VIS_FCF_VRU_Config_LX_TTC_kneePoints_warn_1 signal to the FFS</t>
  </si>
  <si>
    <t>VIS_FCF_VRU_Config_LX_TTC_kneePoints_warn_1</t>
  </si>
  <si>
    <t>VIS_FCF_VRU_Config_LX_TTC_kneePoints_warn_2_V</t>
  </si>
  <si>
    <t>This validity flag, if set to TRUE, tells us to map the information sent to us in the VIS_FCF_VRU_Config_LX_TTC_kneePoints_warn_2 signal to the FFS</t>
  </si>
  <si>
    <t>VIS_FCF_VRU_Config_LX_TTC_kneePoints_warn_2</t>
  </si>
  <si>
    <t>VIS_FCF_VRU_Config_LX_TTC_kneePoints_warn_3_V</t>
  </si>
  <si>
    <t>This validity flag, if set to TRUE, tells us to map the information sent to us in the VIS_FCF_VRU_Config_LX_TTC_kneePoints_warn_3 signal to the FFS</t>
  </si>
  <si>
    <t>VIS_FCF_VRU_Config_LX_TTC_kneePoints_warn_3</t>
  </si>
  <si>
    <t>VIS_FCF_VRU_Config_LX_TTC_kneePoints_warn_4_V</t>
  </si>
  <si>
    <t>This validity flag, if set to TRUE, tells us to map the information sent to us in the VIS_FCF_VRU_Config_LX_TTC_kneePoints_warn_4 signal to the FFS</t>
  </si>
  <si>
    <t>VIS_FCF_VRU_Config_LX_TTC_kneePoints_warn_4</t>
  </si>
  <si>
    <t>VIS_FCF_VRU_Config_LX_TTC_kneePoints_warn_5_V</t>
  </si>
  <si>
    <t>This validity flag, if set to TRUE, tells us to map the information sent to us in the VIS_FCF_VRU_Config_LX_TTC_kneePoints_warn_5 signal to the FFS</t>
  </si>
  <si>
    <t>VIS_FCF_VRU_Config_LX_TTC_kneePoints_warn_5</t>
  </si>
  <si>
    <t>VIS_FCF_VRU_Config_LX_TTC_kneePoints_night_0_V</t>
  </si>
  <si>
    <t>This validity flag, if set to TRUE, tells us to map the information sent to us in the VIS_FCF_VRU_Config_LX_TTC_kneePoints_night_0 signal to the FFS</t>
  </si>
  <si>
    <t>VIS_FCF_VRU_Config_LX_TTC_kneePoints_night_0</t>
  </si>
  <si>
    <t xml:space="preserve"> TTC threshold kneepoints for pedestrian targets at night</t>
  </si>
  <si>
    <t>VIS_FCF_VRU_Config_LX_TTC_kneePoints_night_1_V</t>
  </si>
  <si>
    <t>This validity flag, if set to TRUE, tells us to map the information sent to us in the VIS_FCF_VRU_Config_LX_TTC_kneePoints_night_1 signal to the FFS</t>
  </si>
  <si>
    <t>VIS_FCF_VRU_Config_LX_TTC_kneePoints_night_1</t>
  </si>
  <si>
    <t>TTC threshold kneepoints for pedestrian targets at night</t>
  </si>
  <si>
    <t>VIS_FCF_VRU_Config_LX_TTC_kneePoints_night_2_V</t>
  </si>
  <si>
    <t>This validity flag, if set to TRUE, tells us to map the information sent to us in the VIS_FCF_VRU_Config_LX_TTC_kneePoints_night_2 signal to the FFS</t>
  </si>
  <si>
    <t>VIS_FCF_VRU_Config_LX_TTC_kneePoints_night_2</t>
  </si>
  <si>
    <t>VIS_FCF_VRU_Config_LX_TTC_kneePoints_night_3_V</t>
  </si>
  <si>
    <t>This validity flag, if set to TRUE, tells us to map the information sent to us in the VIS_FCF_VRU_Config_LX_TTC_kneePoints_night_3 signal to the FFS</t>
  </si>
  <si>
    <t>VIS_FCF_VRU_Config_LX_TTC_kneePoints_night_3</t>
  </si>
  <si>
    <t>VIS_FCF_VRU_Config_LX_TTC_kneePoints_night_4_V</t>
  </si>
  <si>
    <t>This validity flag, if set to TRUE, tells us to map the information sent to us in the VIS_FCF_VRU_Config_LX_TTC_kneePoints_night_4 signal to the FFS</t>
  </si>
  <si>
    <t>VIS_FCF_VRU_Config_LX_TTC_kneePoints_night_4</t>
  </si>
  <si>
    <t>VIS_FCF_VRU_Config_LX_TTC_kneePoints_night_5_V</t>
  </si>
  <si>
    <t>This validity flag, if set to TRUE, tells us to map the information sent to us in the VIS_FCF_VRU_Config_LX_TTC_kneePoints_night_5 signal to the FFS</t>
  </si>
  <si>
    <t>VIS_FCF_VRU_Config_LX_TTC_kneePoints_night_5</t>
  </si>
  <si>
    <t>VIS_FCF_VRU_Config_LX_TTC_kPoints_bicycle_0_V</t>
  </si>
  <si>
    <t>This validity flag, if set to TRUE, tells us to map the information sent to us in the VIS_FCF_VRU_Config_LX_TTC_kPoints_bicycle_0 signal to the FFS</t>
  </si>
  <si>
    <t>VIS_FCF_VRU_Config_LX_TTC_kPoints_bicycle_0</t>
  </si>
  <si>
    <t>TTC threshold kneepoints for cyclist targets by day</t>
  </si>
  <si>
    <t>VIS_FCF_VRU_Config_LX_TTC_kPoints_bicycle_1_V</t>
  </si>
  <si>
    <t>This validity flag, if set to TRUE, tells us to map the information sent to us in the VIS_FCF_VRU_Config_LX_TTC_kPoints_bicycle_1 signal to the FFS</t>
  </si>
  <si>
    <t>VIS_FCF_VRU_Config_LX_TTC_kPoints_bicycle_1</t>
  </si>
  <si>
    <t>VIS_FCF_VRU_Config_LX_TTC_kPoints_bicycle_2_V</t>
  </si>
  <si>
    <t>This validity flag, if set to TRUE, tells us to map the information sent to us in the VIS_FCF_VRU_Config_LX_TTC_kPoints_bicycle_2 signal to the FFS</t>
  </si>
  <si>
    <t>VIS_FCF_VRU_Config_LX_TTC_kPoints_bicycle_2</t>
  </si>
  <si>
    <t>VIS_FCF_VRU_Config_LX_TTC_kPoints_bicycle_3_V</t>
  </si>
  <si>
    <t>This validity flag, if set to TRUE, tells us to map the information sent to us in the VIS_FCF_VRU_Config_LX_TTC_kPoints_bicycle_3 signal to the FFS</t>
  </si>
  <si>
    <t>VIS_FCF_VRU_Config_LX_TTC_kPoints_bicycle_3</t>
  </si>
  <si>
    <t>VIS_FCF_VRU_Config_LX_TTC_kPoints_bicycle_4_V</t>
  </si>
  <si>
    <t>This validity flag, if set to TRUE, tells us to map the information sent to us in the VIS_FCF_VRU_Config_LX_TTC_kPoints_bicycle_4 signal to the FFS</t>
  </si>
  <si>
    <t>VIS_FCF_VRU_Config_LX_TTC_kPoints_bicycle_4</t>
  </si>
  <si>
    <t>VIS_FCF_VRU_Config_LX_TTC_kPoints_bicycle_5_V</t>
  </si>
  <si>
    <t>This validity flag, if set to TRUE, tells us to map the information sent to us in the VIS_FCF_VRU_Config_LX_TTC_kPoints_bicycle_5 signal to the FFS</t>
  </si>
  <si>
    <t>VIS_FCF_VRU_Config_LX_TTC_kPoints_bicycle_5</t>
  </si>
  <si>
    <t>VIS_FCF_VRU_Config_LX_TTC_kPoints_bicy_N_0_V</t>
  </si>
  <si>
    <t>This validity flag, if set to TRUE, tells us to map the information sent to us in the VIS_FCF_VRU_Config_LX_TTC_kPoints_bicy_N_0 signal to the FFS</t>
  </si>
  <si>
    <t>VIS_FCF_VRU_Config_LX_TTC_kPoints_bicy_N_0</t>
  </si>
  <si>
    <t>TTC threshold kneepoints for cyclist targets at night</t>
  </si>
  <si>
    <t>VIS_FCF_VRU_Config_LX_TTC_kPoints_bicy_N_1_V</t>
  </si>
  <si>
    <t>This validity flag, if set to TRUE, tells us to map the information sent to us in the VIS_FCF_VRU_Config_LX_TTC_kPoints_bicy_N_1 signal to the FFS</t>
  </si>
  <si>
    <t>VIS_FCF_VRU_Config_LX_TTC_kPoints_bicy_N_1</t>
  </si>
  <si>
    <t>VIS_FCF_VRU_Config_LX_TTC_kPoints_bicy_N_2_V</t>
  </si>
  <si>
    <t>This validity flag, if set to TRUE, tells us to map the information sent to us in the VIS_FCF_VRU_Config_LX_TTC_kPoints_bicy_N_2 signal to the FFS</t>
  </si>
  <si>
    <t>VIS_FCF_VRU_Config_LX_TTC_kPoints_bicy_N_2</t>
  </si>
  <si>
    <t>VIS_FCF_VRU_Config_LX_TTC_kPoints_bicy_N_3_V</t>
  </si>
  <si>
    <t>This validity flag, if set to TRUE, tells us to map the information sent to us in the VIS_FCF_VRU_Config_LX_TTC_kPoints_bicy_N_3 signal to the FFS</t>
  </si>
  <si>
    <t>VIS_FCF_VRU_Config_LX_TTC_kPoints_bicy_N_3</t>
  </si>
  <si>
    <t>VIS_FCF_VRU_Config_LX_TTC_kPoints_bicy_N_4_V</t>
  </si>
  <si>
    <t>This validity flag, if set to TRUE, tells us to map the information sent to us in the VIS_FCF_VRU_Config_LX_TTC_kPoints_bicy_N_4 signal to the FFS</t>
  </si>
  <si>
    <t>VIS_FCF_VRU_Config_LX_TTC_kPoints_bicy_N_4</t>
  </si>
  <si>
    <t>VIS_FCF_VRU_Config_LX_TTC_kPoints_bicy_N_5_V</t>
  </si>
  <si>
    <t>This validity flag, if set to TRUE, tells us to map the information sent to us in the VIS_FCF_VRU_Config_LX_TTC_kPoints_bicy_N_5 signal to the FFS</t>
  </si>
  <si>
    <t>VIS_FCF_VRU_Config_LX_TTC_kPoints_bicy_N_5</t>
  </si>
  <si>
    <t>VIS_FCF_VRU_Config_LX_speed_kneePoints_0_V</t>
  </si>
  <si>
    <t>This validity flag, if set to TRUE, tells us to map the information sent to us in the VIS_FCF_VRU_Config_LX_speed_kneePoints_0 signal to the FFS</t>
  </si>
  <si>
    <t>VIS_FCF_VRU_Config_LX_speed_kneePoints_0</t>
  </si>
  <si>
    <t>Speed kneepoints for pedestrian targets</t>
  </si>
  <si>
    <t>speed_40_t</t>
  </si>
  <si>
    <t>VIS_FCF_VRU_Config_LX_speed_kneePoints_1_V</t>
  </si>
  <si>
    <t>This validity flag, if set to TRUE, tells us to map the information sent to us in the VIS_FCF_VRU_Config_LX_speed_kneePoints_1 signal to the FFS</t>
  </si>
  <si>
    <t>VIS_FCF_VRU_Config_LX_speed_kneePoints_1</t>
  </si>
  <si>
    <t>VIS_FCF_VRU_Config_LX_speed_kneePoints_2_V</t>
  </si>
  <si>
    <t>This validity flag, if set to TRUE, tells us to map the information sent to us in the VIS_FCF_VRU_Config_LX_speed_kneePoints_2 signal to the FFS</t>
  </si>
  <si>
    <t>VIS_FCF_VRU_Config_LX_speed_kneePoints_2</t>
  </si>
  <si>
    <t>VIS_FCF_VRU_Config_LX_speed_kneePoints_3_V</t>
  </si>
  <si>
    <t>This validity flag, if set to TRUE, tells us to map the information sent to us in the VIS_FCF_VRU_Config_LX_speed_kneePoints_3 signal to the FFS</t>
  </si>
  <si>
    <t>VIS_FCF_VRU_Config_LX_speed_kneePoints_3</t>
  </si>
  <si>
    <t>VIS_FCF_VRU_Config_LX_speed_kneePoints_4_V</t>
  </si>
  <si>
    <t>This validity flag, if set to TRUE, tells us to map the information sent to us in the VIS_FCF_VRU_Config_LX_speed_kneePoints_4 signal to the FFS</t>
  </si>
  <si>
    <t>VIS_FCF_VRU_Config_LX_speed_kneePoints_4</t>
  </si>
  <si>
    <t>VIS_FCF_VRU_Config_LX_speed_kneePoints_5_V</t>
  </si>
  <si>
    <t>This validity flag, if set to TRUE, tells us to map the information sent to us in the VIS_FCF_VRU_Config_LX_speed_kneePoints_5 signal to the FFS</t>
  </si>
  <si>
    <t>VIS_FCF_VRU_Config_LX_speed_kneePoints_5</t>
  </si>
  <si>
    <t>VIS_FCF_VRU_Config_LX_speed_kPoint_bicycles_0_V</t>
  </si>
  <si>
    <t>This validity flag, if set to TRUE, tells us to map the information sent to us in the VIS_FCF_VRU_Config_LX_speed_kPoint_bicycles_0 signal to the FFS</t>
  </si>
  <si>
    <t>VIS_FCF_VRU_Config_LX_speed_kPoint_bicycles_0</t>
  </si>
  <si>
    <t>Speed kneepoints for cyclist targets</t>
  </si>
  <si>
    <t>VIS_FCF_VRU_Config_LX_speed_kPoint_bicycles_1_V</t>
  </si>
  <si>
    <t>This validity flag, if set to TRUE, tells us to map the information sent to us in the VIS_FCF_VRU_Config_LX_speed_kPoint_bicycles_1 signal to the FFS</t>
  </si>
  <si>
    <t>VIS_FCF_VRU_Config_LX_speed_kPoint_bicycles_1</t>
  </si>
  <si>
    <t>VIS_FCF_VRU_Config_LX_speed_kPoint_bicycles_2_V</t>
  </si>
  <si>
    <t>This validity flag, if set to TRUE, tells us to map the information sent to us in the VIS_FCF_VRU_Config_LX_speed_kPoint_bicycles_2 signal to the FFS</t>
  </si>
  <si>
    <t>VIS_FCF_VRU_Config_LX_speed_kPoint_bicycles_2</t>
  </si>
  <si>
    <t>VIS_FCF_VRU_Config_LX_speed_kPoint_bicycles_3_V</t>
  </si>
  <si>
    <t>This validity flag, if set to TRUE, tells us to map the information sent to us in the VIS_FCF_VRU_Config_LX_speed_kPoint_bicycles_3 signal to the FFS</t>
  </si>
  <si>
    <t>VIS_FCF_VRU_Config_LX_speed_kPoint_bicycles_3</t>
  </si>
  <si>
    <t>VIS_FCF_VRU_Config_LX_speed_kPoint_bicycles_4_V</t>
  </si>
  <si>
    <t>This validity flag, if set to TRUE, tells us to map the information sent to us in the VIS_FCF_VRU_Config_LX_speed_kPoint_bicycles_4 signal to the FFS</t>
  </si>
  <si>
    <t>VIS_FCF_VRU_Config_LX_speed_kPoint_bicycles_4</t>
  </si>
  <si>
    <t>VIS_FCF_VRU_Config_LX_speed_kPoint_bicycles_5_V</t>
  </si>
  <si>
    <t>This validity flag, if set to TRUE, tells us to map the information sent to us in the VIS_FCF_VRU_Config_LX_speed_kPoint_bicycles_5 signal to the FFS</t>
  </si>
  <si>
    <t>VIS_FCF_VRU_Config_LX_speed_kPoint_bicycles_5</t>
  </si>
  <si>
    <t>VIS_FCF_VRU_Config_LX_speedParams_0_V</t>
  </si>
  <si>
    <t>This validity flag, if set to TRUE, tells us to map the information sent to us in the VIS_FCF_VRU_Config_LX_speedParams_0 signal to the FFS</t>
  </si>
  <si>
    <t>VIS_FCF_VRU_Config_LX_speedParams_0</t>
  </si>
  <si>
    <t>Lateral corridor speed kneepoints</t>
  </si>
  <si>
    <t>VIS_FCF_VRU_Config_LX_speedParams_1_V</t>
  </si>
  <si>
    <t>This validity flag, if set to TRUE, tells us to map the information sent to us in the VIS_FCF_VRU_Config_LX_speedParams_1 signal to the FFS</t>
  </si>
  <si>
    <t>VIS_FCF_VRU_Config_LX_speedParams_1</t>
  </si>
  <si>
    <t>VIS_FCF_VRU_Config_LX_speedParams_2_V</t>
  </si>
  <si>
    <t>This validity flag, if set to TRUE, tells us to map the information sent to us in the VIS_FCF_VRU_Config_LX_speedParams_2 signal to the FFS</t>
  </si>
  <si>
    <t>VIS_FCF_VRU_Config_LX_speedParams_2</t>
  </si>
  <si>
    <t>VIS_FCF_VRU_Config_LX_speedParams_3_V</t>
  </si>
  <si>
    <t>This validity flag, if set to TRUE, tells us to map the information sent to us in the VIS_FCF_VRU_Config_LX_speedParams_3 signal to the FFS</t>
  </si>
  <si>
    <t>VIS_FCF_VRU_Config_LX_speedParams_3</t>
  </si>
  <si>
    <t>VIS_FCF_VRU_Config_LX_currSide_0_V</t>
  </si>
  <si>
    <t>This validity flag, if set to TRUE, tells us to map the information sent to us in the VIS_FCF_VRU_Config_LX_currSide_0 signal to the FFS</t>
  </si>
  <si>
    <t>VIS_FCF_VRU_Config_LX_currSide_0</t>
  </si>
  <si>
    <t>Lateral corridor kneepoints. Pedestrian must be inside this lateral corridor for an alert to be issued</t>
  </si>
  <si>
    <t>VIS_FCF_VRU_Config_LX_currSide_1_V</t>
  </si>
  <si>
    <t>This validity flag, if set to TRUE, tells us to map the information sent to us in the VIS_FCF_VRU_Config_LX_currSide_1 signal to the FFS</t>
  </si>
  <si>
    <t>VIS_FCF_VRU_Config_LX_currSide_1</t>
  </si>
  <si>
    <t>VIS_FCF_VRU_Config_LX_currSide_2_V</t>
  </si>
  <si>
    <t>This validity flag, if set to TRUE, tells us to map the information sent to us in the VIS_FCF_VRU_Config_LX_currSide_2 signal to the FFS</t>
  </si>
  <si>
    <t>VIS_FCF_VRU_Config_LX_currSide_2</t>
  </si>
  <si>
    <t>VIS_FCF_VRU_Config_LX_currSide_3_V</t>
  </si>
  <si>
    <t>This validity flag, if set to TRUE, tells us to map the information sent to us in the VIS_FCF_VRU_Config_LX_currSide_3 signal to the FFS</t>
  </si>
  <si>
    <t>VIS_FCF_VRU_Config_LX_currSide_3</t>
  </si>
  <si>
    <t>VIS_FCF_VRU_Config_LX_crossingExpand_0_V</t>
  </si>
  <si>
    <t>This validity flag, if set to TRUE, tells us to map the information sent to us in the VIS_FCF_VRU_Config_LX_crossingExpand_0 signal to the FFS</t>
  </si>
  <si>
    <t>VIS_FCF_VRU_Config_LX_crossingExpand_0</t>
  </si>
  <si>
    <t>For rapid target movement, currSide is expanded by kneepoints value for pedestrian targets</t>
  </si>
  <si>
    <t>VIS_FCF_VRU_Config_LX_crossingExpand_1_V</t>
  </si>
  <si>
    <t>This validity flag, if set to TRUE, tells us to map the information sent to us in the VIS_FCF_VRU_Config_LX_crossingExpand_1 signal to the FFS</t>
  </si>
  <si>
    <t>VIS_FCF_VRU_Config_LX_crossingExpand_1</t>
  </si>
  <si>
    <t>VIS_FCF_VRU_Config_LX_crossingExpand_2_V</t>
  </si>
  <si>
    <t>This validity flag, if set to TRUE, tells us to map the information sent to us in the VIS_FCF_VRU_Config_LX_crossingExpand_2 signal to the FFS</t>
  </si>
  <si>
    <t>VIS_FCF_VRU_Config_LX_crossingExpand_2</t>
  </si>
  <si>
    <t>VIS_FCF_VRU_Config_LX_crossingExpand_3_V</t>
  </si>
  <si>
    <t>This validity flag, if set to TRUE, tells us to map the information sent to us in the VIS_FCF_VRU_Config_LX_crossingExpand_3 signal to the FFS</t>
  </si>
  <si>
    <t>VIS_FCF_VRU_Config_LX_crossingExpand_3</t>
  </si>
  <si>
    <t>VIS_FCF_VRU_Config_LX_crossingBicycleExp_0_V</t>
  </si>
  <si>
    <t>This validity flag, if set to TRUE, tells us to map the information sent to us in the VIS_FCF_VRU_Config_LX_crossingBicycleExp_0 signal to the FFS</t>
  </si>
  <si>
    <t>VIS_FCF_VRU_Config_LX_crossingBicycleExp_0</t>
  </si>
  <si>
    <t>For rapid target movement, bicycleSide is expanded by the kneepoints value for cyclist targets</t>
  </si>
  <si>
    <t>[0,13]
INFINITY=INVALID</t>
  </si>
  <si>
    <t>VIS_FCF_VRU_Config_LX_crossingBicycleExp_1_V</t>
  </si>
  <si>
    <t>This validity flag, if set to TRUE, tells us to map the information sent to us in the VIS_FCF_VRU_Config_LX_crossingBicycleExp_1 signal to the FFS</t>
  </si>
  <si>
    <t>VIS_FCF_VRU_Config_LX_crossingBicycleExp_1</t>
  </si>
  <si>
    <t>VIS_FCF_VRU_Config_LX_crossingBicycleExp_2_V</t>
  </si>
  <si>
    <t>This validity flag, if set to TRUE, tells us to map the information sent to us in the VIS_FCF_VRU_Config_LX_crossingBicycleExp_2 signal to the FFS</t>
  </si>
  <si>
    <t>VIS_FCF_VRU_Config_LX_crossingBicycleExp_2</t>
  </si>
  <si>
    <t>VIS_FCF_VRU_Config_LX_crossingBicycleExp_3_V</t>
  </si>
  <si>
    <t>This validity flag, if set to TRUE, tells us to map the information sent to us in the VIS_FCF_VRU_Config_LX_crossingBicycleExp_3 signal to the FFS</t>
  </si>
  <si>
    <t>VIS_FCF_VRU_Config_LX_crossingBicycleExp_3</t>
  </si>
  <si>
    <t>VIS_FCF_VRU_Config_LX_predSide_0_V</t>
  </si>
  <si>
    <t>This validity flag, if set to TRUE, tells us to map the information sent to us in the VIS_FCF_VRU_Config_LX_predSide_0 signal to the FFS</t>
  </si>
  <si>
    <t>VIS_FCF_VRU_Config_LX_predSide_0</t>
  </si>
  <si>
    <t>Pedestrian target should be within this lateral corridor at the predicted ttc = 0</t>
  </si>
  <si>
    <t>VIS_FCF_VRU_Config_LX_predSide_1_V</t>
  </si>
  <si>
    <t>This validity flag, if set to TRUE, tells us to map the information sent to us in the VIS_FCF_VRU_Config_LX_predSide_1 signal to the FFS</t>
  </si>
  <si>
    <t>VIS_FCF_VRU_Config_LX_predSide_1</t>
  </si>
  <si>
    <t>VIS_FCF_VRU_Config_LX_predSide_2_V</t>
  </si>
  <si>
    <t>This validity flag, if set to TRUE, tells us to map the information sent to us in the VIS_FCF_VRU_Config_LX_predSide_2 signal to the FFS</t>
  </si>
  <si>
    <t>VIS_FCF_VRU_Config_LX_predSide_2</t>
  </si>
  <si>
    <t>VIS_FCF_VRU_Config_LX_predSide_3_V</t>
  </si>
  <si>
    <t>This validity flag, if set to TRUE, tells us to map the information sent to us in the VIS_FCF_VRU_Config_LX_predSide_3 signal to the FFS</t>
  </si>
  <si>
    <t>VIS_FCF_VRU_Config_LX_predSide_3</t>
  </si>
  <si>
    <t>VIS_FCF_VRU_Config_LX_bicycleSide_0_V</t>
  </si>
  <si>
    <t>This validity flag, if set to TRUE, tells us to map the information sent to us in the VIS_FCF_VRU_Config_LX_bicycleSide_0 signal to the FFS</t>
  </si>
  <si>
    <t>VIS_FCF_VRU_Config_LX_bicycleSide_0</t>
  </si>
  <si>
    <t>Defines together current side and lateral side for cyclist targets</t>
  </si>
  <si>
    <t>VIS_FCF_VRU_Config_LX_bicycleSide_1_V</t>
  </si>
  <si>
    <t>This validity flag, if set to TRUE, tells us to map the information sent to us in the VIS_FCF_VRU_Config_LX_bicycleSide_1 signal to the FFS</t>
  </si>
  <si>
    <t>VIS_FCF_VRU_Config_LX_bicycleSide_1</t>
  </si>
  <si>
    <t>VIS_FCF_VRU_Config_LX_bicycleSide_2_V</t>
  </si>
  <si>
    <t>This validity flag, if set to TRUE, tells us to map the information sent to us in the VIS_FCF_VRU_Config_LX_bicycleSide_2 signal to the FFS</t>
  </si>
  <si>
    <t>VIS_FCF_VRU_Config_LX_bicycleSide_2</t>
  </si>
  <si>
    <t>VIS_FCF_VRU_Config_LX_bicycleSide_3_V</t>
  </si>
  <si>
    <t>This validity flag, if set to TRUE, tells us to map the information sent to us in the VIS_FCF_VRU_Config_LX_bicycleSide_3 signal to the FFS</t>
  </si>
  <si>
    <t>VIS_FCF_VRU_Config_LX_bicycleSide_3</t>
  </si>
  <si>
    <t>VIS_FCF_VRU_Config_LX_MinPauseAfterWarn_V</t>
  </si>
  <si>
    <t>This validity flag, if set to TRUE, tells us to map the information sent to us in the VIS_FCF_VRU_Config_LX_MinPauseAfterWarn signal to the FFS</t>
  </si>
  <si>
    <t>VIS_FCF_VRU_Config_LX_MinPauseAfterWarn</t>
  </si>
  <si>
    <t>Minimum pause time after alert was issued (grace period)</t>
  </si>
  <si>
    <t>VIS_FCF_VRU_Config_LX_MinSpeedForWarn_V</t>
  </si>
  <si>
    <t>This validity flag, if set to TRUE, tells us to map the information sent to us in the VIS_FCF_VRU_Config_LX_MinSpeedForWarn signal to the FFS</t>
  </si>
  <si>
    <t>VIS_FCF_VRU_Config_LX_MinSpeedForWarn</t>
  </si>
  <si>
    <t>Minimum ego speed for an alert to be issued</t>
  </si>
  <si>
    <t>VIS_FCF_VRU_Config_LX_MaxSpeedForWarn_V</t>
  </si>
  <si>
    <t>This validity flag, if set to TRUE, tells us to map the information sent to us in the VIS_FCF_VRU_Config_LX_MaxSpeedForWarn signal to the FFS</t>
  </si>
  <si>
    <t>VIS_FCF_VRU_Config_LX_MaxSpeedForWarn</t>
  </si>
  <si>
    <t>Maximum ego speed for an alert to be issued</t>
  </si>
  <si>
    <t>VIS_FCF_VRU_Config_LX_brakingTTCReduction_V</t>
  </si>
  <si>
    <t>This validity flag, if set to TRUE, tells us to map the information sent to us in the VIS_FCF_VRU_Config_LX_brakingTTCReduction signal to the FFS</t>
  </si>
  <si>
    <t>VIS_FCF_VRU_Config_LX_brakingTTCReduction</t>
  </si>
  <si>
    <t>If ego is braking, TTC threshold is reduced by this value</t>
  </si>
  <si>
    <t>VIS_FCF_VRU_Config_LX_maxYawRadPerSec_warn_V</t>
  </si>
  <si>
    <t>This validity flag, if set to TRUE, tells us to map the information sent to us in the VIS_FCF_VRU_Config_LX_maxYawRadPerSec_warn signal to the FFS</t>
  </si>
  <si>
    <t>VIS_FCF_VRU_Config_LX_maxYawRadPerSec_warn</t>
  </si>
  <si>
    <t>Maximum ego yaw rate in order for an alert to be issued</t>
  </si>
  <si>
    <t>[-1,3]
INFINITY=INVALID</t>
  </si>
  <si>
    <t>VIS_FCF_VRU_Config_LX_maxWheelAngle_V</t>
  </si>
  <si>
    <t>This validity flag, if set to TRUE, tells us to map the information sent to us in the VIS_FCF_VRU_Config_LX_maxWheelAngle signal to the FFS</t>
  </si>
  <si>
    <t>VIS_FCF_VRU_Config_LX_maxWheelAngle</t>
  </si>
  <si>
    <t>Steering angle front axle – used for alert suppressions (default value is -999)</t>
  </si>
  <si>
    <t>deg</t>
  </si>
  <si>
    <t>[-1000,999]
INFINITY=INVALID</t>
  </si>
  <si>
    <t>VIS_FCF_VRU_Config_LX_TTC_kPoints_warn_far_0_V</t>
  </si>
  <si>
    <t>This validity flag, if set to TRUE, tells us to map the information sent to us in the VIS_FCF_VRU_Config_LX_TTC_kPoints_warn_far_0 signal to the FFS</t>
  </si>
  <si>
    <t>VIS_FCF_VRU_Config_LX_TTC_kPoints_warn_far_0</t>
  </si>
  <si>
    <t>Defines TTC threshold kneepoints for Far gap sensitivity (Ped targets)</t>
  </si>
  <si>
    <t>VIS_FCF_VRU_Config_LX_TTC_kPoints_warn_far_1_V</t>
  </si>
  <si>
    <t>This validity flag, if set to TRUE, tells us to map the information sent to us in the VIS_FCF_VRU_Config_LX_TTC_kPoints_warn_far_1 signal to the FFS</t>
  </si>
  <si>
    <t>VIS_FCF_VRU_Config_LX_TTC_kPoints_warn_far_1</t>
  </si>
  <si>
    <t>VIS_FCF_VRU_Config_LX_TTC_kPoints_warn_far_2_V</t>
  </si>
  <si>
    <t>This validity flag, if set to TRUE, tells us to map the information sent to us in the VIS_FCF_VRU_Config_LX_TTC_kPoints_warn_far_2 signal to the FFS</t>
  </si>
  <si>
    <t>VIS_FCF_VRU_Config_LX_TTC_kPoints_warn_far_2</t>
  </si>
  <si>
    <t>VIS_FCF_VRU_Config_LX_TTC_kPoints_warn_far_3_V</t>
  </si>
  <si>
    <t>This validity flag, if set to TRUE, tells us to map the information sent to us in the VIS_FCF_VRU_Config_LX_TTC_kPoints_warn_far_3 signal to the FFS</t>
  </si>
  <si>
    <t>VIS_FCF_VRU_Config_LX_TTC_kPoints_warn_far_3</t>
  </si>
  <si>
    <t>VIS_FCF_VRU_Config_LX_TTC_kPoints_warn_far_4_V</t>
  </si>
  <si>
    <t>This validity flag, if set to TRUE, tells us to map the information sent to us in the VIS_FCF_VRU_Config_LX_TTC_kPoints_warn_far_4 signal to the FFS</t>
  </si>
  <si>
    <t>VIS_FCF_VRU_Config_LX_TTC_kPoints_warn_far_4</t>
  </si>
  <si>
    <t>VIS_FCF_VRU_Config_LX_TTC_kPoints_warn_far_5_V</t>
  </si>
  <si>
    <t>This validity flag, if set to TRUE, tells us to map the information sent to us in the VIS_FCF_VRU_Config_LX_TTC_kPoints_warn_far_5 signal to the FFS</t>
  </si>
  <si>
    <t>VIS_FCF_VRU_Config_LX_TTC_kPoints_warn_far_5</t>
  </si>
  <si>
    <t>VIS_FCF_VRU_Config_LX_TTC_kPoints_warn_n_0_V</t>
  </si>
  <si>
    <t>This validity flag, if set to TRUE, tells us to map the information sent to us in the VIS_FCF_VRU_Config_LX_TTC_kPoints_warn_n_0 signal to the FFS</t>
  </si>
  <si>
    <t>VIS_FCF_VRU_Config_LX_TTC_kPoints_warn_n_0</t>
  </si>
  <si>
    <t>Defines TTC threshold kneepoints for Near gap sensitivity (Ped targets)</t>
  </si>
  <si>
    <t>VIS_FCF_VRU_Config_LX_TTC_kPoints_warn_n_1_V</t>
  </si>
  <si>
    <t>This validity flag, if set to TRUE, tells us to map the information sent to us in the VIS_FCF_VRU_Config_LX_TTC_kPoints_warn_n_1 signal to the FFS</t>
  </si>
  <si>
    <t>VIS_FCF_VRU_Config_LX_TTC_kPoints_warn_n_1</t>
  </si>
  <si>
    <t>VIS_FCF_VRU_Config_LX_TTC_kPoints_warn_n_2_V</t>
  </si>
  <si>
    <t>This validity flag, if set to TRUE, tells us to map the information sent to us in the VIS_FCF_VRU_Config_LX_TTC_kPoints_warn_n_2 signal to the FFS</t>
  </si>
  <si>
    <t>VIS_FCF_VRU_Config_LX_TTC_kPoints_warn_n_2</t>
  </si>
  <si>
    <t>VIS_FCF_VRU_Config_LX_TTC_kPoints_warn_n_3_V</t>
  </si>
  <si>
    <t>This validity flag, if set to TRUE, tells us to map the information sent to us in the VIS_FCF_VRU_Config_LX_TTC_kPoints_warn_n_3 signal to the FFS</t>
  </si>
  <si>
    <t>VIS_FCF_VRU_Config_LX_TTC_kPoints_warn_n_3</t>
  </si>
  <si>
    <t>VIS_FCF_VRU_Config_LX_TTC_kPoints_warn_n_4_V</t>
  </si>
  <si>
    <t>This validity flag, if set to TRUE, tells us to map the information sent to us in the VIS_FCF_VRU_Config_LX_TTC_kPoints_warn_n_4 signal to the FFS</t>
  </si>
  <si>
    <t>VIS_FCF_VRU_Config_LX_TTC_kPoints_warn_n_4</t>
  </si>
  <si>
    <t>VIS_FCF_VRU_Config_LX_TTC_kPoints_warn_n_5_V</t>
  </si>
  <si>
    <t>This validity flag, if set to TRUE, tells us to map the information sent to us in the VIS_FCF_VRU_Config_LX_TTC_kPoints_warn_n_5 signal to the FFS</t>
  </si>
  <si>
    <t>VIS_FCF_VRU_Config_LX_TTC_kPoints_warn_n_5</t>
  </si>
  <si>
    <t>VIS_FCF_VRU_Config_LX_TTC_kPoints_bi_F_0_V</t>
  </si>
  <si>
    <t>This validity flag, if set to TRUE, tells us to map the information sent to us in the VIS_FCF_VRU_Config_LX_TTC_kPoints_bi_F_0 signal to the FFS</t>
  </si>
  <si>
    <t>VIS_FCF_VRU_Config_LX_TTC_kPoints_bi_F_0</t>
  </si>
  <si>
    <t>Defines TTC threshold kneepoints for Far gap sensitivity (Cyclist targets)</t>
  </si>
  <si>
    <t>VIS_FCF_VRU_Config_LX_TTC_kPoints_bi_F_1_V</t>
  </si>
  <si>
    <t>This validity flag, if set to TRUE, tells us to map the information sent to us in the VIS_FCF_VRU_Config_LX_TTC_kPoints_bi_F_1 signal to the FFS</t>
  </si>
  <si>
    <t>VIS_FCF_VRU_Config_LX_TTC_kPoints_bi_F_1</t>
  </si>
  <si>
    <t>VIS_FCF_VRU_Config_LX_TTC_kPoints_bi_F_2_V</t>
  </si>
  <si>
    <t>This validity flag, if set to TRUE, tells us to map the information sent to us in the VIS_FCF_VRU_Config_LX_TTC_kPoints_bi_F_2 signal to the FFS</t>
  </si>
  <si>
    <t>VIS_FCF_VRU_Config_LX_TTC_kPoints_bi_F_2</t>
  </si>
  <si>
    <t>VIS_FCF_VRU_Config_LX_TTC_kPoints_bi_F_3_V</t>
  </si>
  <si>
    <t>This validity flag, if set to TRUE, tells us to map the information sent to us in the VIS_FCF_VRU_Config_LX_TTC_kPoints_bi_F_3 signal to the FFS</t>
  </si>
  <si>
    <t>VIS_FCF_VRU_Config_LX_TTC_kPoints_bi_F_3</t>
  </si>
  <si>
    <t>VIS_FCF_VRU_Config_LX_TTC_kPoints_bi_F_4_V</t>
  </si>
  <si>
    <t>This validity flag, if set to TRUE, tells us to map the information sent to us in the VIS_FCF_VRU_Config_LX_TTC_kPoints_bi_F_4 signal to the FFS</t>
  </si>
  <si>
    <t>VIS_FCF_VRU_Config_LX_TTC_kPoints_bi_F_4</t>
  </si>
  <si>
    <t>VIS_FCF_VRU_Config_LX_TTC_kPoints_bi_F_5_V</t>
  </si>
  <si>
    <t>This validity flag, if set to TRUE, tells us to map the information sent to us in the VIS_FCF_VRU_Config_LX_TTC_kPoints_bi_F_5 signal to the FFS</t>
  </si>
  <si>
    <t>VIS_FCF_VRU_Config_LX_TTC_kPoints_bi_F_5</t>
  </si>
  <si>
    <t>VIS_FCF_VRU_Config_LX_TTC_kPoints_bi_N_0_V</t>
  </si>
  <si>
    <t>This validity flag, if set to TRUE, tells us to map the information sent to us in the VIS_FCF_VRU_Config_LX_TTC_kPoints_bi_N_0 signal to the FFS</t>
  </si>
  <si>
    <t>VIS_FCF_VRU_Config_LX_TTC_kPoints_bi_N_0</t>
  </si>
  <si>
    <t>Defines TTC threshold kneepoints for Near gap sensitivity (Cyclist targets)</t>
  </si>
  <si>
    <t>VIS_FCF_VRU_Config_LX_TTC_kPoints_bi_N_1_V</t>
  </si>
  <si>
    <t>This validity flag, if set to TRUE, tells us to map the information sent to us in the VIS_FCF_VRU_Config_LX_TTC_kPoints_bi_N_1 signal to the FFS</t>
  </si>
  <si>
    <t>VIS_FCF_VRU_Config_LX_TTC_kPoints_bi_N_1</t>
  </si>
  <si>
    <t>VIS_FCF_VRU_Config_LX_TTC_kPoints_bi_N_2_V</t>
  </si>
  <si>
    <t>This validity flag, if set to TRUE, tells us to map the information sent to us in the VIS_FCF_VRU_Config_LX_TTC_kPoints_bi_N_2 signal to the FFS</t>
  </si>
  <si>
    <t>VIS_FCF_VRU_Config_LX_TTC_kPoints_bi_N_2</t>
  </si>
  <si>
    <t>VIS_FCF_VRU_Config_LX_TTC_kPoints_bi_N_3_V</t>
  </si>
  <si>
    <t>This validity flag, if set to TRUE, tells us to map the information sent to us in the VIS_FCF_VRU_Config_LX_TTC_kPoints_bi_N_3 signal to the FFS</t>
  </si>
  <si>
    <t>VIS_FCF_VRU_Config_LX_TTC_kPoints_bi_N_3</t>
  </si>
  <si>
    <t>VIS_FCF_VRU_Config_LX_TTC_kPoints_bi_N_4_V</t>
  </si>
  <si>
    <t>This validity flag, if set to TRUE, tells us to map the information sent to us in the VIS_FCF_VRU_Config_LX_TTC_kPoints_bi_N_4 signal to the FFS</t>
  </si>
  <si>
    <t>VIS_FCF_VRU_Config_LX_TTC_kPoints_bi_N_4</t>
  </si>
  <si>
    <t>VIS_FCF_VRU_Config_LX_TTC_kPoints_bi_N_5_V</t>
  </si>
  <si>
    <t>This validity flag, if set to TRUE, tells us to map the information sent to us in the VIS_FCF_VRU_Config_LX_TTC_kPoints_bi_N_5 signal to the FFS</t>
  </si>
  <si>
    <t>VIS_FCF_VRU_Config_LX_TTC_kPoints_bi_N_5</t>
  </si>
  <si>
    <t>VIS_FCF_VRU_Config_LX_DeactivateInNight_V</t>
  </si>
  <si>
    <t>This validity flag, if set to TRUE, tells us to map the information sent to us in the VIS_FCF_VRU_Config_LX_DeactivateInNight signal to the FFS</t>
  </si>
  <si>
    <t>VIS_FCF_VRU_Config_LX_DeactivateInNight</t>
  </si>
  <si>
    <t>Defines whether a configuration set is active on targets at night. 1 == no alerts will be issued at night</t>
  </si>
  <si>
    <t>VIS_FCF_VRU_Config_LX_adhereToGapSensitivity_V</t>
  </si>
  <si>
    <t>This validity flag, if set to TRUE, tells us to map the information sent to us in the VIS_FCF_VRU_Config_LX_adhereToGapSensitivity signal to the FFS</t>
  </si>
  <si>
    <t>VIS_FCF_VRU_Config_LX_adhereToGapSensitivity</t>
  </si>
  <si>
    <t>Defines whether configuration set has gap sensitivity (only non-AEB sets)</t>
  </si>
  <si>
    <t>VIS_FCF_VRU_Config_LX_warnOnBicycles_V</t>
  </si>
  <si>
    <t>This validity flag, if set to TRUE, tells us to map the information sent to us in the VIS_FCF_VRU_Config_LX_warnOnBicycles signal to the FFS</t>
  </si>
  <si>
    <t>VIS_FCF_VRU_Config_LX_warnOnBicycles</t>
  </si>
  <si>
    <t>Defines whether alert is issued on cyclist targets</t>
  </si>
  <si>
    <t>VIS_FCF_VRU_Config_LX_SuppressByBrake_V</t>
  </si>
  <si>
    <t>This validity flag, if set to TRUE, tells us to map the information sent to us in the VIS_FCF_VRU_Config_LX_SuppressByBrake signal to the FFS</t>
  </si>
  <si>
    <t>VIS_FCF_VRU_Config_LX_SuppressByBrake</t>
  </si>
  <si>
    <t>Do we suppress alert for ego brake</t>
  </si>
  <si>
    <t>VIS_FCF_VRU_Config_LX_showPedFCW_V</t>
  </si>
  <si>
    <t>VIS_FCF_VRU_Config_LX_showPedFCW</t>
  </si>
  <si>
    <t>Enable alert of specific level</t>
  </si>
  <si>
    <t>VIS_FCF_VRU_Config_LX_MinSpeedForWarn_highYaw_V</t>
  </si>
  <si>
    <t>This validity flag, if set to TRUE, tells us to map the information sent to us in the VIS_FCF_VRU_Config_LX_MinSpeedForWarn_highYaw signal to the FFS</t>
  </si>
  <si>
    <t>VIS_FCF_VRU_Config_LX_MinSpeedForWarn_highYaw</t>
  </si>
  <si>
    <t>Min Speed for high yaw alerts (turning scenarios)</t>
  </si>
  <si>
    <t>VIS_FCF_VRU_Config_LX_MaxSpeedForWarn_highYaw_V</t>
  </si>
  <si>
    <t>This validity flag, if set to TRUE, tells us to map the information sent to us in the VIS_FCF_VRU_Config_LX_MaxSpeedForWarn_highYaw signal to the FFS</t>
  </si>
  <si>
    <t>VIS_FCF_VRU_Config_LX_MaxSpeedForWarn_highYaw</t>
  </si>
  <si>
    <t>Max Speed for high yaw alerts (turning scenarios)</t>
  </si>
  <si>
    <t>Gen4: 1/18
Gen6: 1/10
Gen7:TBD</t>
  </si>
  <si>
    <t>VIS_FSD_Common_Header</t>
  </si>
  <si>
    <t>VIS_FSD.Header</t>
  </si>
  <si>
    <t>VIS_FSD_Number_Of_Segments</t>
  </si>
  <si>
    <t>Number of reported Free Space elements in this message.</t>
  </si>
  <si>
    <t>[0, 320]
65535=INVALID</t>
  </si>
  <si>
    <t>VIS_FSD_Is_Valid_Border1</t>
  </si>
  <si>
    <t>It indicates whether the border is valid or not. If invalid, all signals related to this border shall be treated as invalid.</t>
  </si>
  <si>
    <t>VIS_FSD.Segment[n_ID], n_ID∈ [0 - 319]</t>
  </si>
  <si>
    <t>VIS_FSD_Existence_Prob_Border1</t>
  </si>
  <si>
    <t>Probability of presence of obstacle</t>
  </si>
  <si>
    <t>VIS_FSD_Mobility_Status_Border1</t>
  </si>
  <si>
    <t>Enumeration of mobility status</t>
  </si>
  <si>
    <t>ENUM:
1=MOVING
2=NON_MOVING
3=NEVER_MOVED
255=INVALID</t>
  </si>
  <si>
    <t>VIS_FSD_Classification_Conf_Border1</t>
  </si>
  <si>
    <t>Confidence level of classification</t>
  </si>
  <si>
    <t>VIS_FSD_Classification_Type_Border1</t>
  </si>
  <si>
    <t>Enumeration of classification type. Classification based on technology availability according to customer features and CV supplier capabilities.</t>
  </si>
  <si>
    <t>ENUM:
1=GUARDRAIL
2=CURB
3=NON_ELEVATED_ROAD_EDGE
4=NO_OBSTACLE_UP_TO_VISIBILITY
5=UNKNOWN
6=NEGATIVE
7=OBJECTS
8=CA
9=GATES
10=HAZARD
11=CONCRETE_BARIER
12=ELEVATED_ROAD_EDGE
13=WALL
14=NOTEXIST
15=WARNING_TRIANGLE_FLARE
255=INVALID</t>
  </si>
  <si>
    <t>VIS_FSD_Obstacle_ID_Border1</t>
  </si>
  <si>
    <t>The OBS ID to which the border relates (if available). It can be used together with FSPX_Classification_Type_B0 to correlate this obstacle to detections in other protocols such as Objects or Construction_Area.</t>
  </si>
  <si>
    <t>VIS_FSD_Lane_Assignment_Border1</t>
  </si>
  <si>
    <t>The lane on which the obstacle is detected</t>
  </si>
  <si>
    <t>ENUM:
1=EGO_LANE
2=NEXT_LEFT
3=NEXT_RIGHT
4=FAR_LEFT
5=FAR_RIGHT
255=INVALID</t>
  </si>
  <si>
    <t>VIS_FSD_Range_Border1</t>
  </si>
  <si>
    <t>Polar distance to obstacle in meters</t>
  </si>
  <si>
    <t>0</t>
  </si>
  <si>
    <t>[0, 250]
INFINITY=INVALID</t>
  </si>
  <si>
    <t>VIS_FSD_Range_STD_Border1</t>
  </si>
  <si>
    <t>Polar distance STD in meters</t>
  </si>
  <si>
    <t>VIS_FSD_Height_Border1</t>
  </si>
  <si>
    <t>Obstacle height in meters</t>
  </si>
  <si>
    <t>-1</t>
  </si>
  <si>
    <t>[-1, 5]
INFINITY=INVALID</t>
  </si>
  <si>
    <t>VIS_FSD_Height_STD_Border1</t>
  </si>
  <si>
    <t>Obstacle height STD in meters</t>
  </si>
  <si>
    <t>[0, 1]
INFINITY=INVALID</t>
  </si>
  <si>
    <t>VIS_FSD_Azimuth_Angle_Border1</t>
  </si>
  <si>
    <t>The angle between the longitudinal axis and the obstacle point. Right growing positive and left growing negative</t>
  </si>
  <si>
    <t>-1.05</t>
  </si>
  <si>
    <t>[-1.05, 1.05]
INFINITY=INVALID</t>
  </si>
  <si>
    <t>VIS_FSD_Azimuth_Angle_STD_Border1</t>
  </si>
  <si>
    <t>Standard deviation of the azimuth angle</t>
  </si>
  <si>
    <t>-0.5</t>
  </si>
  <si>
    <t>[-0.5, 0.5]
INFINITY=INVALID</t>
  </si>
  <si>
    <t>VIS_FSD_Bottom_Angle_Border1</t>
  </si>
  <si>
    <t>The angle between the horizon and the obstacle contact point on the road</t>
  </si>
  <si>
    <t>-0.524</t>
  </si>
  <si>
    <t>[-0.524, 0.524]
INFINITY=INVALID</t>
  </si>
  <si>
    <t>VIS_FSD_Bottom_Angle_STD_Border1</t>
  </si>
  <si>
    <t>Standard deviation of the bottom angle</t>
  </si>
  <si>
    <t>VIS_FSD_Top_Angle_Border1</t>
  </si>
  <si>
    <t>Height of the obstacle from bottom (Free Space border) to top. An obstacle with positive height will have a postive top angle.</t>
  </si>
  <si>
    <t>VIS_FSD_Top_Angle_STD_Border1</t>
  </si>
  <si>
    <t>Standard deviation of the top angle</t>
  </si>
  <si>
    <t>VIS_FSD_Existence_Prob_Border2</t>
  </si>
  <si>
    <t>VIS_FSD_Is_Valid_Border2</t>
  </si>
  <si>
    <t>VIS_FSD_Mobility_Status_Border2</t>
  </si>
  <si>
    <t>VIS_FSD_Classification_Conf_Border2</t>
  </si>
  <si>
    <t>VIS_FSD_Classification_Type_Border2</t>
  </si>
  <si>
    <t>VIS_FSD_Obstacle_ID_Border2</t>
  </si>
  <si>
    <t>VIS_FSD_Lane_Assignment_Border2</t>
  </si>
  <si>
    <t>VIS_FSD_Range_Border2</t>
  </si>
  <si>
    <t>VIS_FSD_Range_STD_Border2</t>
  </si>
  <si>
    <t>VIS_FSD_Height_Border2</t>
  </si>
  <si>
    <t>VIS_FSD_Height_STD_Border2</t>
  </si>
  <si>
    <t>VIS_FSD_Azimuth_Angle_Border2</t>
  </si>
  <si>
    <t>VIS_FSD_Azimuth_Angle_STD_Border2</t>
  </si>
  <si>
    <t>VIS_FSD_Bottom_Angle_Border2</t>
  </si>
  <si>
    <t>VIS_FSD_Bottom_Angle_STD_Border2</t>
  </si>
  <si>
    <t>VIS_FSD_Top_Angle_Border2</t>
  </si>
  <si>
    <t>VIS_FSD_Top_Angle_STD_Border2</t>
  </si>
  <si>
    <t>Definition of AVI Freespace interface based on Free_Space_EXT protocol version 8 from CV supplier interface 4.23.03</t>
  </si>
  <si>
    <t>Victor Nuin</t>
  </si>
  <si>
    <t>Removed supplier info</t>
  </si>
  <si>
    <t>Peer-reviewed. Issues reported.</t>
  </si>
  <si>
    <t>*Updated periodicity cell - Gen5 removed, Gen7 added
*Removed VIS_FSD_Is_Valid_Border1 and VIS_FSD_Is_Valid_Border2
*Updated size in G1 to 271592"</t>
  </si>
  <si>
    <t>Signals VIS_FSD_Is_Valid_Border1 and VIS_FSD_Is_Valid_Border2 re-added after the consultation with the AVI owner</t>
  </si>
  <si>
    <t>Delta peer reviewed. Size in G1 was not updated when VIS_FSD_Is_Valid_Border1 and VIS_FSD_Is_Valid_Border2 where readded.</t>
  </si>
  <si>
    <t>Size of G1 updated.</t>
  </si>
  <si>
    <t>Delta peer review. No issue found</t>
  </si>
  <si>
    <t>Approved. Referring to Cross-FCN_Definitions version 4</t>
  </si>
  <si>
    <t>Approved. Referring to Cross-FCN_Definitions version 5</t>
  </si>
  <si>
    <t>Image Pixel Coordinate System:
X-axis is horizontal position - pointing to the right of the image
Y-axis is vertical position - pointing down of the image
Origin point [0,0]: 
a) horizontal (X): Top left corner of image
b) vertical (Y): Top left corner of image</t>
  </si>
  <si>
    <t>VIS_FSD_DBG_Common_Header</t>
  </si>
  <si>
    <t>VIS_FSD_DBG.Header</t>
  </si>
  <si>
    <t>VIS_FSD_DBG_Num_Of_Objects</t>
  </si>
  <si>
    <t>VIS_FSD_DBG_Point_ID</t>
  </si>
  <si>
    <t>The original id of the represented debug point.</t>
  </si>
  <si>
    <t>[0,254]
255 = INVALID</t>
  </si>
  <si>
    <t>VIS_FSD_DBG.Element[n_ID], n_ID∈ [0 - 639]</t>
  </si>
  <si>
    <t>VIS_FSD_DBG_Point_Coordinates</t>
  </si>
  <si>
    <t>Pixel X and Y coordinates.</t>
  </si>
  <si>
    <t>point_debug_struct</t>
  </si>
  <si>
    <t>AVI_Freespace_Debug sheet added.</t>
  </si>
  <si>
    <t>- interface name corrected
- common_header signal added, 
- signals names corrected, 
- description for VIS_FSD_DBG_Num_Of_Objects corrected
- max value corrected
- values corrected</t>
  </si>
  <si>
    <t>Delta peer review. Range for VIS_FSD_DBG_Point_ID should be changed to [0-254]</t>
  </si>
  <si>
    <t>Value changed to [0,254]</t>
  </si>
  <si>
    <t>Hans Sallberg</t>
  </si>
  <si>
    <t>Image Pixel Coordinate system clarified</t>
  </si>
  <si>
    <t>Light_Scene_Definitions</t>
  </si>
  <si>
    <t>AVI_HLB_Config</t>
  </si>
  <si>
    <t>VIS_HLB_Common_Header</t>
  </si>
  <si>
    <t>VIS_HLB.Header</t>
  </si>
  <si>
    <t>VIS_HLB_Running_Mode</t>
  </si>
  <si>
    <t>OFF  - during the day,  all hrSpots modules shouldn't run
INACTIVE - only brightScene module is running
FULL - all hrSpots is running</t>
  </si>
  <si>
    <t>ls_running_mode_t</t>
  </si>
  <si>
    <t>VIS_HLB_Inactive_Reason</t>
  </si>
  <si>
    <t>Reason for entering Inactive State</t>
  </si>
  <si>
    <t>hlb_inactive_reason_t</t>
  </si>
  <si>
    <t>VIS_HLB_Decision</t>
  </si>
  <si>
    <t>Binary final decision taking into account different scene detections consideration</t>
  </si>
  <si>
    <t>hlb_decision_t</t>
  </si>
  <si>
    <t>VIS_HLB_Lane_Not_Dark</t>
  </si>
  <si>
    <t>reason for keep-off low beam while detecting weak spots</t>
  </si>
  <si>
    <t>VIS_HLB_Reason</t>
  </si>
  <si>
    <t>Reason for entering HLB decision</t>
  </si>
  <si>
    <t>ls_reason_struct</t>
  </si>
  <si>
    <t>VIS_HLB_Brightness_Score</t>
  </si>
  <si>
    <t>MF score of brightness calculated in HLB technology</t>
  </si>
  <si>
    <t>ls_brightness_score_t</t>
  </si>
  <si>
    <t>VIS_HLB_Guardrail</t>
  </si>
  <si>
    <t>Guardrail Indication</t>
  </si>
  <si>
    <t>Initial version</t>
  </si>
  <si>
    <t>Lokesh Padala</t>
  </si>
  <si>
    <t>Updated to 18.4 CV supplier interface version (no change needed) 
Changed to common header struct
Changed from BITWIZE to struct
Corrected types
Common types between AVI_HLB and AVI_Light_Scene_Vehicle</t>
  </si>
  <si>
    <t>Updated bool signals according to agreement
Updated spelling for types according to rules</t>
  </si>
  <si>
    <t>Peer-reviewed Size, no issue found.</t>
  </si>
  <si>
    <t>Approved, referring to Cross-FCN_Definitions version 1 &amp; Light_Scene_Definitions version 1.</t>
  </si>
  <si>
    <t>Approved, referring to Cross-FCN_Definitions version 2 &amp; Light_Scene_Definitions version 2.</t>
  </si>
  <si>
    <t>Corrected Struct Length(repetitions) to Struct Length (Repetitions)</t>
  </si>
  <si>
    <t>Provided ASIL Compliance and Periodicity.
Updated VIS_HLB_Lane_Not_Dark with following attributes:
Type: bool8 --&gt; uint8
Value: Added INVALID
Max: 1 --&gt; 255</t>
  </si>
  <si>
    <t>Peer-reviewed, no issues found.</t>
  </si>
  <si>
    <t>UpdatedVIS_HLB_Lane_Not_Dark, using bool_inv_t type.</t>
  </si>
  <si>
    <t xml:space="preserve">updated bool_inv_t -&gt; bool_invalid_t </t>
  </si>
  <si>
    <t>Approved. Referring to Light_Scene_Definitions version 3 &amp; Cross-FCN_Definitions version 3.</t>
  </si>
  <si>
    <t>Approved. Referring to Light_Scene_Definitions version 3 &amp; Cross-FCN_Definitions version 4.</t>
  </si>
  <si>
    <t>Approved. Referring to Light_Scene_Definitions version 3 &amp; Cross-FCN_Definitions version 5.</t>
  </si>
  <si>
    <t>VIS_HC_APTIV_Protocol_Version</t>
  </si>
  <si>
    <t>VIS_HC.Header</t>
  </si>
  <si>
    <t>VIS_HC_Protocol_Version</t>
  </si>
  <si>
    <t>VIS_HC_C_IN_CURVE_RADIUS_ENTER_THRESH_VALID</t>
  </si>
  <si>
    <t>This validity flag, if set to TRUE, tells us to map the information sent to us in the C_IN_CURVE_RADIUS_ENTER_THRESH signal to the FFS</t>
  </si>
  <si>
    <t>VIS_HC_C_IN_CURVE_RADIUS_ENTER_THRESH</t>
  </si>
  <si>
    <t>When entering a road whose curve radius is (calculated/estimated to be) less than this, we enter curve road mode, which affects grace times.</t>
  </si>
  <si>
    <t>[0, 1500]
65535 = INVALID</t>
  </si>
  <si>
    <t>VIS_HC_C_IN_CURVE_RADIUS_EXIT_THRESH_VALID</t>
  </si>
  <si>
    <t>This validity flag, if set to TRUE, tells us to map the information sent to us in the C_IN_CURVE_RADIUS_EXIT_THRESH signal to the FFS.</t>
  </si>
  <si>
    <t>VIS_HC_C_IN_CURVE_RADIUS_EXIT_THRESH</t>
  </si>
  <si>
    <t>If we are in curve road mode and we estimate the current road curve radius to be more than this, we exit the state.</t>
  </si>
  <si>
    <t>VIS_HC_C_VERY_SHARP_CUR_RADIUS_ENTER_VALID</t>
  </si>
  <si>
    <t>This validity flag, if set to TRUE, tells us to map the information sent to us in the C_VERY_SHARP_CUR_RADIUS_ENTER signal to the FFS.</t>
  </si>
  <si>
    <t>VIS_HC_C_VERY_SHARP_CUR_RADIUS_ENTER</t>
  </si>
  <si>
    <t>When entering a road whose curve radius is (calculated/estimated to be) less than this, we enter very sharp curve mode, which affects grace times</t>
  </si>
  <si>
    <t>VIS_HC_C_VERY_SHARP_CUR_RADIUS_EXIT_VALID</t>
  </si>
  <si>
    <t>This validity flag, if set to TRUE, tells us to map the information sent to us in the C_VERY_SHARP_CUR_RADIUS_EXIT signal to the FFS.</t>
  </si>
  <si>
    <t>VIS_HC_C_VERY_SHARP_CUR_RADIUS_EXIT</t>
  </si>
  <si>
    <t>If we are in very sharp curve mode and we estimate the current road curve radius to be more than this, we exit the state.</t>
  </si>
  <si>
    <t>VIS_HC_C_LOW_BEAM_ON_JUNCTION_VALID</t>
  </si>
  <si>
    <t>This validity flag, if set to TRUE, tells us to map the information sent to us in the C_LOW_BEAM_ON_JUNCTION signal to the FFS.</t>
  </si>
  <si>
    <t>VIS_HC_C_LOW_BEAM_ON_JUNCTION</t>
  </si>
  <si>
    <t>Set the junction decision reason on/off.</t>
  </si>
  <si>
    <t>VIS_HC_C_OC_CURVE_TIME_DELAY_VALID</t>
  </si>
  <si>
    <t>This validity flag, if set to TRUE, tells us to map the information sent to us in the C_OC_CURVE_TIME_DELAY signal to the FFS.</t>
  </si>
  <si>
    <t>VIS_HC_C_OC_CURVE_TIME_DELAY</t>
  </si>
  <si>
    <t>If we are in a curve road state and an OC leaves the image, this is the grace time to be set.</t>
  </si>
  <si>
    <t>[0, 5000]
65535 = INVALID</t>
  </si>
  <si>
    <t>VIS_HC_C_OC_MAX_DELAY_CURVE_UP_AHEAD_VALID</t>
  </si>
  <si>
    <t>This validity flag, if set to TRUE, tells us to map the information sent to us in the C_OC_MAX_DELAY_CURVE_UP_AHEAD signal to the FFS.</t>
  </si>
  <si>
    <t>VIS_HC_C_OC_MAX_DELAY_CURVE_UP_AHEAD</t>
  </si>
  <si>
    <t>Delay after oncoming while there is a curve on the road.</t>
  </si>
  <si>
    <t>VIS_HC_C_OC_MID_DISAP_TIME_DELAY_VALID</t>
  </si>
  <si>
    <t>This validity flag, if set to TRUE, tells us to map the information sent to us in the C_OC_MIDDLE_DISAP_TIME_DELAY signal to the FFS.</t>
  </si>
  <si>
    <t>VIS_HC_C_OC_MID_DISAP_TIME_DELAY</t>
  </si>
  <si>
    <t>Delay after disappearing oncoming.</t>
  </si>
  <si>
    <t>VIS_HC_C_OC_MID_DISAP_TIME_DELAY_HW_VALID</t>
  </si>
  <si>
    <t>This validity flag, if set to TRUE, tells us to map the information sent to us in the C_OC_MIDDLE_DISAP_TIME_DELAY_HW signal to the FFS.</t>
  </si>
  <si>
    <t>VIS_HC_C_OC_MID_DISAP_TIME_DELAY_HW</t>
  </si>
  <si>
    <t>Delay after disappearing oncoming on highway.</t>
  </si>
  <si>
    <t>VIS_HC_C_OC_NORMAL_TIME_DELAY_VALID</t>
  </si>
  <si>
    <t>This validity flag, if set to TRUE, tells us to map the information sent to us in the C_OC_NORMAL_TIME_DELAY signal to the FFS.</t>
  </si>
  <si>
    <t>VIS_HC_C_OC_NORMAL_TIME_DELAY</t>
  </si>
  <si>
    <t>Delay after oncoming.</t>
  </si>
  <si>
    <t>[0, 6000]
65535 = INVALID</t>
  </si>
  <si>
    <t>VIS_HC_C_OC_NORMAL_TIME_DELAY_HW_VALID</t>
  </si>
  <si>
    <t>This validity flag, if set to TRUE, tells us to map the information sent to us in the C_OC_NORMAL_TIME_DELAY_HW signal to the FFS.</t>
  </si>
  <si>
    <t>VIS_HC_C_OC_NORMAL_TIME_DELAY_HW</t>
  </si>
  <si>
    <t>Delay after oncoming on highway.</t>
  </si>
  <si>
    <t>VIS_HC_C_OC_STRONG_SUSP_TIME_DELAY_VALID</t>
  </si>
  <si>
    <t>This validity flag, if set to TRUE, tells us to map the information sent to us in the C_OC_STRONG_SUSP_TIME_DELAY signal to the FFS.</t>
  </si>
  <si>
    <t>VIS_HC_C_OC_STRONG_SUSP_TIME_DELAY</t>
  </si>
  <si>
    <t xml:space="preserve">Delay after oncoming while there is an oncoming suspect in the image </t>
  </si>
  <si>
    <t>VIS_HC_C_OC_SUSPECT_TIME_DELAY_VALID</t>
  </si>
  <si>
    <t>This validity flag, if set to TRUE, tells us to map the information sent to us in the C_OC_SUSPECT_TIME_DELAY signal to the FFS.</t>
  </si>
  <si>
    <t>VIS_HC_C_OC_SUSPECT_TIME_DELAY</t>
  </si>
  <si>
    <t>Delay after oncoming while there is an oncoming suspect in the image.</t>
  </si>
  <si>
    <t>VIS_HC_C_TL_ENABLE_O_Take_CALC_VALID</t>
  </si>
  <si>
    <t>This validity flag, if set to TRUE, tells us to map the information sent to us in the C_TL_ENABLE_OVERTAKE_CALC signal to the FFS.</t>
  </si>
  <si>
    <t>VIS_HC_C_TL_ENABLE_O_Take_CALC</t>
  </si>
  <si>
    <t>Enable dynamic calculation of time to overtake to determine taillight grace.</t>
  </si>
  <si>
    <t>VIS_HC_C_TL_LAST_SEEN_SUSPECT_DELAY_VALID</t>
  </si>
  <si>
    <t>This validity flag, if set to TRUE, tells us to map the information sent to us in the C_TL_LAST_SEEN_SUSPECT_DELAY signal to the FFS.</t>
  </si>
  <si>
    <t>VIS_HC_C_TL_LAST_SEEN_SUSPECT_DELAY</t>
  </si>
  <si>
    <t>Delay after taillight while there is a suspect in the image.</t>
  </si>
  <si>
    <t>VIS_HC_C_TL_MAX_DELAY_CURVE_UP_AHEAD_VALID</t>
  </si>
  <si>
    <t>This validity flag, if set to TRUE, tells us to map the information sent to us in the C_TL_MAX_DELAY_CURVE_UP_AHEAD signal to the FFS.</t>
  </si>
  <si>
    <t>VIS_HC_C_TL_MAX_DELAY_CURVE_UP_AHEAD</t>
  </si>
  <si>
    <t>Delay after taillight while there is a curve on the road.</t>
  </si>
  <si>
    <t>VIS_HC_C_TL_MID_DISAP_TIME_DELAY_VALID</t>
  </si>
  <si>
    <t>This validity flag, if set to TRUE, tells us to map the information sent to us in the C_TL_MIDDLE_DISAP_TIME_DELAY signal to the FFS.</t>
  </si>
  <si>
    <t>VIS_HC_C_TL_MID_DISAP_TIME_DELAY</t>
  </si>
  <si>
    <t>Delay after disappearing taillight.</t>
  </si>
  <si>
    <t>VIS_HC_C_TL_MID_DISAP_TIME_DELAY_HW_VALID</t>
  </si>
  <si>
    <t>This validity flag, if set to TRUE, tells us to map the information sent to us in the C_TL_MIDDLE_DISAP_TIME_DELAY_HW signal to the FFS.</t>
  </si>
  <si>
    <t>VIS_HC_C_TL_MID_DISAP_TIME_DELAY_HW</t>
  </si>
  <si>
    <t>Delay after disappearing taillight on highway.</t>
  </si>
  <si>
    <t>VIS_HC_C_TL_NORMAL_TIME_DELAY_VALID</t>
  </si>
  <si>
    <t>This validity flag, if set to TRUE, tells us to map the information sent to us in the C_TL_NORMAL_TIME_DELAY signal to the FFS.</t>
  </si>
  <si>
    <t>VIS_HC_C_TL_NORMAL_TIME_DELAY</t>
  </si>
  <si>
    <t>Delay after taillight.</t>
  </si>
  <si>
    <t>VIS_HC_C_TL_NORMAL_TIME_DELAY_HW_VALID</t>
  </si>
  <si>
    <t>This validity flag, if set to TRUE, tells us to map the information sent to us in the C_TL_NORMAL_TIME_DELAY_HW signal to the FFS.</t>
  </si>
  <si>
    <t>VIS_HC_C_TL_NORMAL_TIME_DELAY_HW</t>
  </si>
  <si>
    <t>Delay after taillight on highway.</t>
  </si>
  <si>
    <t>VIS_HC_C_TL_OC_STRONG_SUSP_TIME_DELAY_VALID</t>
  </si>
  <si>
    <t>This validity flag, if set to TRUE, tells us to map the information sent to us in the C_TL_OC_STRONG_SUSP_TIME_DELAY signal to the FFS.</t>
  </si>
  <si>
    <t>VIS_HC_C_TL_OC_STRONG_SUSP_TIME_DELAY</t>
  </si>
  <si>
    <t>Last object recognized is TL, but there is also an OC STRONG suspect in the scene, this is the grace to be set.</t>
  </si>
  <si>
    <t>VIS_HC_C_TL_OC_SUSPECT_TIME_DELAY_VALID</t>
  </si>
  <si>
    <t>This validity flag, if set to TRUE, tells us to map the information sent to us in the C_TL_OC_SUSPECT_TIME_DELAY signal to the FFS.</t>
  </si>
  <si>
    <t>VIS_HC_C_TL_OC_SUSPECT_TIME_DELAY</t>
  </si>
  <si>
    <t>Last object recognized is TL, but there is also an OC suspect in the scene, this is the grace to be set.</t>
  </si>
  <si>
    <t>VIS_HC_C_TL_O_TAKE_H_BEAM_SIDE_ANGLE_VALID</t>
  </si>
  <si>
    <t>This validity flag, if set to TRUE, tells us to map the information sent to us in the C_TL_OVERTAKE_H_BEAM_SIDE_ANGLE signal to the FFS.</t>
  </si>
  <si>
    <t>VIS_HC_C_TL_O_TAKE_H_BEAM_SIDE_ANGLE</t>
  </si>
  <si>
    <t>Angle between host vehicle and target vehicle's front hood at which it is safe to switch back to high beam.</t>
  </si>
  <si>
    <t>[15, 90]
INFINITY = INVALID</t>
  </si>
  <si>
    <t>VIS_HC_C_TL_O_Take_MAX_TIME_DELAY_VALID</t>
  </si>
  <si>
    <t>This validity flag, if set to TRUE, tells us to map the information sent to us in the C_TL_OVERTAKE_MAX_TIME_DELAY signal to the FFS.</t>
  </si>
  <si>
    <t>VIS_HC_C_TL_O_Take_MAX_TIME_DELAY</t>
  </si>
  <si>
    <t>Upper boundary for overtake calculation grace.</t>
  </si>
  <si>
    <t>[1, 12000]
65535 = INVALID</t>
  </si>
  <si>
    <t>VIS_HC_C_TL_O_Take_TRUCK_LENGTH_VALID</t>
  </si>
  <si>
    <t>This validity flag, if set to TRUE, tells us to map the information sent to us in the C_TL_OVERTAKE_TRUCK_LENGTH signal to the FFS.</t>
  </si>
  <si>
    <t>VIS_HC_C_TL_O_Take_TRUCK_LENGTH</t>
  </si>
  <si>
    <t>Length in meters of a typical target (overtaken) truck. This value is used if vehicle is marked as truck by VD, or if its estimated width is larger than a regular vehicle.</t>
  </si>
  <si>
    <t>[0, 50]
INFINITY = INVALID</t>
  </si>
  <si>
    <t>VIS_HC_C_TL_O_Take_VEHICLE_LENGTH_VALID</t>
  </si>
  <si>
    <t>This validity flag, if set to TRUE, tells us to map the information sent to us in the C_TL_OVERTAKE_VEHICLE_LENGTH signal to the FFS.</t>
  </si>
  <si>
    <t>VIS_HC_C_TL_O_Take_VEHICLE_LENGTH</t>
  </si>
  <si>
    <t>Length in meters of a typical target (overtaken) vehicle</t>
  </si>
  <si>
    <t>[0, 10]
INFINITY = INVALID</t>
  </si>
  <si>
    <t>VIS_HC_SPEED_SWITCHING_HIGH_BEAMS_OFF_VALID</t>
  </si>
  <si>
    <t>This validity flag, if set to TRUE, tells us to map the information sent to us in the SPEED_SWITCHING_HIGH_BEAMS_OFF signal to the FFS.</t>
  </si>
  <si>
    <t>VIS_HC_SPEED_SWITCHING_HIGH_BEAMS_OFF</t>
  </si>
  <si>
    <t>Lower threshold for disabling two-step control.</t>
  </si>
  <si>
    <t>kph</t>
  </si>
  <si>
    <t>[0, 200]
255 = INVALID</t>
  </si>
  <si>
    <t>VIS_HC_SPEED_SWITCHING_HIGH_BEAMS_ON_VALID</t>
  </si>
  <si>
    <t>This validity flag, if set to TRUE, tells us to map the information sent to us in the SPEED_SWITCHING_HIGH_BEAMS_ON signal to the FFS.</t>
  </si>
  <si>
    <t>VIS_HC_SPEED_SWITCHING_HIGH_BEAMS_ON</t>
  </si>
  <si>
    <t>High threshold for enabling two-step control</t>
  </si>
  <si>
    <t>VIS_HC_LN_US_ECE_BEHAVIOR_VALID</t>
  </si>
  <si>
    <t>This validity flag, if set to TRUE, tells us to map the information sent to us in the LN_US_ECE_BEHAVIOR signal to the FFS.</t>
  </si>
  <si>
    <t>VIS_HC_LN_US_ECE_BEHAVIOR</t>
  </si>
  <si>
    <t>0 - set litNight behavior according to country code, 1 - force US behavior, 2 - force ECE behavior</t>
  </si>
  <si>
    <t>ENUM:
255 = INVALID
1=FORCE_US
2=FORCE_ECE</t>
  </si>
  <si>
    <t>VIS_HC_FAR_TAIL_KIL_DIST_COUPLE_VALID</t>
  </si>
  <si>
    <t>This validity flag, if set to TRUE, tells us to map the information sent to us in the FAR_TAIL_KIL_DIST_COUPLE signal to the FFS.</t>
  </si>
  <si>
    <t>VIS_HC_FAR_TAIL_KIL_DIST_COUPLE</t>
  </si>
  <si>
    <t>Above this distance the system will remove taillight couple approval.</t>
  </si>
  <si>
    <t>[100, 3100]
65535 = INVALID</t>
  </si>
  <si>
    <t>VIS_HC_FAR_TAIL_KIL_DIST_COUPLE_CHI_VALID</t>
  </si>
  <si>
    <t>This validity flag, if set to TRUE, tells us to map the information sent to us in the FAR_TAIL_KIL_DIST_COUPLE_CHI signal to the FFS.</t>
  </si>
  <si>
    <t>VIS_HC_FAR_TAIL_KIL_DIST_COUPLE_CHI</t>
  </si>
  <si>
    <t>Above this distance the system will remove taillight couple approval</t>
  </si>
  <si>
    <t>VIS_HC_FAR_TAIL_KIL_DIST_ONE_VALID</t>
  </si>
  <si>
    <t>This validity flag, if set to TRUE, tells us to map the information sent to us in the FAR_TAIL_KIL_DIST_ONE signal to the FFS.</t>
  </si>
  <si>
    <t>VIS_HC_FAR_TAIL_KIL_DIST_ONE</t>
  </si>
  <si>
    <t>Above this distance the system will remove single taillight approval.</t>
  </si>
  <si>
    <t>VIS_HC_FAR_TAIL_KIL_DIST_ONE_CHINA_VALID</t>
  </si>
  <si>
    <t>This validity flag, if set to TRUE, tells us to map the information sent to us in the FAR_TAIL_KIL_DIST_ONE_CHINA signal to the FFS.</t>
  </si>
  <si>
    <t>VIS_HC_FAR_TAIL_KIL_DIST_ONE_CHINA</t>
  </si>
  <si>
    <t>Above this distance the system will remove single taillight approval. If region code is CHINA_RC this value will override the regular correlating parameter.</t>
  </si>
  <si>
    <t>VIS_HC_MAX_ONCOMING_DIST_COUPLE_VALID</t>
  </si>
  <si>
    <t>This validity flag, if set to TRUE, tells us to map the information sent to us in the MAX_ONCOMING_DIST_COUPLE signal to the FFS.</t>
  </si>
  <si>
    <t>VIS_HC_MAX_ONCOMING_DIST_COUPLE</t>
  </si>
  <si>
    <t>Maximum distance of couple oncomings which should be approved.</t>
  </si>
  <si>
    <t>VIS_HC_MAX_ONCOMING_DIST_COUPLE_CHINA_VALID</t>
  </si>
  <si>
    <t>This validity flag, if set to TRUE, tells us to map the information sent to us in the MAX_ONCOMING_DIST_COUPLE_CHINA signal to the FFS.</t>
  </si>
  <si>
    <t>VIS_HC_MAX_ONCOMING_DIST_COUPLE_CHINA</t>
  </si>
  <si>
    <t>Maximum distance of (couple) oncomings which should be approved/reported. If region code is CHINA_RC this value will override the regular correlating parameter.</t>
  </si>
  <si>
    <t>VIS_HC_MAX_OC_DIST_COUPLE_IN_LB_VALID</t>
  </si>
  <si>
    <t>This validity flag, if set to TRUE, tells us to map the information sent to us in the MAX_OC_DIST_COUPLE_IN_LB signal to the FFS.</t>
  </si>
  <si>
    <t>VIS_HC_MAX_OC_DIST_COUPLE_IN_LB</t>
  </si>
  <si>
    <t>Maximum distance of (couple) oncomings which should be approved/reported while in low beam.</t>
  </si>
  <si>
    <t>VIS_HC_MAX_OC_DIST_COUPLE_IN_LB_CHINA_VALID</t>
  </si>
  <si>
    <t>This validity flag, if set to TRUE, tells us to map the information sent to us in the MAX_OC_DIST_COUPLE_IN_LB_CHINA signal to the FFS.</t>
  </si>
  <si>
    <t>VIS_HC_MAX_OC_DIST_COUPLE_IN_LB_CHINA</t>
  </si>
  <si>
    <t>Maximum distance of (couple) oncomings which should be approved/reported while in low beam. If region code is CHINA_RC this value will override the regular correlating parameter.</t>
  </si>
  <si>
    <t>VIS_HC_MAX_OC_DIST_ONE_VALID</t>
  </si>
  <si>
    <t>This validity flag, if set to TRUE, tells us to map the information sent to us in the MAX_OC_DIST_ONE signal to the FFS.</t>
  </si>
  <si>
    <t>VIS_HC_MAX_OC_DIST_ONE</t>
  </si>
  <si>
    <t>Maximum distance of one oncomings which should be approved.</t>
  </si>
  <si>
    <t>VIS_HC_MAX_ONCOMING_DIST_ONE_CHINA_VALID</t>
  </si>
  <si>
    <t>This validity flag, if set to TRUE, tells us to map the information sent to us in the MAX_ONCOMING_DIST_ONE_CHINA signal to the FFS.</t>
  </si>
  <si>
    <t>VIS_HC_MAX_ONCOMING_DIST_ONE_CHINA</t>
  </si>
  <si>
    <t>Maximum distance of (one light source) oncomings which should be approved/reported. If region code is CHINA_RC this value will override the regular correlating parameter.</t>
  </si>
  <si>
    <t>VIS_HC_MAX_ONCOMING_DIST_ONE_IN_LB_VALID</t>
  </si>
  <si>
    <t>This validity flag, if set to TRUE, tells us to map the information sent to us in the MAX_ONCOMING_DIST_ONE_IN_LB signal to the FFS.</t>
  </si>
  <si>
    <t>VIS_HC_MAX_ONCOMING_DIST_ONE_IN_LB</t>
  </si>
  <si>
    <t>the maximum distance of (one light source) oncomings which should be approved/reported while in low beam.</t>
  </si>
  <si>
    <t>VIS_HC_MAX_OC_DIST_ONE_IN_LB_CHINA_VALID</t>
  </si>
  <si>
    <t>This validity flag, if set to TRUE, tells us to map the information sent to us in the MAX_OC_DIST_ONE_IN_LB_CHINA signal to the FFS.</t>
  </si>
  <si>
    <t>VIS_HC_MAX_OC_DIST_ONE_IN_LB_CHINA</t>
  </si>
  <si>
    <t>Maximum distance of (one light source) oncomings which should be approved/reported while in low beam. If region code is CHINA_RC this value will override the regular correlating parameter.</t>
  </si>
  <si>
    <t>VIS_HC_MAX_TAIL_DIST_COUPLE_VALID</t>
  </si>
  <si>
    <t>This validity flag, if set to TRUE, tells us to map the information sent to us in the MAX_TAIL_DIST_COUPLE signal to the FFS.</t>
  </si>
  <si>
    <t>VIS_HC_MAX_TAIL_DIST_COUPLE</t>
  </si>
  <si>
    <t>Maximum distance of couple tailights which should be approved.</t>
  </si>
  <si>
    <t>VIS_HC_MAX_TAIL_DIST_COUPLE_CHINA_VALID</t>
  </si>
  <si>
    <t>This validity flag, if set to TRUE, tells us to map the information sent to us in the MAX_TAIL_DIST_COUPLE_CHINA signal to the FFS.</t>
  </si>
  <si>
    <t>VIS_HC_MAX_TAIL_DIST_COUPLE_CHINA</t>
  </si>
  <si>
    <t>Maximum distance of (couple) tailights which should be approved/reported. If region code is CHINA_RC this value will override the regular correlating parameter.</t>
  </si>
  <si>
    <t>VIS_HC_MAX_TAIL_DIST_COUPLE_IN_LB_VALID</t>
  </si>
  <si>
    <t>This validity flag, if set to TRUE, tells us to map the information sent to us in the MAX_TAIL_DIST_COUPLE_IN_LB signal to the FFS.</t>
  </si>
  <si>
    <t>VIS_HC_MAX_TAIL_DIST_COUPLE_IN_LB</t>
  </si>
  <si>
    <t>Maximum distance of (couple) tailights which should be approved/reported while in low beam.</t>
  </si>
  <si>
    <t>VIS_HC_MAX_TAIL_DIST_COUP_IN_LB_CHINA_VALID</t>
  </si>
  <si>
    <t>This validity flag, if set to TRUE, tells us to map the information sent to us in the MAX_TAIL_DIST_COUPLE_IN_LB_CHINA signal to the FFS.</t>
  </si>
  <si>
    <t>VIS_HC_MAX_TAIL_DIST_COUPLE_IN_LB_CHINA</t>
  </si>
  <si>
    <t>Maximum distance of (couple) tailights which should be approved/reported while in low beam. If region code is CHINA_RC this value will override the regular correlating parameter.</t>
  </si>
  <si>
    <t>VIS_HC_MAX_TAIL_DIST_ONE_VALID</t>
  </si>
  <si>
    <t>This validity flag, if set to TRUE, tells us to map the information sent to us in the MAX_TAIL_DIST_ONE signal to the FFS.</t>
  </si>
  <si>
    <t>VIS_HC_MAX_TAIL_DIST_ONE</t>
  </si>
  <si>
    <t>Maximum distance of one tailights which should be approved.</t>
  </si>
  <si>
    <t>VIS_HC_MAX_TAIL_DIST_ONE_CHINA_VALID</t>
  </si>
  <si>
    <t>This validity flag, if set to TRUE, tells us to map the information sent to us in the MAX_TAIL_DIST_ONE_CHINA signal to the FFS.</t>
  </si>
  <si>
    <t>VIS_HC_MAX_TAIL_DIST_ONE_CHINA</t>
  </si>
  <si>
    <t>Maximum distance of (one light source) tailights which should be approved/reported. If region code is CHINA_RC this value will override the regular correlating parameter.</t>
  </si>
  <si>
    <t>VIS_HC_MAX_TAIL_DIST_ONE_IN_LB_VALID</t>
  </si>
  <si>
    <t>This validity flag, if set to TRUE, tells us to map the information sent to us in the MAX_TAIL_DIST_ONE_IN_LB signal to the FFS.</t>
  </si>
  <si>
    <t>VIS_HC_MAX_TAIL_DIST_ONE_IN_LB</t>
  </si>
  <si>
    <t>Maximum distance of (one light source) tailights which should be approved/reported while in low beam.</t>
  </si>
  <si>
    <t>VIS_HC_MAX_TAIL_DIST_ONE_IN_LB_CHINA_VALID</t>
  </si>
  <si>
    <t>This validity flag, if set to TRUE, tells us to map the information sent to us in the MAX_TAIL_DIST_ONE_IN_LB_CHINA signal to the FFS.</t>
  </si>
  <si>
    <t>VIS_HC_MAX_TAIL_DIST_ONE_IN_LB_CHINA</t>
  </si>
  <si>
    <t>Maximum distance of (one light source) tailights which should be approved/reported while in low beam. If region code is CHINA_RC this value will override the regular correlating parameter.</t>
  </si>
  <si>
    <t>VIS_HC_OBJECTS_CLUSTERING_METHOD_VALID</t>
  </si>
  <si>
    <t>This validity flag, if set to TRUE, tells us to map the information sent to us in the OBJECTS_CLUSTERING_METHOD signal to the FFS.</t>
  </si>
  <si>
    <t>VIS_HC_OBJECTS_CLUSTERING_METHOD</t>
  </si>
  <si>
    <t>Clustering method of objects (only vehicle spots) within modelIF</t>
  </si>
  <si>
    <t>[1, 4]
255 = INVALID</t>
  </si>
  <si>
    <t>VIS_HC_MAX_NUM_STRONG_REFLECTORS_VALID</t>
  </si>
  <si>
    <t>This validity flag, if set to TRUE, tells us to map the information sent to us in the MAX_NUM_STRONG_REFLECTORS signal to the FFS.</t>
  </si>
  <si>
    <t>VIS_HC_MAX_NUM_STRONG_REFLECTORS</t>
  </si>
  <si>
    <t>Counter for the number of detected light objects (strong reflectors) in each specific frame.</t>
  </si>
  <si>
    <t>[0, 15]
255 = INVALID</t>
  </si>
  <si>
    <t>VIS_HC_MAX_NUM_VEHICLE_OBJECTS_VALID</t>
  </si>
  <si>
    <t>This validity flag, if set to TRUE, tells us to map the information sent to us in the MAX_NUM_VEHICLE_OBJECTS signal to the FFS.</t>
  </si>
  <si>
    <t>VIS_HC_MAX_NUM_VEHICLE_OBJECTS</t>
  </si>
  <si>
    <t>If more vehicles than this number exist - clustering will run.</t>
  </si>
  <si>
    <t>VIS_HC_Reduce_Sense_Grace_Frames_VALID</t>
  </si>
  <si>
    <t>This validity flag, if set to TRUE, tells us to map the information sent to us in the Reduce_Sense_Grace_Frames signal to the FFS.</t>
  </si>
  <si>
    <t>VIS_HC_Reduce_Sense_Grace_Frames</t>
  </si>
  <si>
    <t>Number of frames after there is a tracked spot, and before leaving reduced sensitivity scene.</t>
  </si>
  <si>
    <t>[0, 20]
255 = INVALID</t>
  </si>
  <si>
    <t>VIS_HC_Reduce_Sense_HighToLow_VALID</t>
  </si>
  <si>
    <t>This validity flag, if set to TRUE, tells us to map the information sent to us in the Reduce_Sense_HighToLow signal to the FFS.</t>
  </si>
  <si>
    <t>VIS_HC_Reduce_Sense_HighToLow</t>
  </si>
  <si>
    <t>Threshold (in Candela) to switch from high to low beam in dark scenes</t>
  </si>
  <si>
    <t>cd</t>
  </si>
  <si>
    <t>[0, 80]
INFINITY = INVALID</t>
  </si>
  <si>
    <t>VIS_HC_Reduce_Sense_HighToLow_H5R_VALID</t>
  </si>
  <si>
    <t>This validity flag, if set to TRUE, tells us to map the information sent to us in the Reduce_Sense_HighToLow_H5R signal to the FFS.</t>
  </si>
  <si>
    <t>VIS_HC_Reduce_Sense_HighToLow_H5R</t>
  </si>
  <si>
    <t>Threshold (in Candela) to switch from high to low beam when light source is located as in reduced sensitivity scene H5R.</t>
  </si>
  <si>
    <t>VIS_HC_Reduce_Sense_LowToHigh_VALID</t>
  </si>
  <si>
    <t>This validity flag, if set to TRUE, tells us to map the information sent to us in the Reduce_Sense_LowToHigh signal to the FFS.</t>
  </si>
  <si>
    <t>VIS_HC_Reduce_Sense_LowToHigh</t>
  </si>
  <si>
    <t>Threshold (in Candela) to switch from low to high beam.</t>
  </si>
  <si>
    <t>VIS_HC_ONCOMING_SENSITIVITY_VALID</t>
  </si>
  <si>
    <t>This validity flag, if set to TRUE, tells us to map the information sent to us in the ONCOMING_SENSITIVITY signal to the FFS.</t>
  </si>
  <si>
    <t>VIS_HC_ONCOMING_SENSITIVITY</t>
  </si>
  <si>
    <t>Sensitivity parameter for oncoming spot</t>
  </si>
  <si>
    <t>[-1, 1]
INFINITY = INVALID</t>
  </si>
  <si>
    <t>VIS_HC_TAILLIGHT_SENSITIVITY_VALID</t>
  </si>
  <si>
    <t>This validity flag, if set to TRUE, tells us to map the information sent to us in the TAILLIGHT_SENSITIVITY signal to the FFS.</t>
  </si>
  <si>
    <t>VIS_HC_TAILLIGHT_SENSITIVITY</t>
  </si>
  <si>
    <t>Sensitivity parameter for taillight spot.</t>
  </si>
  <si>
    <t>VIS_HC_OC_REDUCED_SENSITIVITY_VALID</t>
  </si>
  <si>
    <t>This validity flag, if set to TRUE, tells us to map the information sent to us in the OC_REDUCED_SENSITIVITY signal to the FFS.</t>
  </si>
  <si>
    <t>VIS_HC_OC_REDUCED_SENSITIVITY</t>
  </si>
  <si>
    <t>Reduced sensitivity factor for reducing oncoming FP (typically in US). The higher the value the quicker the required threshold will rise, making it effectively harder to approve spots on the side.</t>
  </si>
  <si>
    <t>[0, 3]
INFINITY = INVALID</t>
  </si>
  <si>
    <t>VIS_HC_VE_OBJ_APPROVAL_DIST_FULL_FOV_VALID</t>
  </si>
  <si>
    <t>This validity flag, if set to TRUE, tells us to map the information sent to us in the VE_OBJ_APPROVAL_DIST_FULL_FOV signal to the FFS.</t>
  </si>
  <si>
    <t>VIS_HC_VE_OBJ_APPROVAL_DIST_FULL_FOV</t>
  </si>
  <si>
    <t>Before approving a vehicle object, if the object distance is below this value, it will be approved regardless of the x position. </t>
  </si>
  <si>
    <t>VIS_HC_VE_OBJ_APPROVAL_FOV_VALID</t>
  </si>
  <si>
    <t>This validity flag, if set to TRUE, tells us to map the information sent to us in the VE_OBJ_APPROVAL_FOV signal to the FFS.</t>
  </si>
  <si>
    <t>VIS_HC_VE_OBJ_APPROVAL_FOV</t>
  </si>
  <si>
    <t>Before approving a vehicle object, if the object x position is above this value, the object will not be approved unless its distance is below VEHICLE_OBJECTS_APPROVAL_DISTANCE_FULL_FOV.</t>
  </si>
  <si>
    <t>VIS_HC_MIN_TTLI_VALID</t>
  </si>
  <si>
    <t>This validity flag, if set to TRUE, tells us to map the information sent to us in the MIN_TTLI signal to the FFS</t>
  </si>
  <si>
    <t>VIS_HC_MIN_TTLI</t>
  </si>
  <si>
    <t>(Min time to leave image), if a spot will leave the image in time less than than this value, it will not be approved [s].</t>
  </si>
  <si>
    <t>VIS_HC_BS_DUSK_DELAY_VALID</t>
  </si>
  <si>
    <t>This validity flag, if set to TRUE, tells us to map the information sent to us in the BS_DUSK_DELAY signal to the FFS.</t>
  </si>
  <si>
    <t>VIS_HC_BS_DUSK_DELAY</t>
  </si>
  <si>
    <t>Timer to prevent entering HLB_FULL after seeing bright sky (~dusk with trees) (in ms - max delay is 10 minutes).</t>
  </si>
  <si>
    <t>[0, 600000]
4294967295 = INVALID</t>
  </si>
  <si>
    <t>VIS_HC_BS_ENTER_THRESH_VALID</t>
  </si>
  <si>
    <t>This validity flag, if set to TRUE, tells us to map the information sent to us in the BS_ENTER_THRESH signal to the FFS.</t>
  </si>
  <si>
    <t>VIS_HC_BS_ENTER_THRESH</t>
  </si>
  <si>
    <t>Entrance threshold for bright scene decision (AML).</t>
  </si>
  <si>
    <t>[0, 20]
INFINITY = INVALID</t>
  </si>
  <si>
    <t>VIS_HC_BS_EXIT_THRESH_VALID</t>
  </si>
  <si>
    <t>This validity flag, if set to TRUE, tells us to map the information sent to us in the BS_EXIT_THRESH signal to the FFS.</t>
  </si>
  <si>
    <t>VIS_HC_BS_EXIT_THRESH</t>
  </si>
  <si>
    <t>Exit threshold for bright scene decision (AML).</t>
  </si>
  <si>
    <t>VIS_HC_BS_OB_ENTER_THRESH_VALID</t>
  </si>
  <si>
    <t>This validity flag, if set to TRUE, tells us to map the information sent to us in the BS_OB_ENTER_THRESH  signal to the FFS.</t>
  </si>
  <si>
    <t>VIS_HC_BS_OB_ENTER_THRESH</t>
  </si>
  <si>
    <t>Determines enter threshold of Obviously Bright signal (implemented as signal).</t>
  </si>
  <si>
    <t>VIS_HC_BS_OB_EXIT_THRESH_VALID</t>
  </si>
  <si>
    <t>This validity flag, if set to TRUE, tells us to map the information sent to us in the BS_OB_EXIT_THRESH  signal to the FFS.</t>
  </si>
  <si>
    <t>VIS_HC_BS_OB_EXIT_THRESH</t>
  </si>
  <si>
    <t>Determines exit threshold of Obviously Bright signal (implemented as signal).</t>
  </si>
  <si>
    <t>VIS_HC_CONTROL_LOW_BEAM_ON_BLINK_TFL_VALID</t>
  </si>
  <si>
    <t>This validity flag, if set to TRUE, tells us to map the information sent to us in the CONTROL_LOW_BEAM_ON_BLINK_TFL  signal to the FFS.</t>
  </si>
  <si>
    <t>VIS_HC_CONTROL_LOW_BEAM_ON_BLINK_TFL</t>
  </si>
  <si>
    <t>Activate low beam decision due to blinking TFL</t>
  </si>
  <si>
    <t>VIS_HC_CONTROL_OC_CURVY_ROAD_DELAY_VALID</t>
  </si>
  <si>
    <t>This validity flag, if set to TRUE, tells us to map the information sent to us in the CONTROL_OC_CURVY_ROAD_DELAY  signal to the FFS.</t>
  </si>
  <si>
    <t>VIS_HC_CONTROL_OC_CURVY_ROAD_DELAY</t>
  </si>
  <si>
    <t>If we are in a curvy road (multi-frame calculation based on curvatures) state and an OC leaves the image, this is the grace time to be set.</t>
  </si>
  <si>
    <t>VIS_HC_CONTROL_TL_CURVY_ROAD_DELAY_VALID</t>
  </si>
  <si>
    <t>This validity flag, if set to TRUE, tells us to map the information sent to us in the CONTROL_TL_CURVY_ROAD_DELAY  signal to the FFS.</t>
  </si>
  <si>
    <t>VIS_HC_CONTROL_TL_CURVY_ROAD_DELAY</t>
  </si>
  <si>
    <t>VIS_HC_COUPLE_H_LIGHTS_DIST_PRIVATE_VALID</t>
  </si>
  <si>
    <t>This validity flag, if set to TRUE, tells us to map the information sent to us in the COUPLE_H_LIGHTS_DIST_PRIVATE  signal to the FFS.</t>
  </si>
  <si>
    <t>VIS_HC_COUPLE_H_LIGHTS_DIST_PRIVATE</t>
  </si>
  <si>
    <t>DIST between right and left headlamps in a private vehicle.</t>
  </si>
  <si>
    <t>[1, 2.55]
INFINITY = INVALID</t>
  </si>
  <si>
    <t>VIS_HC_COUPLE_H_LIGHTS_DIST_TRUCK_VALID</t>
  </si>
  <si>
    <t>This validity flag, if set to TRUE, tells us to map the information sent to us in the COUPLE_H_LIGHTS_DIST_TRUCK  signal to the FFS.</t>
  </si>
  <si>
    <t>VIS_HC_COUPLE_H_LIGHTS_DIST_TRUCK</t>
  </si>
  <si>
    <t>DIST between right and left headlamps in a truck.</t>
  </si>
  <si>
    <t>VIS_HC_COUPLE_T_LIGHTS_DIST_PRIVATE_VALID</t>
  </si>
  <si>
    <t>This validity flag, if set to TRUE, tells us to map the information sent to us in the COUPLE_T_LIGHTS_DIST_PRIVATE  signal to the FFS.</t>
  </si>
  <si>
    <t>VIS_HC_COUPLE_T_LIGHTS_DIST_PRIVATE</t>
  </si>
  <si>
    <t>DIST between right and left taillight in a private vehicle.</t>
  </si>
  <si>
    <t>VIS_HC_COUPLE_T_LIGHTS_DIST_TRUCK_VALID</t>
  </si>
  <si>
    <t>This validity flag, if set to TRUE, tells us to map the information sent to us in the COUPLE_T_LIGHTS_DIST_TRUCK  signal to the FFS.</t>
  </si>
  <si>
    <t>VIS_HC_COUPLE_T_LIGHTS_DIST_TRUCK</t>
  </si>
  <si>
    <t>DIST between right and left taillight in a truck.</t>
  </si>
  <si>
    <t>VIS_HC_DARK_SCENE_ONCOMING_SENS_VALID</t>
  </si>
  <si>
    <t>This validity flag, if set to TRUE, tells us to map the information sent to us in the DARK_SCENE_ONCOMING_SENS  signal to the FFS.</t>
  </si>
  <si>
    <t>VIS_HC_DARK_SCENE_ONCOMING_SENS</t>
  </si>
  <si>
    <t>SENS parameter for oncoming spots in dark scene.</t>
  </si>
  <si>
    <t>VIS_HC_DARK_SCENE_TAILLIGHT_SENS_VALID</t>
  </si>
  <si>
    <t>This validity flag, if set to TRUE, tells us to map the information sent to us in the DARK_SCENE_TAILLIGHT_SENS  signal to the FFS.</t>
  </si>
  <si>
    <t>VIS_HC_DARK_SCENE_TAILLIGHT_SENS</t>
  </si>
  <si>
    <t>SENS parameter for taillight spots in dark scene.</t>
  </si>
  <si>
    <t>VIS_HC_DELAY_HLB_FULL_TO_INACTIVE_VALID</t>
  </si>
  <si>
    <t>This validity flag, if set to TRUE, tells us to map the information sent to us in the DELAY_HLB_FULL_TO_INACTIVE  signal to the FFS.</t>
  </si>
  <si>
    <t>VIS_HC_DELAY_HLB_FULL_TO_INACTIVE</t>
  </si>
  <si>
    <t>Time delay (ms) before exiting HLB_FULL tech running mode.</t>
  </si>
  <si>
    <t>VIS_HC_DELAY_HLB_INACTIVE_TO_FULL_VALID</t>
  </si>
  <si>
    <t>This validity flag, if set to TRUE, tells us to map the information sent to us in the DELAY_HLB_INACTIVE_TO_FULL  signal to the FFS.</t>
  </si>
  <si>
    <t>VIS_HC_DELAY_HLB_INACTIVE_TO_FULL</t>
  </si>
  <si>
    <t>Time delay (ms) before switching from HLB_INACTIVE to FULL.</t>
  </si>
  <si>
    <t>[1500, 255000]
4294967295 = INVALID</t>
  </si>
  <si>
    <t>VIS_HC_HEADLIGHTS_HEIGHT_VALID</t>
  </si>
  <si>
    <t>This validity flag, if set to TRUE, tells us to map the information sent to us in the HEADLIGHTS_HEIGHT  signal to the FFS.</t>
  </si>
  <si>
    <t>VIS_HC_HEADLIGHTS_HEIGHT</t>
  </si>
  <si>
    <t>Height of headlights from ground.</t>
  </si>
  <si>
    <t>VIS_HC_MAX_NUM_MODELIF_STREET_LIGHTS_VALID</t>
  </si>
  <si>
    <t>This validity flag, if set to TRUE, tells us to map the information sent to us in the MAX_NUM_MODELIF_STREET_LIGHTS  signal to the FFS.</t>
  </si>
  <si>
    <t>VIS_HC_MAX_NUM_MODELIF_STREET_LIGHTS</t>
  </si>
  <si>
    <t>Maximum number of streetlights to report.</t>
  </si>
  <si>
    <t>[0, 10]
255 = INVALID</t>
  </si>
  <si>
    <t>VIS_HC_NO_HLB_VALID</t>
  </si>
  <si>
    <t>This validity flag, if set to TRUE, tells us to map the information sent to us in the NO_HLB  signal to the FFS.</t>
  </si>
  <si>
    <t>VIS_HC_NO_HLB</t>
  </si>
  <si>
    <t>Turns off HLB functionality completely (both modelIF and tech).</t>
  </si>
  <si>
    <t>VIS_HC_NO_HLB_MODEL_VALID</t>
  </si>
  <si>
    <t>This validity flag, if set to TRUE, tells us to map the information sent to us in the NO_HLB_MODEL  signal to the FFS.</t>
  </si>
  <si>
    <t>VIS_HC_NO_HLB_MODEL</t>
  </si>
  <si>
    <t>Disable HLB modelIF; tech will still be running (implemented as signal).</t>
  </si>
  <si>
    <t>VIS_HC_REFLECTOR_MIN_BRIGHTNESS_VALID</t>
  </si>
  <si>
    <t>This validity flag, if set to TRUE, tells us to map the information sent to us in the REFLECTOR_MIN_BRIGHTNESS  signal to the FFS.</t>
  </si>
  <si>
    <t>VIS_HC_REFLECTOR_MIN_BRIGHTNESS</t>
  </si>
  <si>
    <t>Below this threshold, strong reflectors will not be reported.</t>
  </si>
  <si>
    <t>[0.6, 1]
INFINITY = INVALID</t>
  </si>
  <si>
    <t>VIS_HC_REFLECTOR_MIN_SIZE_VALID</t>
  </si>
  <si>
    <t>This validity flag, if set to TRUE, tells us to map the information sent to us in the REFLECTOR_MIN_SIZE  signal to the FFS.</t>
  </si>
  <si>
    <t>VIS_HC_REFLECTOR_MIN_SIZE</t>
  </si>
  <si>
    <t>Below this threshold in pixels, strong reflectors will not be reported.</t>
  </si>
  <si>
    <t>[20, 1280]
65535 = INVALID</t>
  </si>
  <si>
    <t>VIS_HC_REFLECTOR_ROI_X_VALID</t>
  </si>
  <si>
    <t>This validity flag, if set to TRUE, tells us to map the information sent to us in the REFLECTOR_ROI_X  signal to the FFS.</t>
  </si>
  <si>
    <t>VIS_HC_REFLECTOR_ROI_X</t>
  </si>
  <si>
    <t>ROI for strong reflectors (to right and left).</t>
  </si>
  <si>
    <t>[0, 25]
INFINITY = INVALID</t>
  </si>
  <si>
    <t>VIS_HC_REFLECTOR_ROI_Y_VALID</t>
  </si>
  <si>
    <t>This validity flag, if set to TRUE, tells us to map the information sent to us in the REFLECTOR_ROI_Y  signal to the FFS.</t>
  </si>
  <si>
    <t>VIS_HC_REFLECTOR_ROI_Y</t>
  </si>
  <si>
    <t>ROI for strong reflectors (to bottom and top).</t>
  </si>
  <si>
    <t>[0, 14]
INFINITY = INVALID</t>
  </si>
  <si>
    <t>VIS_HC_SL_MAX_GRACE_DIST_HIGH_SPEED_VALID</t>
  </si>
  <si>
    <t>This validity flag, if set to TRUE, tells us to map the information sent to us in the SL_MAX_GRACE_DIST_HIGH_SPEED  signal to the FFS.</t>
  </si>
  <si>
    <t>VIS_HC_SL_MAX_GRACE_DIST_HIGH_SPEED</t>
  </si>
  <si>
    <t>When exiting Street Light mode, if we are in High Speed mode (egoSpeed above SL_LOW_SPEED), this is the maximum grace (egoDIST) we will use.</t>
  </si>
  <si>
    <t>[0, 150]
255 = INVALID</t>
  </si>
  <si>
    <t>VIS_HC_SL_MAX_GRACE_DIST_LOW_SPEED_VALID</t>
  </si>
  <si>
    <t>This validity flag, if set to TRUE, tells us to map the information sent to us in the SL_MAX_GRACE_DIST_LOW_SPEED  signal to the FFS.</t>
  </si>
  <si>
    <t>VIS_HC_SL_MAX_GRACE_DIST_LOW_SPEED</t>
  </si>
  <si>
    <t>When exiting Street Light mode, if we are in Low Speed mode (egoSpeed above SL_VILLAGE_SPEED+not high), this is the maximum grace (egoDIST) we will use.</t>
  </si>
  <si>
    <t>VIS_HC_SL_MAX_GRACE_DIST_VILL_SPEED_VALID</t>
  </si>
  <si>
    <t>This validity flag, if set to TRUE, tells us to map the information sent to us in the SL_MAX_GRACE_DIST_VILL_SPEED  signal to the FFS.</t>
  </si>
  <si>
    <t>VIS_HC_SL_MAX_GRACE_DIST_VILL_SPEED</t>
  </si>
  <si>
    <t>When exiting Street Light mode, if we are in VILL Speed mode (egoSpeed below SL_VILL_SPEED), this is the maximum grace (egoDIST) we will use.</t>
  </si>
  <si>
    <t>VIS_HC_TAILLIGHTS_HEIGHT_VALID</t>
  </si>
  <si>
    <t>This validity flag, if set to TRUE, tells us to map the information sent to us in the TAILLIGHTS_HEIGHT  signal to the FFS.</t>
  </si>
  <si>
    <t>VIS_HC_TAILLIGHTS_HEIGHT</t>
  </si>
  <si>
    <t>Height of taillights from ground.</t>
  </si>
  <si>
    <t>VIS_HC_ACTIVE_STATIONARY_TESTING_VALID</t>
  </si>
  <si>
    <t>This validity flag, if set to TRUE, tells us to map the information sent to us in the ACTIVE_STATIONARY_TESTING  signal to the FFS.</t>
  </si>
  <si>
    <t>VIS_HC_ACTIVE_STATIONARY_TESTING</t>
  </si>
  <si>
    <t>Activate HLB_FULL even when vehicle is stationary (used for testing).</t>
  </si>
  <si>
    <t>VIS_HC_OVERTAKING_SIDELONG_OBJECTS_VALID</t>
  </si>
  <si>
    <t>This validity flag, if set to TRUE, tells us to map the information sent to us in the OVERTAKING_SIDELONG_OBJECTS signal to the FFS.</t>
  </si>
  <si>
    <t>VIS_HC_OVERTAKING_SIDELONG_OBJECTS</t>
  </si>
  <si>
    <t xml:space="preserve">If TRUE, allows detection of crossing (1) and overtaking (2) vehicles using fusion with Vehicle Detection tech. Approved vehicles receive the code vehicleSubType (LSV_Sub_Type) 1 or 2 (correlating to 1 and 2 above).  </t>
  </si>
  <si>
    <t>VIS_HC_USE_CITY_ENTRANCE_VALID</t>
  </si>
  <si>
    <t>This validity flag, if set to TRUE, tells us to map the information sent to us in the USE_CITY_ENTRANCE signal to the FFS.</t>
  </si>
  <si>
    <t>VIS_HC_USE_CITY_ENTRANCE</t>
  </si>
  <si>
    <t>If TRUE, allows fusion between TSR's city entrance signs and the street light detection to trigger an earlier lit-night signal.</t>
  </si>
  <si>
    <t>VIS_HC_LN_ONLY_SL_SPEED_EXIT_VALID</t>
  </si>
  <si>
    <t>This validity flag, if set to TRUE, tells us to map the information sent to us in theLN_ONLY_SL_SPEED_EXIT signal to the FFS.</t>
  </si>
  <si>
    <t>VIS_HC_LN_ONLY_SL_SPEED_EXIT</t>
  </si>
  <si>
    <t>Hysteresis for the parameter LN_ONLY_SL_SPEED_ENTER. LN_ONLY_SL_SPEED_ENTER must be higher than LN_ONLY_SL_SPEED_EXIT.</t>
  </si>
  <si>
    <t>[0, 255]
255 = INVALID</t>
  </si>
  <si>
    <t>VIS_HC_LN_ONLY_SL_SPEED_ENTER_VALID</t>
  </si>
  <si>
    <t>This validity flag, if set to TRUE, tells us to map the information sent to us in the LN_ONLY_SL_SPEED_ENTER signal to the FFS.</t>
  </si>
  <si>
    <t>VIS_HC_LN_ONLY_SL_SPEED_ENTER</t>
  </si>
  <si>
    <t>Above this speed (kph), turning on litNight can be a result of slScene decision + AML decision. LN_ONLY_SL_SPEED_ENTER must be higher than LN_ONLY_SL_SPEED_EXIT.</t>
  </si>
  <si>
    <t>VIS_HC_DETECTION_SENSITIVITY_VALID</t>
  </si>
  <si>
    <t>This validity flag, if set to TRUE, tells us to map the information sent to us in the DETECTION_SENSITIVITY signal to the FFS.</t>
  </si>
  <si>
    <t>VIS_HC_DETECTION_SENSITIVITY</t>
  </si>
  <si>
    <t>Tuning of the whole detection system.</t>
  </si>
  <si>
    <t>[-5, 5]
127 = INVALID</t>
  </si>
  <si>
    <t>sint8</t>
  </si>
  <si>
    <t>VIS_HC_USE_DETECTION_OUTSIDE_MAIN_FOV_VALID</t>
  </si>
  <si>
    <t>This validity flag, if set to TRUE, tells us to map the information sent to us in the USE_DETECTION_OUTSIDE_MAIN_FOV to the FFS.</t>
  </si>
  <si>
    <t>VIS_HC_USE_DETECTION_OUTSIDE_MAIN_FOV</t>
  </si>
  <si>
    <t>Detection of vehicles outside of main FOV (based on VD detection).</t>
  </si>
  <si>
    <t>VIS_HC_USE_OC_FROM_CURVE_OBJECTS_VALID</t>
  </si>
  <si>
    <t>This validity flag, if set to TRUE, tells us to map the information sent to us in the USE_OC_FROM_CURVE_OBJECTS to the FFS.</t>
  </si>
  <si>
    <t>VIS_HC_USE_OC_FROM_CURVE_OBJECTS</t>
  </si>
  <si>
    <t>Subtype for detection of OC vehicles which come from a curve (based on VD detection).</t>
  </si>
  <si>
    <t>VIS_HC_USE_SIDELONG_OBJECTS_VALID</t>
  </si>
  <si>
    <t>This validity flag, if set to TRUE, tells us to map the information sent to us in the USE_SIDELONG_OBJECTS to the FFS.</t>
  </si>
  <si>
    <t>VIS_HC_USE_SIDELONG_OBJECTS</t>
  </si>
  <si>
    <t>Enables using Side Long Objects.</t>
  </si>
  <si>
    <t>VIS_HC_USE_OVERTAKING_OBJECTS_VALID</t>
  </si>
  <si>
    <t>This validity flag, if set to TRUE, tells us to map the information sent to us in the USE_OVERTAKING_OBJECTS to the FFS.</t>
  </si>
  <si>
    <t>VIS_HC_USE_OVERTAKING_OBJECTS</t>
  </si>
  <si>
    <t>Enables using overtaking objects.</t>
  </si>
  <si>
    <t>AVI_HLB_Configuration sheet added</t>
  </si>
  <si>
    <t>Updated as per suggestions.  </t>
  </si>
  <si>
    <t>Delta peer review done. Issue found.
* replace bool8 with predefined type bool_invalid_t (12 occurences)</t>
  </si>
  <si>
    <t>Updated as per review.</t>
  </si>
  <si>
    <t>Approved. Referring to Cross-FCN_Definitions version 3.</t>
  </si>
  <si>
    <t>VIS_HC_C_IN_CURVE_RADIUS_ENTER_THRESH_VALID signal added</t>
  </si>
  <si>
    <t>Delta peer review done. Size not updated.</t>
  </si>
  <si>
    <t>Size updated.</t>
  </si>
  <si>
    <t>Approved. Referring to Cross-FCN_Definitions version 4.</t>
  </si>
  <si>
    <t>Approved. Referring to Cross-FCN_Definitions version 5.</t>
  </si>
  <si>
    <t>Interface Name:</t>
  </si>
  <si>
    <t>Lanes_Definitions</t>
  </si>
  <si>
    <t>SAE J670 Z-down coordinate system:
Translation &amp; Orientation:
X-axis is longitudinal position - pointing in the direction of the vehicle 
Y-axis is lateral position - pointing to the right of the vehicle
Z-axis is vertical position - pointing down
Yaw –  rotation around Z-axis - positive to the right
Pitch –  rotation around Y-axis - positive up
Roll –  rotation around X-axis - positive when leaning right
Origin point: 
a) longitudinal (X): Camera position
b) lateral (Y): Camera position
c) vertical (Z): Road level</t>
  </si>
  <si>
    <t>Reference point on lane marker
- Inner edge of marker</t>
  </si>
  <si>
    <t>VIS_LA_Common_Header</t>
  </si>
  <si>
    <t>VIS_LA.Header</t>
  </si>
  <si>
    <t>VIS_LA_Lanes_Count</t>
  </si>
  <si>
    <t>The number of lines reported in this message.</t>
  </si>
  <si>
    <t>[0, 8]
255 = INVALID</t>
  </si>
  <si>
    <t>VIS_LA_CRC</t>
  </si>
  <si>
    <t>Calculated over all element signals. From the signal after the VIS_LA_Element_CRC until VIS_LA_Lanemark (including)</t>
  </si>
  <si>
    <t>VIS_LA.[Element], Element ∈ [Left_Right, Left_Left, Next_Left_Right, Next_Left_Left, Right_Right, Right_Left, Next_Right_Right, Next_Right_Left]</t>
  </si>
  <si>
    <t>VIS_LA_Boundary</t>
  </si>
  <si>
    <t>It represents boundary data with all properties.</t>
  </si>
  <si>
    <t>boundary_struct</t>
  </si>
  <si>
    <t>VIS_LA_Lanemark</t>
  </si>
  <si>
    <t>It represents lanemark data with all properties.</t>
  </si>
  <si>
    <t>lanemark_struct</t>
  </si>
  <si>
    <t>inital version split from AVI_Road</t>
  </si>
  <si>
    <t>Johan Nilsson</t>
  </si>
  <si>
    <t>Updated to CV supplier interface for SW version 15.
Removed:
VIS_LA_Exist_Probability
VIS_LA_Prediction_Type
VIS_LA_Prediction_Source
VIS_LA_Line_Role
Added:
LA_Confidence
LA_Prediction_Reason
LA_Availability_State
LA_Line_Side
LA_DECEL_Type</t>
  </si>
  <si>
    <t>updated to common format</t>
  </si>
  <si>
    <t>updated:
- VIS_LH_Header_CRC to VIS_LA_Element_CRC
- Updated the description of VIS_LA_Element_CRC</t>
  </si>
  <si>
    <t>*VIS_LH_APTIV_Protocol_Version chnged to VIS_LA_APTIV_Protocol_Version
*VIS_LA_APTIV_Protocol_Version DataType changed from uint8 to uint16
*VIS_LA_APTIV_Protocol_Version Size changed from 8 to 16
*VIS_LA_APTIV_Protocol_Version Nax changed from 255 to 65535</t>
  </si>
  <si>
    <t>*Removed columns not related to AVI itself
*Updated all signals names with _LH_ or _COM_ to _LA_
*Added VIS to signals without it
*Updated name of signal "VIS_***_CV_SoC_Frame_ID" to "VIS_***_Algo_Frame_ID"
*Updated description of "VIS_***_Protocol_Version"
*Merged cells of "length" for each struct
*Updated description of CRCs.</t>
  </si>
  <si>
    <t>-Reworked the structure &amp; formatting.
-Updated coordinate system from ISO to SAE Z-down</t>
  </si>
  <si>
    <t>*Type CRC_32_t changed to crc_32_t</t>
  </si>
  <si>
    <t>Peer-reviewed, no issues found, except for formula for size.</t>
  </si>
  <si>
    <t>Struct names updated: VIS_LA_[Element] -&gt; VIS_LA.[Element]</t>
  </si>
  <si>
    <t>Size fixed manually for FALSE values.</t>
  </si>
  <si>
    <t>Approved. Referring to Cross-FCN_Definitions v1 &amp; Lanes_Definitions v1.</t>
  </si>
  <si>
    <t>Approved, referring to Cross-FCN_Definitions version 2 &amp; Lanes_Definitions version 2.</t>
  </si>
  <si>
    <t>Approved, referring to Cross-FCN_Definitions version 2 &amp; Lanes_Definitions version 3.</t>
  </si>
  <si>
    <t>Changed VIS_LA_Element_CRC to VIS_LA_CRC.</t>
  </si>
  <si>
    <t>Periodicity information added
ASIL Compliance information added (All QM)</t>
  </si>
  <si>
    <t>Delta review done, NO issues found.</t>
  </si>
  <si>
    <t>Delta review done, No issues found.</t>
  </si>
  <si>
    <t>Added link to AVI_Lanes_Adjacent_Debug</t>
  </si>
  <si>
    <t>Approved, referring to Cross-FCN_Definitions v3 &amp; Lanes_Definitions v4.</t>
  </si>
  <si>
    <t>Approved, referring to Cross-FCN_Definitions v4 &amp; Lanes_Definitions v4.</t>
  </si>
  <si>
    <t>Added ref point discription in C2</t>
  </si>
  <si>
    <t>Oscar Pantzare</t>
  </si>
  <si>
    <t>Approved, referring to Cross-FCN_Definitions v5 &amp; Lanes_Definitions v4.</t>
  </si>
  <si>
    <t>VIS_LA_DBG_Common_Header</t>
  </si>
  <si>
    <t>VIS_LA_DBG.Header</t>
  </si>
  <si>
    <t>VIS_LA_DBG_Num_Of_Objects</t>
  </si>
  <si>
    <t>[0,65535]
65535 = INVALID</t>
  </si>
  <si>
    <t>VIS_LA_DBG_Obj</t>
  </si>
  <si>
    <t>line_debug_struct</t>
  </si>
  <si>
    <t>VIS_LA_DBG.Element[n_ID], n_ID∈ [0 - 3]</t>
  </si>
  <si>
    <t>AVI_Lanes_Adjacent_Debug sheet added.</t>
  </si>
  <si>
    <t>- common_header signal added, 
- signals names corrected, 
- description for VIS_LA_DBG_Num_Of_Objects corrected
- max value corrected
- values corrected</t>
  </si>
  <si>
    <t>Delta peer review. No issues found.</t>
  </si>
  <si>
    <t>Added link to AVI_Lanes_Adjacent</t>
  </si>
  <si>
    <t>Approved, referring to Cross-FCN_Definitions v3</t>
  </si>
  <si>
    <t>Approved, referring to Cross-FCN_Definitions v4</t>
  </si>
  <si>
    <t>Approved, referring to Cross-FCN_Definitions v5</t>
  </si>
  <si>
    <t>AVI_Lanes_Application_Debug</t>
  </si>
  <si>
    <t>VIS_LAP_Common_Header</t>
  </si>
  <si>
    <t>VIS_LAP.Header</t>
  </si>
  <si>
    <t>VIS_LAP_INTP_Available</t>
  </si>
  <si>
    <t xml:space="preserve">Indicates if the interest point is available </t>
  </si>
  <si>
    <t>VIS_LAP_INTP_Count</t>
  </si>
  <si>
    <t>The number of detected interest points.</t>
  </si>
  <si>
    <t>[0,12]
255 = INVALID</t>
  </si>
  <si>
    <t>VIS_LAP_Exit_Merge_Available</t>
  </si>
  <si>
    <t>Indicates if exit merge is available.</t>
  </si>
  <si>
    <t>VIS_LAP_Is_Highway_Merge_Left</t>
  </si>
  <si>
    <t>Indication for highway merge left to the host.</t>
  </si>
  <si>
    <t>VIS_LAP_Is_Highway_Merge_Right</t>
  </si>
  <si>
    <t>Indication for highway merge right to the host.</t>
  </si>
  <si>
    <t>VIS_LAP_Is_Highway_Exit_Left</t>
  </si>
  <si>
    <t>Indication for highway exit left to the host.</t>
  </si>
  <si>
    <t>VIS_LAP_Is_Highway_Exit_Right</t>
  </si>
  <si>
    <t>Indication for highway exit right to the host.</t>
  </si>
  <si>
    <t>VIS_LAP_Vertical_Surface_Available</t>
  </si>
  <si>
    <t>Set to true if functionality  is available and technology is able to provide the information.</t>
  </si>
  <si>
    <t>VIS_LAP_Vertical_Surface</t>
  </si>
  <si>
    <t>The polynomial description of the vertical surface</t>
  </si>
  <si>
    <t>polynom_struct</t>
  </si>
  <si>
    <t>VIS_LAP_Path_Pred_CRC</t>
  </si>
  <si>
    <t>Calculated over PathPrediction set signals. From the signal after the CRC until the last signal in VIS_LAP.PathPrediction</t>
  </si>
  <si>
    <t>VIS_LAP.PathPrediction</t>
  </si>
  <si>
    <t>VIS_LAP_Path_Pred_Available</t>
  </si>
  <si>
    <t>Indicates if the configuration allows path prediction technology</t>
  </si>
  <si>
    <t>VIS_LAP_Path_Pred_First_Valid</t>
  </si>
  <si>
    <t>Is first segment available</t>
  </si>
  <si>
    <t>VIS_LAP_Path_Pred_Second_Valid</t>
  </si>
  <si>
    <t>Is second segment available</t>
  </si>
  <si>
    <t>VIS_LAP_Path_Pred_Half_Width</t>
  </si>
  <si>
    <t>The distance from the predicted center line to the lane border.</t>
  </si>
  <si>
    <t>[0,3]
INFINITY = INVALID</t>
  </si>
  <si>
    <t>VIS_LAP_Path_Pred_Conf</t>
  </si>
  <si>
    <t>The path prediction confidence is set by the fusion algorithm and is  correlated with lateral error.</t>
  </si>
  <si>
    <t>VIS_LAP_Is_Triggered_SDM_Model</t>
  </si>
  <si>
    <t>If path prediction has triggered SDM Model alert this flag is turned on</t>
  </si>
  <si>
    <t>sdm_triggered_t</t>
  </si>
  <si>
    <t>VIS_LAP_Path_Pred_First_Segment</t>
  </si>
  <si>
    <t>The polynomial description of the first segment of the predicted path</t>
  </si>
  <si>
    <t>VIS_LAP_Path_Pred_Second_Segment</t>
  </si>
  <si>
    <t>The polynomial description of the second segment of the predicted path</t>
  </si>
  <si>
    <t>VIS_LAP_Path_Pred_REM_Weight_Fusion_Model</t>
  </si>
  <si>
    <t>This signal indicates REM weight in the RPPF model fusion.
RPPF is the fusion of path prediction with road book (map). 
REM weight, range:  (0.0 – 1.0)
0.0 - means only PP is used (no fusion between road and REM)
1.0 – means only REM is used ((no fusion between road and REM)
(0.0&lt;weight&lt;1.0) fusion between REM and PP</t>
  </si>
  <si>
    <t>[0,1]
INFINITY = INVALID</t>
  </si>
  <si>
    <t>VIS_LAP_Reinforced_By_Map</t>
  </si>
  <si>
    <t>The reinforced-by-map is an additional signal that is designed to indicate whether the map was fused and/or whether the information supported the vision model. 
This indication can be used to expand the lane centering application to additional road types and enhance the envelope and functionality with higher confidence.</t>
  </si>
  <si>
    <t>VIS_LAP_INTP_CRC</t>
  </si>
  <si>
    <t>Calculated over all element signals. From the signal after the VIS_LAP_Element_CRC until VIS_LAP_INTP_Long_Distance (including)</t>
  </si>
  <si>
    <t>VIS_LAP.INTP_Element[n_ID], n_ID∈ [0 - 11]</t>
  </si>
  <si>
    <t>VIS_LAP_INTP_ID</t>
  </si>
  <si>
    <t xml:space="preserve">The ID of the tracked interest point. </t>
  </si>
  <si>
    <t>VIS_LAP_INTP_Distance_Age</t>
  </si>
  <si>
    <t>The distance age represents the duration in meters of the INTP from the first frame where it was detected. 
The distance age in the first detected frame has the maximum value, and the last frame that the INTP was detected in has the minimum distance age value</t>
  </si>
  <si>
    <t>[0,250]
255 = INVALID</t>
  </si>
  <si>
    <t>VIS_LAP_INTP_Confidence</t>
  </si>
  <si>
    <t>The Confidence of the INTP.</t>
  </si>
  <si>
    <t>VIS_LAP_INTP_Is_Valid</t>
  </si>
  <si>
    <t xml:space="preserve">Indicates if the interest point signal is valid. </t>
  </si>
  <si>
    <t>VIS_LAP_INTP_Type</t>
  </si>
  <si>
    <t>Semantic information describing the point.</t>
  </si>
  <si>
    <t>ENUM:
0=SPLIT
1=MERGE
255 = INVALID</t>
  </si>
  <si>
    <t>VIS_LAP_INTP_Is_Start</t>
  </si>
  <si>
    <t xml:space="preserve">Indicates whether the point is the start or end point of a transition area. </t>
  </si>
  <si>
    <t>ENUM:
0=END_OF_TRANSITION
1=START_OF_TRANSITION
255 = INVALID</t>
  </si>
  <si>
    <t>VIS_LAP_INTP_Lat_Distance</t>
  </si>
  <si>
    <t>The lateral distance from the camera to the interest point.</t>
  </si>
  <si>
    <t>[-50,50]
INFINITY = INVALID</t>
  </si>
  <si>
    <t>VIS_LAP_INTP_Long_Distance</t>
  </si>
  <si>
    <t>The longitudinal distance from the camera to the interest point.</t>
  </si>
  <si>
    <t>[0,200]
INFINITY = INVALID</t>
  </si>
  <si>
    <t>Updated to CV supplier interface for SW version 15.
Removed:
LAP_Sync_ID
LAP_hppLeftWeight
LAP_hppCenterWeight
LAP_hppRightWeight
LAP_roadLeftWeight
LAP_roadRightWeight
LAP_INTP_Age
LAP_INTP_Exist_Probability
LAP_INTP_Line_Role
Added:
LAP_Is_Construction_Area_Rear
LAP_INTP_Distance_Age
LAP_INTP_Confidence</t>
  </si>
  <si>
    <t>updated:
- VIS_LAP_Header_CRC to VIS_LAP_Element_CRC
- Updated the description of VIS_LAP_Element_CRC</t>
  </si>
  <si>
    <t>*VIS_LH_APTIV_Protocol_Version chnged to VIS_LAP_APTIV_Protocol_Version
*VIS_LAP_APTIV_Protocol_Version DataType changed from uint8 to uint16
*VIS_LAP_APTIV_Protocol_Version Size changed from 8 to 16
*VIS_LAP_APTIV_Protocol_Version Nax changed from 255 to 65535</t>
  </si>
  <si>
    <t>*Removed columns not related to AVI itself
*Updated all signals names with _LH_ or _COM_ to _LAP_
*Updated description of VIS_LAP_INTP_Distance_Age
*Updated name of signal "VIS_***_CV_SoC_Frame_ID" to "VIS_***_Algo_Frame_ID"
*Updated description of "VIS_***_Protocol_Version"
*Merged cells of "length" for each struct
*Updated description of CRCs.</t>
  </si>
  <si>
    <t>*Reworked the structure &amp; formatting.
*Updated coordinate system from ISO to SAE Z-down
*Changed from unit64 CRC for PathPrediction back to 32 bit
*Updated description of VIS_LAP_Path_Pred_CRC
* Created a structure separated for Path Prediction</t>
  </si>
  <si>
    <t>changed meter to m</t>
  </si>
  <si>
    <t>- corrected units bool8 and counter to NA and updated type to bool8 for bool8s
- Updated VIS_LAP_INTP_Type and VIS_LAP_INTP_Is_Start max value and value descriptions
- Updated type for VIS_LAP_INTP_Is_Start.
- Updated type of VIS_LAP_INTP_Available, VIS_LAP_Exit_Merge_Available,  VIS_LAP_Vertical_Surface_Available &amp; VIS_LAP_Path_Pred_Available
- Updated max value and value of VIS_LAP_INTP_Count, VIS_LAP_Path_Pred_Half_Width &amp; VIS_LAP_INTP_Distance_Age, VIS_LAP_INTP_Lat_Distance &amp; 
VIS_LAP_INTP_Long_Distance
- Updated default values of: VIS_LAP_INTP_Count, VIS_LAP_Path_Pred_Half_Width, VIS_LAP_Is_Triggered_SDM_Model, VIS_LAP_INTP_Distance_Age, VIS_LAP_INTP_Type, VIS_LAP_INTP_Is_Start, VIS_LAP_INTP_Lat_Distance, VIS_LAP_INTP_Long_Distance</t>
  </si>
  <si>
    <t>- Updated Structure names on AVI_LAP from "Lanes_Applications" / "Road.Lanes_Applications" -&gt; "VIS_LAP"
- Updated Name of column "Struct Length (Repetitions)" from "Length" to "Struct Length (Repetitions)"</t>
  </si>
  <si>
    <t>- Making use of sdm_triggered_t type for VIS_LAP_Is_Triggered_SDM_Model</t>
  </si>
  <si>
    <t>VIS_LAP_Is_Construction_Area: Removed (moved to Construction Area)
VIS_LAP_Is_Construction_Area_Rear: Removed</t>
  </si>
  <si>
    <t>Peer-reviewed. Only issue found is size</t>
  </si>
  <si>
    <t>Approved. Referring to Cross-FCN_Definitions v 1 &amp; Lanes_Definitions v1.</t>
  </si>
  <si>
    <t>Added signals
- AVI_LAP_Path_Pred_REM_Weight_Fusion_Model
- AVI_LAP_Reinforced_By_Map
Updated description for:
- VIS_LAP_Path_Pred_Available
- VIS_LAP_Path_Pred_Conf
- VIS_LAP_INTP_Distance_Age</t>
  </si>
  <si>
    <t>Updates marked yellow peer reviewed. Issues found documented in AVI peer-review checklist.</t>
  </si>
  <si>
    <t>Issues found in peer review corrected</t>
  </si>
  <si>
    <t>Approved. Referring to Cross-FCN_Definitions v2 &amp; Lanes_Definitions v2.</t>
  </si>
  <si>
    <t>Approved. Referring to Cross-FCN_Definitions v2 &amp; Lanes_Definitions v3.</t>
  </si>
  <si>
    <t>Changed VIS_LAP_INTP_Element_CRC to VIS_LAP_INTP_CRC.</t>
  </si>
  <si>
    <t>VIS_LAP_Path_Pred_CRC: Corrected description from "until LAP_Path_Pred_Second_C3 "
to "until LAP_Reinforced_By_Map"
LAP_Reinforced_By_Map: Change description (removed "not implemented")</t>
  </si>
  <si>
    <t>Added/Changed ASIL level to be ASIL B for:
- VIS_LAP_Common_Header (common_header_struct)
- VIS_LAP_Path_Pred_Half_Width
- VIS_LAP_Path_Pred_Conf
- VIS_LAP_Is_Triggered_SDM_Model
- VIS_LAP_Path_Pred_First_Segment (polynom_struct)
- Remaining signals are set to QM</t>
  </si>
  <si>
    <t>Review done, issues reported.</t>
  </si>
  <si>
    <t xml:space="preserve"> VIS_LAP_INTP_Available and VIS_LAP_Exit_Merge_Available signal descriptions updated</t>
  </si>
  <si>
    <t>Delta review v4.4 done, no issues found.</t>
  </si>
  <si>
    <t>VIS_LAP_INTP_Is_Valid, VIS_LAP_Path_Pred_CRC signals descriptions updated</t>
  </si>
  <si>
    <t>Added link to AVI_LAP_Debug</t>
  </si>
  <si>
    <t>VIS_LAP_DBG_Common_Header</t>
  </si>
  <si>
    <t>VIS_LAP_DBG.Header</t>
  </si>
  <si>
    <t>VIS_LAP_DBG_Num_Of_Objects</t>
  </si>
  <si>
    <t>VIS_LAP_DBG_Lane_Obj</t>
  </si>
  <si>
    <t>Debug lane object with ID and coordinates.</t>
  </si>
  <si>
    <t>VIS_LAP_DBG.Lane_Element</t>
  </si>
  <si>
    <t>VIS_LAP_DBG_Point_ID</t>
  </si>
  <si>
    <t>VIS_LAP_DBG.Points_Element[n_ID], n_ID∈ [0 - 11]</t>
  </si>
  <si>
    <t>VIS_LAP_DBG_Point_Coordinates</t>
  </si>
  <si>
    <t>AVI_LAP_Debug sheet added.</t>
  </si>
  <si>
    <t>Peer review done. Issue found.</t>
  </si>
  <si>
    <t>Value corrected - INVALID removed</t>
  </si>
  <si>
    <t>Peer review done. No issue found.</t>
  </si>
  <si>
    <t>Added link to AVI_Lanes_Applications</t>
  </si>
  <si>
    <t>20230307</t>
  </si>
  <si>
    <t>Interface name updated to match tab name</t>
  </si>
  <si>
    <t>Delta peer review done. No issues found</t>
  </si>
  <si>
    <t xml:space="preserve">Reference point on lane marker
- Inner edge of marker
</t>
  </si>
  <si>
    <t>VIS_LH_Common_Header</t>
  </si>
  <si>
    <t>VIS_LH.Header</t>
  </si>
  <si>
    <t>VIS_LH_Lanes_Count</t>
  </si>
  <si>
    <t>[0, 2]
255 = INVALID</t>
  </si>
  <si>
    <t>VIS_LH_Estimated_Lane_Width</t>
  </si>
  <si>
    <t>Multi-frame estimation of host lane width to be used for prediction or another driving cue/ scene cue</t>
  </si>
  <si>
    <t>VIS_LH_CRC</t>
  </si>
  <si>
    <t>Calculated over all element signals. From the signal after the VIS_LH_Element_CRC until VIS_LH_Lanemark (including)</t>
  </si>
  <si>
    <t>VIS_LH.[Element], Element ∈ [Left, Right]</t>
  </si>
  <si>
    <t>VIS_LH_Boundary</t>
  </si>
  <si>
    <t>VIS_LH_Lanemark</t>
  </si>
  <si>
    <t>CV supplier interface version 15 update:
Removed:
- VIS_LH_RightAmbiguousLaneMarks
- VIS_LH_leftAmbiguousLaneMarks
- VIS_LH_Existence_Probability
- VIS_LH_Prediction_Source
- VIS_LH_Prediction_Type
- VIS_LH_Dash_Average_Length
- VIS_LH_Dash_Average_Gap
Added:
- LH_Confidence
- LH_Prediction_Reason
- LH_Availability_State
- LH_Dash_Average_Available</t>
  </si>
  <si>
    <t>*VIS_LH_APTIV_Protocol_Version DataType changed from uint8 to uint16
*VIS_LH_APTIV_Protocol_Version Size changed from 8 to 16
*VIS_LH_APTIV_Protocol_Version Nax changed from 255 to 65535</t>
  </si>
  <si>
    <t>Updated description of CRCs.</t>
  </si>
  <si>
    <t>-Reworked the structure &amp; formatting.
-Updated coordinate system from ISO to SAE Z-down
-Added lane ambiguity signal</t>
  </si>
  <si>
    <t>Peer review size. No issues found.</t>
  </si>
  <si>
    <t>Changed VIS_LH_Element_CRC to VIS_LH_CRC</t>
  </si>
  <si>
    <t>Added/Changed ASIL level to be ASIL B for:
- VIS_LH_Common_Header (common_header_struct)
- VIS_LH_Boundary (boundary_struct)
- VIS_LH_Lanemark (lanemark_struct)
- Remaining signals are set to QM</t>
  </si>
  <si>
    <t>Updated "Change" in AVI_Lanes_Host_Rev</t>
  </si>
  <si>
    <t>Added link to AVI_Lanes_Host_Debug</t>
  </si>
  <si>
    <t>VIS_LH_DBG_Common_Header</t>
  </si>
  <si>
    <t>VIS_LH_DBG.Header</t>
  </si>
  <si>
    <t>VIS_LH_DBG_Num_Of_Objects</t>
  </si>
  <si>
    <t>VIS_LH_DBG_Obj</t>
  </si>
  <si>
    <t>VIS_LH_DBG.Element[n_ID], n_ID∈ [0 - 1]</t>
  </si>
  <si>
    <t>AVI_Lanes_Host_Debug sheet added.</t>
  </si>
  <si>
    <t>Added link to AVI_Lanes_Host</t>
  </si>
  <si>
    <t xml:space="preserve">Size: </t>
  </si>
  <si>
    <t>VIS_LRE_Common_Header</t>
  </si>
  <si>
    <t>VIS_LRE.Header</t>
  </si>
  <si>
    <t>VIS_LRE_Count</t>
  </si>
  <si>
    <t>[0, 4]
255 = INVALID</t>
  </si>
  <si>
    <t>VIS_LRE_CRC</t>
  </si>
  <si>
    <t>Calculated over all element signals. From the signal after the VIS_LRE_Element_CRC until VIS_LRE_Roadedge (including)</t>
  </si>
  <si>
    <t>VIS_LRE.[Element], Element ∈ [Left_First, Left_Second, Right_First, Right_Second]</t>
  </si>
  <si>
    <t>VIS_LRE_Boundary</t>
  </si>
  <si>
    <t>VIS_LRE_Roadedge</t>
  </si>
  <si>
    <t>It represents roadedge data with all properties.</t>
  </si>
  <si>
    <t>roadedge_struct</t>
  </si>
  <si>
    <t>CV supplier interface version 15 update:
Removed:
VIS_LRE_First_Exist_Prob
VIS_LRE_First_Prediction_Type
VIS_LRE_First_Height_STD
VIS_LRE_First_Index
Added:
LRE_Confidence
LRE_Prediction_Reason
LRE_Availability_State
LRE_Detection_Source
LRE_Position</t>
  </si>
  <si>
    <t>*VIS_LRE_APTIV_Protocol_Version DataType changed from uint8 to uint16.
*VIS_LRE_APTIV_Protocol_Version Size changed from 8 to 16.
*VIS_LRE_APTIV_Protocol_Version Max changed from 255 to 65535.
*VIS_LRE_APTIV_Protocol_Version Resolution changed from empty to 1.</t>
  </si>
  <si>
    <t>*Removed columns not related to AVI itself
*Updated name of signal "VIS_***_CV_SoC_Frame_ID" to "VIS_***_Algo_Frame_ID"
*Updated description of "VIS_***_Protocol_Version"
*Updated description of CRCs.</t>
  </si>
  <si>
    <t>Struct names updated: VIS_LRE_[Element] -&gt; VIS_LRE.[Element]</t>
  </si>
  <si>
    <t>Changed VIS_LRE_Element_CRC to VIS_LRE_CRC</t>
  </si>
  <si>
    <t>Added Periodicity.
Added ASIL B values.</t>
  </si>
  <si>
    <t>Added link to AVI_Lanes_Road_Edge_Debug</t>
  </si>
  <si>
    <t>VIS_LRE_DBG_Common_Header</t>
  </si>
  <si>
    <t>VIS_LRE_DBG.Header</t>
  </si>
  <si>
    <t>VIS_LRE_DBG_Num_Of_Objects</t>
  </si>
  <si>
    <t>VIS_LRE_DBG_Obj</t>
  </si>
  <si>
    <t>VIS_LRE_DBG.Element[n_ID], n_ID∈ [0 - 1]</t>
  </si>
  <si>
    <t>AVI_Lanes_Road_Edge_Debug sheet added.</t>
  </si>
  <si>
    <t>Peer reviewed. No issue found</t>
  </si>
  <si>
    <t>Added link to AVI_Lanes_Road_Edge</t>
  </si>
  <si>
    <t>VIS_LSR_Common_Header</t>
  </si>
  <si>
    <t>VIS_LSR.Header</t>
  </si>
  <si>
    <t>VIS_LSR_Strong_Reflectors_Count</t>
  </si>
  <si>
    <t>Number of light objects related to highly reflective signs in the scene.</t>
  </si>
  <si>
    <t>[0,15]
255=INVALID</t>
  </si>
  <si>
    <t>VIS_LSR_ID</t>
  </si>
  <si>
    <t>Light object ID. Range is 1-255, while 0 indicates that the field in unfilled.</t>
  </si>
  <si>
    <t>VIS_LSR.Element[n_ID], n_ID∈ [0 - 14]</t>
  </si>
  <si>
    <t>VIS_LSR_Brightness</t>
  </si>
  <si>
    <t>The brightness of the reflector. Note different range from other brightness values.</t>
  </si>
  <si>
    <t>VIS_LSR_Max_Brightness</t>
  </si>
  <si>
    <t>Note different range from other brightness values.</t>
  </si>
  <si>
    <t>VIS_LSR_Distance</t>
  </si>
  <si>
    <t>Distance to reflector attention center in meters.</t>
  </si>
  <si>
    <t>[0,500]
65535=INVALID</t>
  </si>
  <si>
    <t>VIS_LSR_Top_Angle</t>
  </si>
  <si>
    <t>Angle to top of the reflector rectangle.</t>
  </si>
  <si>
    <t>VIS_LSR_Right_Angle</t>
  </si>
  <si>
    <t>Angle to right of the reflector rectangle.</t>
  </si>
  <si>
    <t>[-0.7,0.7]
INFINITY=INVALID</t>
  </si>
  <si>
    <t>VIS_LSR_Bottom_Angle</t>
  </si>
  <si>
    <t>Angle to bottom of light rectangle</t>
  </si>
  <si>
    <t>VIS_LSR_Left_Angle</t>
  </si>
  <si>
    <t>Angle to left of the reflector rectangle.</t>
  </si>
  <si>
    <t>VIS_LSR_Atten_Cent_Angle_H</t>
  </si>
  <si>
    <t>Pitch angle to most bright pixel of light object.</t>
  </si>
  <si>
    <t>VIS_LSR_Is_Cluster</t>
  </si>
  <si>
    <t xml:space="preserve">True in case of a cluster of reflective signs. </t>
  </si>
  <si>
    <t>VIS_LSR_Atten_Cent_Angle_Lat</t>
  </si>
  <si>
    <t>Yaw angle to the most bright pixel of the light object.</t>
  </si>
  <si>
    <t>Light Scene Reflectors split off from Light Object Detection worksheet.
For earlier history see Light_Object_Detection_Rev</t>
  </si>
  <si>
    <t>Reordered AVI to be Header + Elements
Removed "LSR_List" "signal".
Added VIS_LSR_Timestamp_ms signal (32 bit)
Reordered header as aligned cross functions
Updated AVI as per CV supplier interface SW15 with:
- Updated range of all angles to match LSV interface, as the old interface (still used in LSR) does not cover enough of FOV</t>
  </si>
  <si>
    <t>Moved VIS_LSR_Protocol_Version as aligned cross functions</t>
  </si>
  <si>
    <t>Correct data type of VIS_LSR_Is_Cluster
Changed default value of VIS_LSV_Frame_MCU_TS_Start</t>
  </si>
  <si>
    <t>Changed from ISO to SAE z-down coordinate system
Updated to 18.4 CV supplier interface version (no change needed) 
Changed to common header struct
Changed angles from degrees to rad</t>
  </si>
  <si>
    <t xml:space="preserve">Updated naming of structures to match new rules
Updated ENUM types:
 to include INVALID value
 to have type NA
 to include work "ENUM" in value column
Added INVALID value for all signals missing them and updated min and max and allowed signal interval </t>
  </si>
  <si>
    <t>Only comment from peer-review was tab name which is now fixed. No need to bump rev</t>
  </si>
  <si>
    <t>Removed comments in description about that things are for future use and not implemented</t>
  </si>
  <si>
    <t>Provided ASIL Compliance and Periodicity.</t>
  </si>
  <si>
    <t>Peer review done. No issues.</t>
  </si>
  <si>
    <t>Reference point information removed.</t>
  </si>
  <si>
    <t>VIS_LSR_DBG_Common_Header</t>
  </si>
  <si>
    <t>VIS_LSR_DBG.Header</t>
  </si>
  <si>
    <t>VIS_LSR_DBG_Num_Of_Objects</t>
  </si>
  <si>
    <t>Number of ID refrences objects.</t>
  </si>
  <si>
    <t>VIS_LSR_DBG_Obj</t>
  </si>
  <si>
    <t>VIS_LSR_DBG.Element[n_ID], n_ID∈ [0 - 14]</t>
  </si>
  <si>
    <t>AVI_LSR_Debug sheet added.</t>
  </si>
  <si>
    <t>- revision corrected
- common_header signal added, 
- signals names corrected, 
- description for VIS_LSR_DBG_Num_Of_Objects corrected
- max value corrected,
- values corrected,
- parenthersis removed</t>
  </si>
  <si>
    <t>Renamed struct name 2D_debug_bbox_struct
to debug_2D_bbox_struct</t>
  </si>
  <si>
    <t>VIS_LSV_Common_Header</t>
  </si>
  <si>
    <t>VIS_LSV.Header</t>
  </si>
  <si>
    <t>VIS_LSV_Running_Mode</t>
  </si>
  <si>
    <t>Light Scene mode.
OFF - hrSpots modules do not run at daytime.
INACTIVE - only brightScene module runs.
FULL - all hrSpots modules are running.</t>
  </si>
  <si>
    <t>VIS_LSV_Inactive_Reason</t>
  </si>
  <si>
    <t>Reason for entering InActive State</t>
  </si>
  <si>
    <t>VIS_LSV_HLB_Decision</t>
  </si>
  <si>
    <t>VIS_LSV_HLB_Reason</t>
  </si>
  <si>
    <t>VIS_LSV_HLB_Sensitivity_Mode</t>
  </si>
  <si>
    <t>Is sensitivity mode active</t>
  </si>
  <si>
    <t>VIS_LSV_Vehicles_Count</t>
  </si>
  <si>
    <t>Number of light objects related to vehicles in the scene.</t>
  </si>
  <si>
    <t>VIS_LSV_Brightness_Score</t>
  </si>
  <si>
    <t>VIS_LSV_Is_HighSpeed_Road</t>
  </si>
  <si>
    <t>VIS_LSV_ID</t>
  </si>
  <si>
    <t>VIS_LSV.Element[n_ID], n_ID∈ [0 - 14]</t>
  </si>
  <si>
    <t>VIS_LSV_Type</t>
  </si>
  <si>
    <t>Describes the vehicle light type. 
In case of a cluster it represents the type of the closest vehicle in the cluster.
ENUM values description:
ONCOMING = headlamp
TAILLIGHT = tail-lamp
COUPLE_ONCOMING = pair of headlamps
COUPLE_TAILLIGHT = pair of tail-lamps
COUPLE_OC_CLEARANCE = truck cabin top lights</t>
  </si>
  <si>
    <t>ENUM:
1 = ONCOMING
2 = TAILLIGHT
3 = COUPLE_ONCOMING
4 = COUPLE_TAILLIGHT
5 = COUPLE_OC_CLEARANCE
6 = CLUSTER
255=INVALID</t>
  </si>
  <si>
    <t>VIS_LSV_Sub_Type</t>
  </si>
  <si>
    <t>Describes the vehicle light sub type (if available).</t>
  </si>
  <si>
    <t>ls_veh_light_sub_type_struct</t>
  </si>
  <si>
    <t>VIS_LSV_CL_Sub_Type</t>
  </si>
  <si>
    <t>ENUM describes cluster sub type. If not cluster then INVALID will be provided</t>
  </si>
  <si>
    <t xml:space="preserve">
ENUM:
1=ONCOMING
2=TAILLIGHT
3=LEFT_ONCOMING
4=RIGHT_ONCOMING
5=LEFT_AND_RIGHT_ONCOMING
6=LEFT_AND_RIGHT_TAILLIGHT
255=INVALID</t>
  </si>
  <si>
    <t>VIS_LSV_Consecutive_Detection</t>
  </si>
  <si>
    <t>The number of consecutive frames in which the light object was detected. (Negative values means that the object is not visible any longer, but is still being tracked and reported. The absolute value provides information for how long the object is tracked.)</t>
  </si>
  <si>
    <t>frames</t>
  </si>
  <si>
    <t>[-5,100]
127=INVALID</t>
  </si>
  <si>
    <t>VIS_LSV_Confidence</t>
  </si>
  <si>
    <t>System confidence of the classification.</t>
  </si>
  <si>
    <t>VIS_LSV_Is_New</t>
  </si>
  <si>
    <t>Indicates whether the object was first detected at the current frame.</t>
  </si>
  <si>
    <t>VIS_LSV_VD_ID</t>
  </si>
  <si>
    <t>Vehicle ID in vehicle detection if available.</t>
  </si>
  <si>
    <t>VIS_LSV_Brightness</t>
  </si>
  <si>
    <t>Brightness of object in case of couple is the mean of the two lights in the couple (Power9 units).</t>
  </si>
  <si>
    <t>[0,9000000]
4294967295= INVALID</t>
  </si>
  <si>
    <t>VIS_LSV_Distance</t>
  </si>
  <si>
    <t>distance estimation to the target. When the technology has fusion with vehicle detection object, the distance will be updated according to vehicle detection technology.</t>
  </si>
  <si>
    <t>VIS_LSV_Distance_STD</t>
  </si>
  <si>
    <t>standard deviation to LSV_Distance</t>
  </si>
  <si>
    <t>[0,200]
255=INVALID</t>
  </si>
  <si>
    <t>VIS_LSV_CL_Distance_Right</t>
  </si>
  <si>
    <t>Distance to  light cluster right object of attention center in meter units. when the object is not a cluster the signal will report regular object distance</t>
  </si>
  <si>
    <t>VIS_LSV_CL_Distance_Left</t>
  </si>
  <si>
    <t>Distance to light cluster left object of attention center in meter units. when the object is not a cluster the signal will report regular object distance</t>
  </si>
  <si>
    <t>VIS_LSV_Top_Angle</t>
  </si>
  <si>
    <t>Angle to top of light rectangle</t>
  </si>
  <si>
    <t>[-1.05,1.05]
INFINITY=INVALID</t>
  </si>
  <si>
    <t>VIS_LSV_Bottom_Angle</t>
  </si>
  <si>
    <t>VIS_LSV_Right_Angle</t>
  </si>
  <si>
    <t>Angle to right of light rectangle</t>
  </si>
  <si>
    <t>VIS_LSV_Left_Angle</t>
  </si>
  <si>
    <t>Angle to left of light rectangle</t>
  </si>
  <si>
    <t>VIS_LSV_Angular_Velocity_Right</t>
  </si>
  <si>
    <t>Angular velocity based on angle to right of light rectangle (can be couple)</t>
  </si>
  <si>
    <t>[-2.23,2.23]
INFINITY=INVALID</t>
  </si>
  <si>
    <t>VIS_LSV_Angular_Velocity_Left</t>
  </si>
  <si>
    <t>Angular velocity based on angle to left of light rectangle (can be couple)</t>
  </si>
  <si>
    <t>VIS_LSV_Atten_Cent_Angle_H</t>
  </si>
  <si>
    <t>Pitch angle to most bright pixel of light object. on Y axis. OUTSIDE_MAIN_FOV objects will report the center.</t>
  </si>
  <si>
    <t>VIS_LSV_Atten_Cent_Angle_Lat</t>
  </si>
  <si>
    <t>Yaw angle to most bright pixel of light object.</t>
  </si>
  <si>
    <t>VIS_LSV_Facade_Top_Angle</t>
  </si>
  <si>
    <t>Angle to vehicle's top front/back border according to vehicle detection object. If there is no fusion will output INVALID</t>
  </si>
  <si>
    <t>VIS_LSV_Facade_Right_Angle</t>
  </si>
  <si>
    <t>Angle to vehicle's right front/back border according to vehicle detection object. If there is no fusion will output INVALID</t>
  </si>
  <si>
    <t>VIS_LSV_Facade_Left_Angle</t>
  </si>
  <si>
    <t>Angle to vehicle's left front/back border according to vehicle detection object. If there is no fusion will output INVALID</t>
  </si>
  <si>
    <t>Light Scene Vehicles split off from Light Object Detection worksheet.
For earlier history see Light_Object_Detection_Rev</t>
  </si>
  <si>
    <t>Reordered AVI to be Header + Elements
Removed "LSV_List" "signal".
Added VIS_LSV_Timestamp_ms signal (32 bit)
Reorder header as aligned cross functions
Updated AVI as per CV supplier interface SW15 with:
- Description added for VIS_LSV_HLB_Decision &amp; VIS_LSV_HLB_Reason
- Updated range, size, description and values of VIS_LSV_Sub_Type
- Updated description of VIS_LSV_Consecutive_Detection
- Updated description of VIS_LSV_Confidence
- Updated description of VIS_LSV_Is_New (which inverted the meaning of the signal compared to previous description)
- Updated description of VIS_LSV_Distance
- Updated description of VIS_LSV_Distance_STD
- Updated description of VIS_LSV_CL_Distance_Right
- Updated description of VIS_LSV_CL_Distance_Left
- Updated range of VIS_LSV_Top_Angle_deg
- Updated range of VIS_LSV_Bottom_Angle_deg
- Updated range of VIS_LSV_Right_Angle_deg
- Updated range of VIS_LSV_Left_Angle_deg
- Updated range and description of VIS_LSV_Atten_Cent_Angle_H_deg
- Updated range and description of VIS_LSV_Atten_Cent_Angle_Lat_deg
- Added signal VIS_LSV_Facade_Top_Angle
- Added signal VIS_LSV_Facade_Right_Angle
- Added signal VIS_LSV_Facade_Left_Angle</t>
  </si>
  <si>
    <t>Moved VIS_LSV_Protocol_Version as aligned cross functions</t>
  </si>
  <si>
    <t>Changed default value of VIS_LSR_Frame_MCU_TS_Start</t>
  </si>
  <si>
    <t>Changed from ISO to SAE z-down coordinate system
Updated to 18.4 CV supplier interface version (no change needed) 
Changed to common header struct
Changed from BITWIZE to struct
Common types between AVI_HLB and AVI_Light_Scene_Vehicle
Changed angles from degrees to rad</t>
  </si>
  <si>
    <t>Removed comments in description about that things are for future use and not implemented
Updated description of LSV_Consecutive_Detection according to Martin Gs feedback</t>
  </si>
  <si>
    <t xml:space="preserve">Corrected Struct Length(repetitions) to Struct Length (Repetitions)
Removed comments from Enumerators for VIS_LSV_Type  </t>
  </si>
  <si>
    <t>Updated the description of VIS_LSV_Type, and added enum values descriptions.</t>
  </si>
  <si>
    <t>Updated changes from CV supplier interface 22.6
* Max num of objects changed from 15 to 10.
* Set ASIL Compliance (QM) for all signals</t>
  </si>
  <si>
    <t>Updated Max number of objects back to 15.(Struct Length (Repetitions))
Updated ASIL Compliance of type: Struct from QM into NA.
Provided Periodicity.</t>
  </si>
  <si>
    <t>Enum value 6 = CLUSTER added to VIS_LSV_Type signal</t>
  </si>
  <si>
    <t>LSV_HLB_Sensitivity_Mode added</t>
  </si>
  <si>
    <t>Delta peer review done. Size not updated. Revision nr not updated</t>
  </si>
  <si>
    <t>Revision and size updated.</t>
  </si>
  <si>
    <t>Delta review done. No issues.</t>
  </si>
  <si>
    <t>VIS_LSV_DBG_Common_Header</t>
  </si>
  <si>
    <t>VIS_LSV_DBG.Header</t>
  </si>
  <si>
    <t>VIS_LSV_DBG_Num_Of_Objects</t>
  </si>
  <si>
    <t>VIS_LSV_DBG_Obj</t>
  </si>
  <si>
    <t>VIS_LSV_DBG.Element[n_ID], n_ID∈ [0 - 14]</t>
  </si>
  <si>
    <t>AVI_LSV_Debug sheet added.</t>
  </si>
  <si>
    <t>- common_header signal added, 
- signals names corrected, 
- description for VIS_LSV_DBG_Num_Of_Objects corrected
- max value corrected,
- values corrected,
- parenthersis removed</t>
  </si>
  <si>
    <t>Objects_Definitions</t>
  </si>
  <si>
    <t>Reference point on object:
a) Pedestrian, Animal, General Object:
   - 2D representation
   - Longitidinal position: Point on object, closest to camera
   - Lateral position: Horizontal center of object
   - Vertical position: Ground level
b) Vehicle (Car, Truck, Motorbike, Bicycle, 2-Wheeler):
   - 3D representation
   - Longitudinal position: Horizontal center on rear side of object
   - Lateral position: Horizontal center on rear side of object
   - Vertical position: Ground level</t>
  </si>
  <si>
    <t>VIS_OBJ_Common_Header</t>
  </si>
  <si>
    <t>VIS_OBJ.Header</t>
  </si>
  <si>
    <t>VIS_OBJ_VRU_Count</t>
  </si>
  <si>
    <t>The number of recognized Vulnerable Road Users (pedestrians, bicycles) in the scene.</t>
  </si>
  <si>
    <t>[0, 20]
255=INVALID</t>
  </si>
  <si>
    <t>VIS_OBJ_VD_Count</t>
  </si>
  <si>
    <t>The number of recognized vehicles in the scene.</t>
  </si>
  <si>
    <t>VIS_OBJ_General_OBJ_Count</t>
  </si>
  <si>
    <t>The number of recognized General Objects in the scene</t>
  </si>
  <si>
    <t>[0, 10]
255=INVALID</t>
  </si>
  <si>
    <t>VIS_OBJ_Animal_Count</t>
  </si>
  <si>
    <t>The number of recognized animals in the scene.</t>
  </si>
  <si>
    <t>VIS_OBJ_VD_NIV_Left_ID</t>
  </si>
  <si>
    <t>The ID of the closest Vehicle object to the left of the host. 
0 = Unfilled</t>
  </si>
  <si>
    <t>VIS_OBJ_VD_NIV_Right_ID</t>
  </si>
  <si>
    <t>The ID of the closest Vehicle object to the right of the host.
0 = Unfilled</t>
  </si>
  <si>
    <t>VIS_OBJ_VD_CIPV_ID</t>
  </si>
  <si>
    <t>The Current In Path Vehicle (CIPV) object ID.
0 = Unfilled</t>
  </si>
  <si>
    <t>VIS_OBJ_VD_CIPV_Lost</t>
  </si>
  <si>
    <t>Reports a CIPV loss that cannot be explained to initiate a take over request.
NO_LOSS There was no recent loss of CIPV
LOST_TARGET_FOV_OUT indicates the CIPV has left the image on the side OR in a sharp curve OR was cutting out of the host lane (i.e. naturally drop)
LOST_TARGET_FOV_IN indicated other cases where the CIPV was lost in the middle of the detection area without any plausible reason.
Can happen in rare cases of very hilly terrains (the car disappears over the hill in the middle of the frame with no other CIPV candidates)</t>
  </si>
  <si>
    <t>ENUM:
0=NO_LOSS
1=LOST_TARGET_FOV_OUT
2=LOST_TARGET_FOV_IN
255=INVALID</t>
  </si>
  <si>
    <t>VIS_OBJ_VD_Allow_Acc</t>
  </si>
  <si>
    <t>This signal is intended to suppress
acceleration in stop and go ACC scenarios when we suspect something is in our way.
This signal holds a lower threshold than AEB signals because there is no safety issue with a false positive.
The CIPV Free Space Corridor is defined as an area centered around the longitudinal centerline of the host vehicle path set by the steering angle signal and extends from the camera of the host vehicle to the rear of the CIPV (if one exists), up to a maximum distance of 12m from the camera. The area of the corridor is independent of the host vehicle speed. The width of the corridor is defined as 0.4m wider than the ego vehicle (0.2m on each side). Any vehicle within the danger zone will trigger the CIPV Free Space signal, and so will vehicles that are predicted to enter the corridor in less than 0.2 sec.
The CIPV Free Space calculation shall become inactive when the host vehicle speed exceeds 17.5kph.
Only objects that are at least 1m high and at least 0.25m wide that enter the CIPV Free Space Corridor shall be reported.
FREE_SPACE - indicates No Penetration detected.
SPACE_NOT_FREE - indicates Penetration detected.
FREE_SPACE_UNKNOWN -  indicate No Statement possible, i.e. the system is operating outside of the speed and or yaw rate operating envelope and hence, the free space cannot be determined.</t>
  </si>
  <si>
    <t>ENUM:
0=FREE_SPACE_UNKNOWN
1=FREE_SPACE
2=SPACE_NOT_FREE
255=INVALID</t>
  </si>
  <si>
    <t>VIS_OBJ_Is_Blocked_Left</t>
  </si>
  <si>
    <t>Indicates whether the left side is blocked for lane change.</t>
  </si>
  <si>
    <t>VIS_OBJ_Is_Blocked_Right</t>
  </si>
  <si>
    <t>Indicates whether the right side is blocked for lane change.</t>
  </si>
  <si>
    <t>VIS_OBJ_CRC</t>
  </si>
  <si>
    <t>Calculated over all element signals. From the signal after the CRC until the last signal in VIS_OBJ.Element structure</t>
  </si>
  <si>
    <t>VIS_OBJ.Element[n_ID], n_ID∈ [0 - 39]</t>
  </si>
  <si>
    <t>VIS_OBJ_ID</t>
  </si>
  <si>
    <t>The detected object ID. Range is 1-255, while 0 indicates that the field in unfilled.</t>
  </si>
  <si>
    <t>VIS_OBJ_Existence_Probability</t>
  </si>
  <si>
    <t>The existence probability of the object.
Relevant for Vehicles, Bicyclists and Pedestrians</t>
  </si>
  <si>
    <t>VIS_OBJ_Triggered_SDM</t>
  </si>
  <si>
    <t>Indicates whether the object has 
triggered the SDM (Safety Diagnostic Manager) alert.</t>
  </si>
  <si>
    <t>VIS_OBJ_Object_Age</t>
  </si>
  <si>
    <t>The number of frames in which the object was recognized.
Signal is saturated at max value.</t>
  </si>
  <si>
    <t>VIS_OBJ_Measuring_Status</t>
  </si>
  <si>
    <t>measuring_status_struct</t>
  </si>
  <si>
    <t>VIS_OBJ_Object_Class</t>
  </si>
  <si>
    <t>Indicates the object type. 
0 = UNFILLED
UNCERTAIN_VCL is outputted in case the probability that a vehicle is a truck is very similar to the probability that it is a car.
Note: TWO_WHEELER is added in parallel to MOTORBIKE and BICYCLE for development purpose. TWO_WHEELER represents both MOTORBIKE and BICYCLE together with VIS_OBJ_2W_Is_Motorbike_Probability and VIS_OBJ_2W_Is_Bicycle_Probability</t>
  </si>
  <si>
    <t>ENUM:
0=UNFILLED
1=CAR
2=TRUCK
3=MOTORBIKE
4=BICYCLE
5=PEDESTRIAN
6=GENERAL_OBJECT
7=ANIMAL
8=UNCERTAIN_VCL
9=TWO_WHEELER
255=INVALID</t>
  </si>
  <si>
    <t>VIS_OBJ_Class_Probability</t>
  </si>
  <si>
    <t>The probability of this type classification.</t>
  </si>
  <si>
    <t>VIS_OBJ_2W_Is_Motorbike_Probability</t>
  </si>
  <si>
    <t>The probability that the two-wheeler reported object is a Motorbike. (Only relevant for two-wheeler object)</t>
  </si>
  <si>
    <t>VIS_OBJ_2W_Is_Bicycle_Probability</t>
  </si>
  <si>
    <t>The probability that the two-wheeler reported object is a Bicycle. (Only relevant for two-wheeler object)</t>
  </si>
  <si>
    <t>VIS_OBJ_Has_Cut_Lane</t>
  </si>
  <si>
    <t>Indicates whether the object cuts the host's (right or left) lane. In case there are no lanes, indicates whether the objects is at most 1 meters away from the host.</t>
  </si>
  <si>
    <t>VIS_OBJ_Has_Cut_Path</t>
  </si>
  <si>
    <t>Indicates whether the object is in the host's path.</t>
  </si>
  <si>
    <t>VIS_OBJ_Lane_Assignment</t>
  </si>
  <si>
    <t>The object's lane relative to the 
host lane.
Valid for Vehicles.</t>
  </si>
  <si>
    <t>ENUM:
0=UNKNOWN
1=LEFT_LEFT
2=LEFT
3=HOST
4=RIGHT
5=RIGHT_RIGHT
255=INVALID</t>
  </si>
  <si>
    <t>VIS_OBJ_Partially_In_Lane</t>
  </si>
  <si>
    <t>Indicates whether a vehicle object partially blocks the ego path even when it is not selected as CIPV (for example: overlaps of ~50%, parked vehicle or oncoming target).
Only available for vehicles within TTC 3 [s]</t>
  </si>
  <si>
    <t>VIS_OBJ_Open_Door_Left</t>
  </si>
  <si>
    <t>Indicator if left door is open. For Vehicle detection only. 
Signal is under development.</t>
  </si>
  <si>
    <t>VIS_OBJ_Open_Door_Right</t>
  </si>
  <si>
    <t>Indicator if right door is open. For Vehicle detection only.  
Signal is under development.</t>
  </si>
  <si>
    <t>VIS_OBJ_Visibility_Side</t>
  </si>
  <si>
    <t>From what car side is the object visible.
Valid for Vehicles</t>
  </si>
  <si>
    <t>ENUM:
0=NOT_VISIBLE 
1=FRONT
2=REAR
255=INVALID</t>
  </si>
  <si>
    <t>VIS_OBJ_Visible_Left_or_Right</t>
  </si>
  <si>
    <t>This signal describes the visible Left or Right side of the Target vehicle.
Valid for Vehicles</t>
  </si>
  <si>
    <t>ENUM:
0=NOT_VISIBLE
1=LEFT
2=RIGHT
255=INVALID</t>
  </si>
  <si>
    <t>VIS_OBJ_Is_In_Drivable_Area</t>
  </si>
  <si>
    <t>Indicates whether the target is in a driveable area.
Valid for Pedestrians and Vehicles.</t>
  </si>
  <si>
    <t>VIS_OBJ_Is_VeryClose</t>
  </si>
  <si>
    <t>Indicates whether the target is very close to the host such that it is hard to measure its distance. Currently relevant for pedestrians only.</t>
  </si>
  <si>
    <t>VIS_OBJ_Is_Emergency_Vehicle</t>
  </si>
  <si>
    <t>Is Object an Emergency Vehicle</t>
  </si>
  <si>
    <t>VIS_OBJ_Emergency_Light_Color</t>
  </si>
  <si>
    <t>emergency_light_color_struct</t>
  </si>
  <si>
    <t>VIS_OBJ_InvTTC</t>
  </si>
  <si>
    <t>Inverse TTC (time to collision). Negative TTC is achieved for preceding objects with higher velocity than the host vehicle.
Valid for Pedestrians and Vehicles.</t>
  </si>
  <si>
    <t>1/s</t>
  </si>
  <si>
    <t>[-8, 8]
INFINITY = INVALID</t>
  </si>
  <si>
    <t>VIS_OBJ_InvTTC_STD</t>
  </si>
  <si>
    <t>Standard deviation of VIS_OBJ_InvTTC.
Valid for Pedestrians and Vehicles.</t>
  </si>
  <si>
    <t>[0, 4]
INFINITY = INVALID</t>
  </si>
  <si>
    <t>VIS_OBJ_Right_Out_Of_Image</t>
  </si>
  <si>
    <t>Indicates whether the measurement is predicted out of the right side of the image boundaries.
Valid for Pedestrians and Vehicles.</t>
  </si>
  <si>
    <t>VIS_OBJ_Left_Out_Of_Image</t>
  </si>
  <si>
    <t>Indicates whether if measurement is predicted out of  the left side of the image boundaries.
Valid for Pedestrians and Vehicles.</t>
  </si>
  <si>
    <t>VIS_OBJ_Top_Out_Of_Image</t>
  </si>
  <si>
    <t>Indicates whether if measurement are predicted out of  the top of the image boundaries.
Valid for Pedestrians.</t>
  </si>
  <si>
    <t>VIS_OBJ_Bottom_Out_Of_Image</t>
  </si>
  <si>
    <t>Indicates whether if measurement are predicted out of  the bottom of the image boundaries.
Valid for Pedestrians and Vehicles.</t>
  </si>
  <si>
    <t>VIS_OBJ_Motion_State</t>
  </si>
  <si>
    <t>motion_state_struct</t>
  </si>
  <si>
    <t>VIS_OBJ_Light_Indicator</t>
  </si>
  <si>
    <t>light_indicator_struct</t>
  </si>
  <si>
    <t>VIS_OBJ_Physical_State</t>
  </si>
  <si>
    <t>physical_state_struct</t>
  </si>
  <si>
    <t>VIS_OBJ_Angular_State</t>
  </si>
  <si>
    <t>angular_state_struct</t>
  </si>
  <si>
    <t>VIS_OBJ_Has_Any_Object_Overlap</t>
  </si>
  <si>
    <t>Indicates whether the object's detection rectangle overlaps with Any Objects detection.
Part of AnyObjects product</t>
  </si>
  <si>
    <t>VIS_OBJ_Inv_TTC_reference_edge</t>
  </si>
  <si>
    <t>Indicates the chosen vehicle's edge for invTTC calculation.
Part of AnyObjects product</t>
  </si>
  <si>
    <t>ENUM:
0=NOT_AVAILABLE
1=REAR_LEFT
2=REAR_RIGHT
3=FRONT_RIGHT
4=FRONT_LEFT
255 = INVALID</t>
  </si>
  <si>
    <t>VIS_OBJ_Image_Coordinates</t>
  </si>
  <si>
    <t>Object image pixel coordinates.</t>
  </si>
  <si>
    <t>bbox_3D_struct</t>
  </si>
  <si>
    <t>First version of the document 
Based on CV supplier interface ''Core_Export_SW9.2_rev2_17.02.20''</t>
  </si>
  <si>
    <t>Update Roll angle definition in coordinate system from ''positive to the left'' into ''positive to the right''</t>
  </si>
  <si>
    <t xml:space="preserve">Added macros </t>
  </si>
  <si>
    <t>* Removed columns with ETH information.
* Corrected columns that shall be imorted to Polarion
* In rows where validation flag has been mearged has the row with validation flag been place bellow row with signal.</t>
  </si>
  <si>
    <t>*Added coordinate system for CV supplier interface
*Added coordinate system for CV supplier API</t>
  </si>
  <si>
    <t>2.0</t>
  </si>
  <si>
    <t xml:space="preserve">To be listed:
* Updated macros to improve structure of requirements for Polarion
* Corrected typos on Aptiv side
* Clarified and Improved a number of signal descriptions on Aptiv side
* Corrected obvious mistakes from CV supplier side which have been updated in SW11
* All unique changes can be found in the Appendix column
</t>
  </si>
  <si>
    <t>Emil Andersson</t>
  </si>
  <si>
    <t xml:space="preserve"> *VIS_OBJ_VD_CIPV_ID is updated by Default value from ''uint8 max'' to ''0''
  *VIS_OBJ_Zero_byte is updated by not being mapped from CV supplier interface any longer.
  *VIS_OBJ_Relative_Long_Acc description is updated from "The relative longitudinal ground acceleration of the object." to "The relative longitudinal ground acceleration between the object and the ego vehicle"
  *VIS_OBJ_Sync_ID description is updated by ''The ID of the synch message'' to ''The ID''.
  *VIS_OBJ_Protocol_Version is updated by not being mapped from CV supplier interface any longer.
  *VIS_OBJ_CRC , Signal Mapping Instructure updated to ''New CRC calculation''
  *VIS_OBJ_Header_CRC, Signal Mapping Instructure updated to ''New CRC calculation'' </t>
  </si>
  <si>
    <t>*unit (column C) changed to match the naming convention of remaning messages: boolean -&gt; bool8
*added information about revision number in C1-L1</t>
  </si>
  <si>
    <t>3.0</t>
  </si>
  <si>
    <t>Updated VIS_OBJ_APTIV_Protocol_Version to release version 3</t>
  </si>
  <si>
    <t>Updating signal resolutions, descriptions and values to map CV supplier interface 15.1</t>
  </si>
  <si>
    <t>4.0</t>
  </si>
  <si>
    <t>Updated signal resolutions, descriptions and values to map CV supplier interface 15.1</t>
  </si>
  <si>
    <t>5.0</t>
  </si>
  <si>
    <t xml:space="preserve"> AVI &amp; Mapping template &amp; rules review</t>
  </si>
  <si>
    <t>VIS_OBJ_APTIV_Protocol_Version Data Type changed from UINT8 to UINT16
VIS_OBJ_APTIV_Protocol_Version Size changed from 8 to 16 bit
VIS_OBJ_APTIV_Protocol_Version Max changed from 255 to 65535.</t>
  </si>
  <si>
    <t>VIS_OBJ_Existence_Probability
Changed Description from:
"The existence probability of the vehicle.
Relevant for Peds and Veds"
To:
"The existence probability of the object.
Relevant for Vehicles, Bicyclists and Pedestrians"</t>
  </si>
  <si>
    <t>VIS_OBJ_Fusion_Source: Signal removed since only used by CV supplier internally</t>
  </si>
  <si>
    <t>VIS_OBJ_Radar_ID: Signal removed. Not used</t>
  </si>
  <si>
    <t>VIS_OBJ_Camera_Source: Signal removed. Not used</t>
  </si>
  <si>
    <t>VIS_OBJ_Object_Age:
Data type from: uint16 to: uint8
Max from: 2047 to: 255
Size from: 16 to: 8
Description added: Signal is saturated at max value</t>
  </si>
  <si>
    <t>VIS_OBJ_Is_EMERGENCY_VCL
Name is changed to VIS_OBJ_Is_Emergency_Vehicle</t>
  </si>
  <si>
    <t>VIS_OBJ_EMERGENCY_LIGHT_COLOR
Name is changed to VIS_OBJ_Emergency_Light_Color</t>
  </si>
  <si>
    <t>VIS_OBJ_EMERGENCY_LIGHT_COLOR
Description is changed from "Emergency Color" 
to "Emergency light color. It may be several colors in parallell, e.g. red and blue"</t>
  </si>
  <si>
    <t>5.10</t>
  </si>
  <si>
    <t>VIS_OBJ_Age_Seconds: Signal removed. Not used</t>
  </si>
  <si>
    <t>5.11</t>
  </si>
  <si>
    <t>VIS_OBJ_Cam_Frame_ID: removed duplicate on row 22</t>
  </si>
  <si>
    <t>5.12</t>
  </si>
  <si>
    <t>Output coordinate system standard changed
from: Output co-ordinate system: ISO 8855 axis system
to: Output co-ordinate system: SAE J670 Z-down</t>
  </si>
  <si>
    <t>5.13</t>
  </si>
  <si>
    <t>Orientation and origin point changed
from:
ISO 8855:
Origin point – Camera sensor
X – longitudinal position - positive in front of the vehicle 
Y – lateral position - positive to the left of the vehicle
Z – altitude - positive up
Yaw –  rotation around Z-axis - positive to the left
Pitch –  rotation around Y-axis - positive down
Roll –  rotation around X-axis - positive when leaning right
To:
"SAE J670 Z-down coordinate system:
1. Translation &amp; Orientation:
X-axis is longitudinal position - pointing in the direction of the vehicle 
Y-axis is lateral position - pointing to the right of the vehicle
Z-axis is vertical position - pointing down
Yaw –  rotation around Z-axis - positive to the right
Pitch –  rotation around Y-axis - positive up
Roll –  rotation around X-axis - positive when leaning right
2. Origin point: 
a) longitudinal (X): Camera position
b) lateral (Y): Camera position
c) vertical (Z): Camera position</t>
  </si>
  <si>
    <t>5.14</t>
  </si>
  <si>
    <t>Added VIS_Function_Common_Header</t>
  </si>
  <si>
    <t>5.15</t>
  </si>
  <si>
    <t>Changed VIS_OBJ_Header_CRC to be part of VIS_OBJ_Common_Header struct</t>
  </si>
  <si>
    <t>5.16</t>
  </si>
  <si>
    <t xml:space="preserve">VIS_OBJ_Existence_Probability: Changed Type to Existence_Probability_t </t>
  </si>
  <si>
    <t>5.17</t>
  </si>
  <si>
    <t>VIS_OBJ_Class_Probability: Changed Type to Confidence_t</t>
  </si>
  <si>
    <t>5.18</t>
  </si>
  <si>
    <t>Removed row Resolution</t>
  </si>
  <si>
    <t>5.19</t>
  </si>
  <si>
    <t>VIS_OBJ_Measuring_Status: converted to struct (see Objects_Data_Definitions)</t>
  </si>
  <si>
    <t>5.20</t>
  </si>
  <si>
    <t>VIS_OBJ_Emergency_Light_Color: converted to struct (see Objects_Data_Definitions)</t>
  </si>
  <si>
    <t>5.21</t>
  </si>
  <si>
    <t>VIS_OBJ_ID: Unit changed from Counter to NA</t>
  </si>
  <si>
    <t>5.22</t>
  </si>
  <si>
    <t xml:space="preserve">VIS_OBJ_VD_Allow_Acc: Changed order of values from 0=FREE_SPACE, 1=SPACE_NOT_FREE, 2=FREE_SPACE_UNKNOWN 
to 0=FREE_SPACE_UNKNOWN, 1=FREE_SPACE, 2=SPACE_NOT_FREE </t>
  </si>
  <si>
    <t>5.23</t>
  </si>
  <si>
    <t>VIS_OBJ_Object_Age: changed 
Max from 2047 to 255, 
Size from 16 to 8, 
DataType from uint16 to uint8</t>
  </si>
  <si>
    <t>5.24</t>
  </si>
  <si>
    <t>VIS_OBJ_VD_NIV_Left: Changed name to VIS_OBJ_VD_NIV_Left_ID
VIS_OBJ_VD_NIV_Right: Changed name to VIS_OBJ_VD_NIV_Right_ID
Changed sheet name from AVI_Objects_Information to AVI_Objects</t>
  </si>
  <si>
    <t>5.25</t>
  </si>
  <si>
    <t>Removed Mappings, CV supplier interface &amp; CV supplier API, and macros columns.
Interface name corrected</t>
  </si>
  <si>
    <t>5.26</t>
  </si>
  <si>
    <t>VIS_OBJ_Header_CRC removed (since already exist in VIS_OBJ_Common_Header)</t>
  </si>
  <si>
    <t>Approved, referring to Cross-FCN_Definitions version 1 &amp; Objects_Definitions version 1.</t>
  </si>
  <si>
    <t>Added signals:
- VIS_OBJ_Open_Door_Left
- VIS_OBJ_Open_Door_Right
- VIS_OBJ_2W_Is_Motorbike_Probability
- VIS_OBJ_2W_Is_Bicycle_Probability
- VIS_OBJ_partially_in_lane
Changed for OBJ_Object_Class:
- Value: Clarified 0 = UNFILLED
- Value: Added 9 = TWO_WHEELER</t>
  </si>
  <si>
    <t>delta-review done, issues (inclear descriptions) are marked red.</t>
  </si>
  <si>
    <t>6.2</t>
  </si>
  <si>
    <t>VIS_OBJ_Partially_In_Lane:
- Added value "TTC 3 [s]" in description
VIS_OBJ_Open_Door_Left
VIS_OBJ_Open_Door_Right:
- Added information "Still under development"
(- Still missing information if Left/Right is "from target or Host vehicle POV")</t>
  </si>
  <si>
    <t>delta-review done, no issues found</t>
  </si>
  <si>
    <t>Ismail Gülec &amp; Apoorva Udayakumar</t>
  </si>
  <si>
    <t>Approved, referring to Cross-FCN_Definitions version 2 &amp; Objects_Definitions version 2.</t>
  </si>
  <si>
    <t>VIS_OBJ_Is_In_Drivable_Area,
VIS_OBJ_Is_VeryClose
VIS_OBJ_Is_Emergency_Vehicle
VIS_OBJ_Right_Out_Of_Image
VIS_OBJ_Left_Out_Of_Image
VIS_OBJ_Top_Out_Of_Image
VIS_OBJ_Bottom_Out_Of_Image:
- changed Type from bool8 to uint8
- changed Max from 1 to 255
- changed Value 
    - from [0=FALSE, 1=TRUE] 
    - to [ENUM 0=FALSE, 1=TRUE, 255=INVALID]
- changed Default from 0 to 255</t>
  </si>
  <si>
    <t>8,1</t>
  </si>
  <si>
    <t>OBJ_VRU_Count:
Updated description from "The number of recognized Vulnerable Road Users (pedestrians, bicycles) in the scene."
to:  "The number of recognized pedestrians (not including bicycles) in the scene"</t>
  </si>
  <si>
    <t>OBJ_VD_Count:
Updated description from: "The number of recognized vehicles in the scene."
to: "The number of recognized vehicles on the scene (Include Cars, Trucks and Two-wheelers - Motorbikes/Bicycles)"</t>
  </si>
  <si>
    <t>Added signals:
- VIS_OBJ_Has_AnyO_Overlap
- VIS_OBJ_Inv_TTC_reference_edge</t>
  </si>
  <si>
    <t>Added column "ASIL Compliance"
Added Periodicity (placeholder) in the header of the sheet
Added ASIL Compliance information
Added Periodicity information</t>
  </si>
  <si>
    <t>8,2</t>
  </si>
  <si>
    <t>Corrected ASIL level for structs according to new rule: No NA, ASIL B if any member is ASIL B, else QM</t>
  </si>
  <si>
    <t>- Size in G1 is re-calculated and corrected to 73928
- VIS_OBJ_Has_AnyO_Overlap: Clarified description (rect -&gt; rectangle)
- VIS_OBJ_CRC description, changed "until the first signal in the next elements, OBJ_CRC_N+1  not including"
to "until the last signal in VIS_OBJ.Element structure"
- VIS_OBJ_Has_AnyO_Overlap signal name changed to "VIS_OBJ_Has_Any_Object_Overlap"</t>
  </si>
  <si>
    <t>VIS_OBJ_Is_Blocked_Left
VIS_OBJ_Is_Blocked_Right
VIS_OBJ_Has_Cut_Lane
VIS_OBJ_Has_Cut_Path
VIS_OBJ_Partially_In_Lane
VIS_OBJ_Open_Door_Left
VIS_OBJ_Open_Door_Right
- Changed type from bool8 to bool_invalid_t
- Changed Min, Max, Value and Default to NA</t>
  </si>
  <si>
    <t>VIS_OBJ_Is_In_Drivable_Area
VIS_OBJ_Is_VeryClose
VIS_OBJ_Is_Emergency_Vehicle
VIS_OBJ_Right_Out_Of_Image
VIS_OBJ_Left_Out_Of_Image
VIS_OBJ_Top_Out_Of_Image
VIS_OBJ_Bottom_Out_Of_Image
VIS_OBJ_Has_Any_Object_Overlap
- Changed type from bool8 ro bool_invalid_t
- Changed Min, Max, Value and Default to NA</t>
  </si>
  <si>
    <t>Delta review done, no issue found.</t>
  </si>
  <si>
    <t>Approved, referring to Cross-FCN_Definitions version 3 &amp; Objects_Definitions version 3.</t>
  </si>
  <si>
    <t>Changed name of signal:
From: VIS_OBJ_Partially_In_Lane
To:  VIS_OBJ_Partially_In_Path</t>
  </si>
  <si>
    <t>Review done, no issue found.</t>
  </si>
  <si>
    <t>Approved, referring to Cross-FCN_Definitions version 3 &amp; Objects_Definitions version 4.</t>
  </si>
  <si>
    <t>Reversed name change of signal:
From: VIS_OBJ_Partially_In_Path
To:  VIS_OBJ_Partially_In_Lane</t>
  </si>
  <si>
    <t>Approved, referring to Cross-FCN_Definitions version 3 &amp; Objects_Definitions version 5.</t>
  </si>
  <si>
    <t>VIS_OBJ_General_OBJ_Count:
- Restored description (was deleted by mistake?)</t>
  </si>
  <si>
    <t>Approved, referring to Cross-FCN_Definitions version 4 &amp; Objects_Definitions version 5.</t>
  </si>
  <si>
    <t>Added Reference point on object
Added signal VIS_OBJ_Image_Coordinates
Updated Size from 73928 to 76488</t>
  </si>
  <si>
    <t>12.1</t>
  </si>
  <si>
    <t>13</t>
  </si>
  <si>
    <t>Approved, referring to Cross-FCN_Definitions version 5 &amp; Objects_Definitions version 5.</t>
  </si>
  <si>
    <t>13.1</t>
  </si>
  <si>
    <t>VIS_OBJ_Image_Coordinates Size corrected from 64 to 256 bits per element
Total size corrected from 76488 to 84168</t>
  </si>
  <si>
    <t>Review Done, No issue found</t>
  </si>
  <si>
    <t>14</t>
  </si>
  <si>
    <t>VIS_OBJ_DBG_Common_Header</t>
  </si>
  <si>
    <t>VIS_OBJ_DBG.Header</t>
  </si>
  <si>
    <t>VIS_OBJ_DBG_Num_Of_Objects</t>
  </si>
  <si>
    <t>VIS_OBJ_DBG_Obj</t>
  </si>
  <si>
    <t>debug_3D_bbox_struct</t>
  </si>
  <si>
    <t>VIS_OBJ_DBG.Element[n_ID], n_ID∈ [0 - 39]</t>
  </si>
  <si>
    <t>AVI_Objects_Debug sheet added.</t>
  </si>
  <si>
    <t>- common_header signal added, 
- signals names corrected, (HS: NOT CORRECTED)
- description for VIS_OBJ_DBG_Num_Of_Objects corrected
- max value corrected,
- values corrected,
- parenthersis removed</t>
  </si>
  <si>
    <t>Delta reviewed. No issue found</t>
  </si>
  <si>
    <t>Renamed struct name 3D_debug_bbox_struct
to debug_3D_bbox_struct</t>
  </si>
  <si>
    <t>VIS_OBJ_DBG_Obj: 
Corrected Struct Length from 30 to 40 to comply with Struct Name indices [0 - 39]
Size: Updated from 8152 to 10792</t>
  </si>
  <si>
    <t>Peer reviewed. No issues found.</t>
  </si>
  <si>
    <t>Traffic_Lights_Definitions</t>
  </si>
  <si>
    <t>VIS_TFL_Common_Header</t>
  </si>
  <si>
    <t>VIS_TFL.Header</t>
  </si>
  <si>
    <t>VIS_TFL_Spot_Protocol_Version</t>
  </si>
  <si>
    <t>Denotes the TFL Spot protocol version</t>
  </si>
  <si>
    <t>VIS_TFL_Struct_Count</t>
  </si>
  <si>
    <t>Number of TFL stucture objects</t>
  </si>
  <si>
    <t>VIS_TFL_Spot_Count</t>
  </si>
  <si>
    <t>Number of TFL spots objects</t>
  </si>
  <si>
    <t>[0, 50]
255=INVALID</t>
  </si>
  <si>
    <t>VIS_TFL_Struct_ID</t>
  </si>
  <si>
    <t>Unique id of TFL Structure</t>
  </si>
  <si>
    <t>VIS_TFL.Struct[n_ID], n_ID∈ [0 - 19]</t>
  </si>
  <si>
    <t>VIS_TFL_Struct_Age</t>
  </si>
  <si>
    <t>Struct age in frames</t>
  </si>
  <si>
    <t>VIS_TFL_Struct_State</t>
  </si>
  <si>
    <t>State of the Traffic Light based on analysis of the TL Spots and Structure.</t>
  </si>
  <si>
    <t>ENUM:
0=OFF 
1=RED 
2=YELLOW 
3=GREEN 
4=RED_YELLOW 
5=BLINKING_GREEN 
6=BLINKING_YELLOW 
7=PEDS_RED 
8=PEDS_GREEN 
9=RED_WITH_SUPP_GREEN
10=ORANGE_WITH_SUPP_GREEN
11=RED_WITH_SUPP_ORANGE
12=UNKNOWN
13=BLINKING_RED
14=ALTERNATING_ORANGE
255=INVALID</t>
  </si>
  <si>
    <t>VIS_TFL_Struct_State_Age</t>
  </si>
  <si>
    <t>Struct State age in frames</t>
  </si>
  <si>
    <t>VIS_TFL_Struct_State_Confidence</t>
  </si>
  <si>
    <t>Traffic Light Structure State confidence</t>
  </si>
  <si>
    <t xml:space="preserve">ENUM:
0=UNKNOWN 
1=VERY_LOW 
2=LOW 
3=MED 
4=HIGH 
5=VERY_HIGH
255=INVALID </t>
  </si>
  <si>
    <t>VIS_TFL_Struct_Type</t>
  </si>
  <si>
    <t>The type of the TFL structure</t>
  </si>
  <si>
    <t>ENUM:
0=Vertical 3 Spots 
1=Pedestrian  Horizontal 
2=Pedestrian  Vertical 
3=Vertical 2 Spots 
4=Horiziontal 3 Spots 
5=Vertical structure 
6=Horizontal Structure 
7=DogHouse Structure 
8=Vertical 5 spots 
9=Vertical 4 spots 
10=Horiziontal 4 Spots 
11=Horiziontal 5 Spots 
12=UnKnown Structure
70=DEFAULT_STRUCTURE_FOR_NIGHT_DUSK_MODE
255=INVALID</t>
  </si>
  <si>
    <t>VIS_TFL_Struct_Type_Conf</t>
  </si>
  <si>
    <t>Structure type confidence</t>
  </si>
  <si>
    <t>VIS_TFL_Struct_Lat_Distance</t>
  </si>
  <si>
    <t xml:space="preserve">Lateral distance - Right is positive </t>
  </si>
  <si>
    <t>[-100, 100]
INFINITY = INVALID</t>
  </si>
  <si>
    <t>VIS_TFL_Struct_Lat_Distance_STD</t>
  </si>
  <si>
    <t>Lateral distance - Right is positive - STD</t>
  </si>
  <si>
    <t>[0, 100]
INFINITY = INVALID</t>
  </si>
  <si>
    <t>VIS_TFL_Struct_Rel_Height</t>
  </si>
  <si>
    <t>Height from Camera</t>
  </si>
  <si>
    <t>[0, 31.875]
INFINITY = INVALID</t>
  </si>
  <si>
    <t>VIS_TFL_Struct_Rel_Height_STD</t>
  </si>
  <si>
    <t>Height from Camera - STD</t>
  </si>
  <si>
    <t>VIS_TFL_Struct_Long_Distance</t>
  </si>
  <si>
    <t>Longitudinal distance</t>
  </si>
  <si>
    <t>[-500, 500]
INFINITY = INVALID</t>
  </si>
  <si>
    <t>VIS_TFL_Struct_Long_Distance_STD</t>
  </si>
  <si>
    <t>Longitudinal distance - STD</t>
  </si>
  <si>
    <t>[0, 500]
INFINITY = INVALID</t>
  </si>
  <si>
    <t>VIS_TFL_Struct_Image_Status</t>
  </si>
  <si>
    <t>This describe whether the TFL structure is actually Visible (measured) or Occluded (predicted).</t>
  </si>
  <si>
    <t>VIS_TFL_Struct_Object_Property</t>
  </si>
  <si>
    <t>A special property or object attached to this object</t>
  </si>
  <si>
    <t>ENUM:
0=NONE
1=FLASHING_LIGHT_ON
2=FLASHING_LIGHT_OFF
3=FLASHING_LIGHT_BLINKING
4=GREEN_ARROW_LEFT_DIRECTION
5=GREEN_ARROW_RIGHT_DIRECTION
6=GREEN_ARROW_STRAIGHT_DIRECTION
7=CIRCULAR_ABOVE_ARROW_LEFT_DIRECTION
8=CIRCULAR_ABOVE_ARROW_RIGHT_DIRECTION
9=CIRCULAR_ABOVE_ARROW_STRAIGHT_DIRECTION
255=INVALID</t>
  </si>
  <si>
    <t>VIS_TFL_Spot_ID</t>
  </si>
  <si>
    <t>Unique id of TFL Spot</t>
  </si>
  <si>
    <t>VIS_TFL.Spot[n_ID], n_ID∈ [0 - 49]</t>
  </si>
  <si>
    <t>VIS_TFL_Spot_Structure_ID</t>
  </si>
  <si>
    <t>Unique id for life of light - indicates which lightbox (structure) the spot is identified with</t>
  </si>
  <si>
    <t>VIS_TFL_Spot_Color</t>
  </si>
  <si>
    <t>Color of traffic light</t>
  </si>
  <si>
    <t>ENUM:
0=UNKNOWN 
1=RED 
2=ORANGE
3=GREEN 
4 = RED_ORANGE
255=INVALID</t>
  </si>
  <si>
    <t>VIS_TFL_Spot_Red_Probability</t>
  </si>
  <si>
    <t>Red probability</t>
  </si>
  <si>
    <t>VIS_TFL_Spot_Orange_Probability</t>
  </si>
  <si>
    <t>Orange probability</t>
  </si>
  <si>
    <t>VIS_TFL_Spot_Green_Probability</t>
  </si>
  <si>
    <t>Green probability</t>
  </si>
  <si>
    <t>VIS_TFL_Spot_Mode</t>
  </si>
  <si>
    <t>The mode of the TFL spot</t>
  </si>
  <si>
    <t>ENUM:
0=UNKNOWN 
1=CONTINUOUS 
2=BLINKING 
3=TURNED_OFF 
255=INVALID</t>
  </si>
  <si>
    <t>VIS_TFL_Spot_Shape</t>
  </si>
  <si>
    <t>The Shape of the TFL Spot</t>
  </si>
  <si>
    <t>ENUM:
0=UNKNOWN 
1=CIRCLE 
2=ARROW_LEFT 
3=ARROW_RIGHT 
4=ARROW_STRAIGHT 
5=DIAGONAL_LEFT 
6=DIAGONAL_RIGHT 
7=RIGHT_UP 
8=LEFT_UP 
9=PEDS 
10=U_TURN 
11=BICYCLE
12=TRAM
13=DIGITS
14=ARROWS_LEFT_RIGHT
15=ARROWS_RIGHT_DOWN
16=ARROWS_LEFT_DOWN
17=ARROW_DOWN
18=ARROW_DIAGONAL_LEFT_DOWN
19=ARROW_DIAGONAL_RIGHT_DOWN
255=INVALID</t>
  </si>
  <si>
    <t>VIS_TFL_Spot_Shape_Probability</t>
  </si>
  <si>
    <t>Shape Probability</t>
  </si>
  <si>
    <t>VIS_TFL_Spot_Relevancy</t>
  </si>
  <si>
    <t>Spot Relevancy is a score derived from the consistency level between the spot shape and arrows from Road Marking and additional factors like longitudinal and lateral distance of TFL</t>
  </si>
  <si>
    <t>relevance_t</t>
  </si>
  <si>
    <t>Traffic Lights split off from Traffic Information worksheet. Based on CV supplier interface 4.19.11
For earlier history see AVI_Traffic_Signs_Rev</t>
  </si>
  <si>
    <t>Changed name of signal VIS_TFL_Spot_Number_Of_Objects to VIS_TFL_Spot_Count
Updated all refererences to ORANGE to YELLOW
Fixed typo in description of VIS_TFL_Struct_Relevancy_Score
Updated enumerators for VIS_TFL_Struct_Type to have values between 0-12 instead of 500-512. Decreased size to uint8 and changed default value to 12=UnKnown Structure
 Clarified description of VIS_TFL_Struct_Dist_Max_Fov
Added description and enum values for VIS_TFL_Struct_State_Conf_Reason
Fixed typos for VIS_TFL_Struct_Position_Relevancy and its description
fixed typos in description of VIS_TFL_Spot_Relevancy</t>
  </si>
  <si>
    <t>*Changed the column name 'DataType' to 'Type'
*Updated the Revision tab format</t>
  </si>
  <si>
    <t>- Inserted VIS_TFL_Common_Header
- Changed coordinate system from  ISO 8855 to SAE J670 Z-down
Replaced by VIS_TFL_Common_Header
- VIS_TFL_Frame_MCU_TS_Start
- VIS_TFL_CV_SoC_Frame_ID
- VIS_TFL_Cam_Frame_ID
- VIS_TFL_Struct_Protocol_Version
VIS_TFL.Header: New name of header struct
VIS_TFL_Spot_Protocol_Version
- Let stay in header but outside VIS_CA_Common_Header since only one protocol fits inside VIS_CA_Common_Header (VIS_TFL_Struct_Protocol_Version)
VIS_TFL_Struct_Element
- Set Struct length to 20 (max count is 20)
- VIS_TFL_Struct.Element[n_ID], n_ID∈ [0 - 19]
VIS_TFL_Spot_Element
- Set Struct length to 50 (max count is 50)
- VIS_TFL_Spot.Element[n_ID], n_ID∈ [0 - 49]
VIS_TFL_Struct_Detection_Camera
- Removed (since only one camera is within current scope and no map data is represented)
VIS_TFL_Struct_State_Conf_Reason
- moved INVALID from 0 to 255</t>
  </si>
  <si>
    <t>Converted type to relevance_t (defined in Traffic_Light_Definitions):
- VIS_TFL_Struct_Relevancy_Score
- VIS_TFL_Struct_Position_Relevancy
- VIS_TFL_Spot_Relevancy
Converted type to existence_probability_t
- VIS_TFL_Struct_Existence_Prob
Converted type to confidence_t:
- VIS_TFL_Struct_Type_Conf
- VIS_TFL_Spot_Blinking_Confidence
- VIS_TFL_Spot_Red_Probability
- VIS_TFL_Spot_Orange_Probability
- VIS_TFL_Spot_Green_Probability
- VIS_TFL_Spot_Shape_Probability</t>
  </si>
  <si>
    <t>Peer-review. No issues found.</t>
  </si>
  <si>
    <t>Approved, referring to Cross-FCN_Definitions version 1 &amp; Traffic_Lights_Definitions_Rev version 1.</t>
  </si>
  <si>
    <t>Delta peer review. ASIL compliance info missing</t>
  </si>
  <si>
    <t>Removed Signals: 
VIS_TFL_Struct_Relevancy_Score
VIS_TFL_Struct_Dist_Max_Fov
VIS_TFL_Struct_Existence_Prob
VIS_TFL_Struct_State_Conf_Reason
VIS_TFL_Struct_Width
VIS_TFL_Struct_Width_STD
VIS_TFL_Struct_Height
VIS_TFL_Struct_Height_STD
VIS_TFL_Struct_Position_Relevancy
VIS_TFL_Spot_matched_Relevancy
VIS_TFL_Spot_Blinking_Confidence
Added Signals: 
TFL_Struct_Object_Property
ENUM Changes/Mapping need to be updated for: 
VIS_TFL_Struct_State
VIS_TFL_Struct_Type
VIS_TFL_Struct_Image_Status
VIS_TFL_Spot_Shape</t>
  </si>
  <si>
    <t>Kevin Wrobel</t>
  </si>
  <si>
    <t>Peer-review done. Issues found.</t>
  </si>
  <si>
    <t>Corrected findings from peer review</t>
  </si>
  <si>
    <t>Added column "ASIL Compliance"</t>
  </si>
  <si>
    <t>Peer-review done. No issues found.</t>
  </si>
  <si>
    <t>1.6</t>
  </si>
  <si>
    <t>Struct Length, Struct Name and Size updated.</t>
  </si>
  <si>
    <t>Approved, referring to Cross-FCN_Definitions version 5 &amp; Traffic_Lights_Definitions version 2.</t>
  </si>
  <si>
    <t xml:space="preserve">Corrected Struct Name and Struct Length </t>
  </si>
  <si>
    <t>Gen4: NA
Gen6: 1/20
Gen7: TBD</t>
  </si>
  <si>
    <t>VIS_TFL_DBG_Common_Header</t>
  </si>
  <si>
    <t>VIS_TFL_DBG.Header</t>
  </si>
  <si>
    <t>VIS_TFL_DBG_Num_Of_Objects</t>
  </si>
  <si>
    <t>VIS_TFL_DBG_Obj</t>
  </si>
  <si>
    <t>Debug object with ID of Traffic Light Structure, and the bounding box coordinates.</t>
  </si>
  <si>
    <t>VIS_TFL_DBG.Element[n_ID], n_ID∈ [0 - 19]</t>
  </si>
  <si>
    <t>AVI_Traffic_Lights_Debug added.</t>
  </si>
  <si>
    <t>- common_header signal added, 
- signals names corrected, 
- description for VIS_TFL_DBG_Num_Of_Objects corrected
- max value corrected,
- values corrected,
- parenthersis removed</t>
  </si>
  <si>
    <t>- Updated description of the debug struct, w.r.t. what ID to use, as traffic lights has two id's (structures and spots, in the AVI) (B6)
- Updated periodicity (K2)</t>
  </si>
  <si>
    <t>1.3</t>
  </si>
  <si>
    <t>Updated - Updated periodicity (K2), based on peer review finding. (Gen6 from 30 FPS -&gt; 20 FPS).</t>
  </si>
  <si>
    <t>Reference point on object:
- 2D representation
- Longitudinal position: Pointing on object, closest to camera
- Lateral position: Horizontal center of object
- Vertical position: Bottom of object</t>
  </si>
  <si>
    <t>VIS_TSR_Common_Header</t>
  </si>
  <si>
    <t>VIS_TSR.Header</t>
  </si>
  <si>
    <t>VIS_TSR_Sign_Count</t>
  </si>
  <si>
    <t>Number of approved signs in the scene</t>
  </si>
  <si>
    <t>[0,20]
255 = INVALID</t>
  </si>
  <si>
    <t>VIS_TSR_Region_Code</t>
  </si>
  <si>
    <t>VIS_TSR_Driving_Side</t>
  </si>
  <si>
    <t>VIS_TSR_Is_HighSpeed_Road</t>
  </si>
  <si>
    <t>If detected, highway semantics and high driving speed signal will be set to true</t>
  </si>
  <si>
    <t>VIS_TSR_Signtaure_System_Version</t>
  </si>
  <si>
    <t>Describes the signiture system version that is available in the bundle</t>
  </si>
  <si>
    <t>[0,255]</t>
  </si>
  <si>
    <t>VIS_TSR_ETC_File_Version</t>
  </si>
  <si>
    <t>Describes the supported ETC version</t>
  </si>
  <si>
    <t>VIS_TSR_CRC</t>
  </si>
  <si>
    <t>Calculated over all element signals. From the signal after the VIS_TSR_CRC until last signal in VIS_TSR.Element.</t>
  </si>
  <si>
    <t>VIS_TSR.Element[n_ID], n_ID∈ [0 - 19]</t>
  </si>
  <si>
    <t>VIS_TSR_ID</t>
  </si>
  <si>
    <t>sign ID</t>
  </si>
  <si>
    <t>VIS_TSR_Sign_Name</t>
  </si>
  <si>
    <t>Sign name, see "Aptiv_Traffic_Info_Enum" tab</t>
  </si>
  <si>
    <t>ENUM:
see "Aptiv_Traffic_Info_Enum" tab</t>
  </si>
  <si>
    <t>VIS_TSR_Confidence</t>
  </si>
  <si>
    <t>Confidence of the Approved sign</t>
  </si>
  <si>
    <t>VIS_TSR_Existence_Probability</t>
  </si>
  <si>
    <t>The probability that the object is a sign, disregarding its type.</t>
  </si>
  <si>
    <t>VIS_TSR_Relevancy</t>
  </si>
  <si>
    <t>Each sign is considered relevant unless non relevant reason is identified. The ENUM represent those reason of reject sign from being relevant by providing the reason.</t>
  </si>
  <si>
    <t>ENUM:
0=RELEVANT_SIGN 
1=HIGHWAY_EXIT_SIGN 
2=OTHER_LANE_SIGN 
3=PARALLEL_ROAD_SIGN 
4=SIGN_ON_TURN 
5=FAR_IRRELEVANT_SIGN 
6=INTERNAL_SIGN_CONTRADICTION 
7=EMBEDDED
8=ON_TRUCK
9=REGION_CODE_CONTRADICTION
10=DELAY
11=OTHER_REASON
255 = INVALID</t>
  </si>
  <si>
    <t>VIS_TSR_Relevancy_Confidence</t>
  </si>
  <si>
    <t>Provide Relevancy Confidence TSR</t>
  </si>
  <si>
    <t>VIS_TSR_Sup1_SignName</t>
  </si>
  <si>
    <t>First Supplementary Sign descriptive name, see "Aptiv_Traffic_Info_Enum" tab</t>
  </si>
  <si>
    <t xml:space="preserve"> ENUM: 
see "Aptiv_Traffic_Info_Enum" tab</t>
  </si>
  <si>
    <t>VIS_TSR_Sup1_Confidence</t>
  </si>
  <si>
    <t>Confidence of the supplementary sign</t>
  </si>
  <si>
    <t>VIS_TSR_Sup1_Position</t>
  </si>
  <si>
    <t xml:space="preserve">Supplementary sign relative  position </t>
  </si>
  <si>
    <t>ENUM:
1=LEFT 
2=RIGHT 
3=TOP 
4=BOTTOM 
255=INVALID</t>
  </si>
  <si>
    <t>VIS_TSR_Sup2_SignName</t>
  </si>
  <si>
    <t>Second Supplementary Sign descriptive name, see "Aptiv_Traffic_Info_Enum" tab</t>
  </si>
  <si>
    <t>ENUM: 
see "Aptiv_Traffic_Info_Enum" tab</t>
  </si>
  <si>
    <t>VIS_TSR_Sup2_Confidence</t>
  </si>
  <si>
    <t>VIS_TSR_Sup2_Position</t>
  </si>
  <si>
    <t>ENUM: 
1=LEFT 
2=RIGHT 
3=TOP  
4=BOTTOM 
255=INVALID</t>
  </si>
  <si>
    <t>VIS_TSR_Sign_Shape</t>
  </si>
  <si>
    <t>Traffic Sign shape</t>
  </si>
  <si>
    <t>ENUM:
0=UNKNOWN 
1=CIRCLE 
2=RECTANGLE 
3=TRIANGLE_UP 
4=TRIANGLE_DOWN 
5=DIAMOND 
6=PENTAGON 
255=INVALID</t>
  </si>
  <si>
    <t>VIS_TSR_Sign_Structure</t>
  </si>
  <si>
    <t>Traffic Sign structure</t>
  </si>
  <si>
    <t>ENUM:
0=UNKNOWN
1=STANDARD
2=RESERVED
3=ELECTRONIC
255=INVALID</t>
  </si>
  <si>
    <t>VIS_TSR_Measurement_Status</t>
  </si>
  <si>
    <t>Visibility measurement  status</t>
  </si>
  <si>
    <t>VIS_TSR_AngleZ</t>
  </si>
  <si>
    <t>The sign horizontal rotation relative to the longitudinal axis of the ego car (0 when the sign is perpendicular). No polarity indication.</t>
  </si>
  <si>
    <t>[0,3.1416]
INFINITY=INVALID</t>
  </si>
  <si>
    <t>VIS_TSR_Tracking_Age</t>
  </si>
  <si>
    <t>Age of signs (number of frames) since detection</t>
  </si>
  <si>
    <t>VIS_TSR_Tracking_Out_Of_Image</t>
  </si>
  <si>
    <t>Age of signs (number of frames) since leaving the FoV</t>
  </si>
  <si>
    <t>VIS_TSR_Object_Property</t>
  </si>
  <si>
    <t>A special property or object attached to this object.</t>
  </si>
  <si>
    <t>VIS_TSR_Source</t>
  </si>
  <si>
    <t>Traffic sign detection source</t>
  </si>
  <si>
    <t>ENUM:
1=VISON
2=MAP
3=FUSION
255=INVALID</t>
  </si>
  <si>
    <t>VIS_TSR_Sign_Long_Distance</t>
  </si>
  <si>
    <t>Longitudinal distance to sign (on the ground )</t>
  </si>
  <si>
    <t>[-100,200]
INFINITY=INVALID</t>
  </si>
  <si>
    <t>VIS_TSR_Sign_Long_Distance_STD</t>
  </si>
  <si>
    <t>Longitudinal distance to sign (on the ground ) STD Kalman</t>
  </si>
  <si>
    <t>[0,200]
INFINITY=INVALID</t>
  </si>
  <si>
    <t>VIS_TSR_Sign_Lat_Distance</t>
  </si>
  <si>
    <t>Lateral distance to sign (on the ground)</t>
  </si>
  <si>
    <t>[-32,31]
INFINITY=INVALID</t>
  </si>
  <si>
    <t>VIS_TSR_Sign_Lat_Distance_STD</t>
  </si>
  <si>
    <t>Lateral distance to sign (on the ground) STD Kalman</t>
  </si>
  <si>
    <t>[0,31]
INFINITY=INVALID</t>
  </si>
  <si>
    <t>VIS_TSR_Sign_Height</t>
  </si>
  <si>
    <t>Sign height from camera reference point</t>
  </si>
  <si>
    <t>[-15,15]
INFINITY=INVALID</t>
  </si>
  <si>
    <t>VIS_TSR_Sign_Height_STD</t>
  </si>
  <si>
    <t>Sign height STD Kalman</t>
  </si>
  <si>
    <t>VIS_TSR_Sign_Panel_Height</t>
  </si>
  <si>
    <t>Sign Panel height</t>
  </si>
  <si>
    <t>[0,8]
INFINITY=INVALID</t>
  </si>
  <si>
    <t>VIS_TSR_Sign_Panel_Height_STD</t>
  </si>
  <si>
    <t>Sign Panel height STD</t>
  </si>
  <si>
    <t>VIS_TSR_Sign_Panel_Width</t>
  </si>
  <si>
    <t>Sign Panel width</t>
  </si>
  <si>
    <t>VIS_TSR_Sign_Panel_Width_STD</t>
  </si>
  <si>
    <t>Sign Panel width STD</t>
  </si>
  <si>
    <t>Document creation.
APTIV Vision Interface template added
CV supplier interface (v9.2) interface signals added</t>
  </si>
  <si>
    <t>CV supplier API signals added - based on CP_vs_OldAPI_Mapping-CS.xlsx</t>
  </si>
  <si>
    <t>GAP analysis complete, signals units, co-ordiate system, ENUMS, data types reviewed and established</t>
  </si>
  <si>
    <t>Timestamp_ms signal added, after review with Feature Function team</t>
  </si>
  <si>
    <t>Aptiv_Traffic_Information_Enum updated, mapping description added</t>
  </si>
  <si>
    <t>Added signals from CV supplier interface 4.19.11, marked as placeholders</t>
  </si>
  <si>
    <t>Added TFL from CV supplier interface 4.19.11
SM, SMC and SL combined into 1 function RMD
Added default values for each signals
Mapping Instruction converted to Pseudocode (if applicable)</t>
  </si>
  <si>
    <t>V1</t>
  </si>
  <si>
    <t>Correcting typos.
Mark TFL as out for AVI V1 release.
Polarion export and baseline.</t>
  </si>
  <si>
    <t>*Corrected datatypes according to convention
*Added formula for calculation of size
*Moved column "Struct name"</t>
  </si>
  <si>
    <t>*Revision headline in C1-L1 
* Rearragement of columns L-M-N
*Added column AB (Safety)</t>
  </si>
  <si>
    <t>*Bumped version to version 2</t>
  </si>
  <si>
    <t>*Changed mapping of region code to be more clear</t>
  </si>
  <si>
    <t>Updated TSR, Semantic Lines and Semantic Marks to CV supplier interface sw 15.0</t>
  </si>
  <si>
    <t>Split off RMD, CA and TFL to separate sheets</t>
  </si>
  <si>
    <t>Updated signal names of AVI:
TSR_Measurment_Status -&gt; VIS_TSR_Measurement_Status
TSR_AngleZ -&gt; VIS_TSR_AngleZ</t>
  </si>
  <si>
    <t>Fixed typo in description of VIS_TSR_Region_Code
Fixed typo in description of  VIS_TSR_Approved_Sign_Count
Changed Reserved signal to VIS_TSR_Header_CRC
Extended description of VIS_TSR_AngleZ</t>
  </si>
  <si>
    <t>Changed from ISO to SAE z-down coordinate system
Updated to 18.4 CV supplier interface version (No update needed)
Changed to common header struct</t>
  </si>
  <si>
    <t>Peer-review issues fixed</t>
  </si>
  <si>
    <t xml:space="preserve">Updated ENUM types:
 to include INVALID value
 to have type NA
 to include work "ENUM" in value column
Added INVALID value for all signals missing them and updated min and max and allowed signal interval </t>
  </si>
  <si>
    <t>Change age type to use common age type</t>
  </si>
  <si>
    <t>5.3</t>
  </si>
  <si>
    <t>Peer-review issues fixed, except size formula.</t>
  </si>
  <si>
    <t>5.4</t>
  </si>
  <si>
    <t>Updated description of structure to match new recommendation</t>
  </si>
  <si>
    <t>5.5</t>
  </si>
  <si>
    <t>Updated description for TSR Angle Z to include that there is no polarity for signal.</t>
  </si>
  <si>
    <t>5.6</t>
  </si>
  <si>
    <t>Approved, referring to Cross-FCN_Data_Definitions version 1</t>
  </si>
  <si>
    <t>Changed updated to reflect change in name of Traffic Info Enum tab
Removed signal VIS_TSR_Camera_Source as only supporting single camera</t>
  </si>
  <si>
    <t>Approved, referring to Cross-FCN_Definitions version 1 &amp; Aptiv_Traffic_Info_Enum version 2.</t>
  </si>
  <si>
    <t>Major update to use DS_TSR protocol instead of TSR protocol as CV supplier has discontinued support for TSR protocol
Replaced VIS_TSR_Approved_Sign_Count, VIS_TSR_Filtered_Sign_Count and VIS_TSR_UnderTracking_Sign_Count with VIS_TSR_Sign_Count
Updated VIS_TSR_Relevancy enumerator with new values. With DS_TSR protocol the new relevancy signal is a combination of old relevancy signal and filter type signal. Filter type signal is removed.
New signals:
VIS_TSR_Tracking_Out_Of_Image
VIS_TSR_Existence_Probability
VIS_TSR_Object_Property
VIS_TSR_Source</t>
  </si>
  <si>
    <t>Peer-reviwede, issues reported</t>
  </si>
  <si>
    <t>*Updated min value for long dist, sign lat dist STD and sign height STD
* Moved INVALID value for sign to Aptiv_Traffic_Info_Enum sheet</t>
  </si>
  <si>
    <t>Approved, referring to Cross-FCN_Definitions version 2 &amp; Aptiv_Traffic_Info_Enum version 3.</t>
  </si>
  <si>
    <t>Added name to Column A (Name). also updated frozen AVI v5</t>
  </si>
  <si>
    <t xml:space="preserve">Corrected spelling of description of VIS_TSR_Sup2_Confidence. </t>
  </si>
  <si>
    <t>8.3</t>
  </si>
  <si>
    <t>Added Periodicity value.</t>
  </si>
  <si>
    <t>8.4</t>
  </si>
  <si>
    <t>Added VIS_TSR_CRC to elements.</t>
  </si>
  <si>
    <t>8.5</t>
  </si>
  <si>
    <t>VIS_TSR_Confidence: corrected Value to NA
Updated Size in G1 to: 13688</t>
  </si>
  <si>
    <t>8.6</t>
  </si>
  <si>
    <t>Delta review done, No issues.</t>
  </si>
  <si>
    <t>8.7</t>
  </si>
  <si>
    <t>Change de the description for VIS_TSR_CRC.</t>
  </si>
  <si>
    <t>Approved.Referring to Aptiv_Traffic_Info_Enum version 4  &amp; Cross-FCN_Definitions version 3</t>
  </si>
  <si>
    <t>Approved. Referring to Aptiv_Traffic_Info_Enum version 5 and  Cross-FCN_Definitions version 3</t>
  </si>
  <si>
    <t>Approved. Referring to Aptiv_Traffic_Info_Enum version 5 and  Cross-FCN_Definitions version 4</t>
  </si>
  <si>
    <t>Added two new signals:
* VIS_TSR_Signtaure_System_Version
* VIS_TSR_ETC_File_Version</t>
  </si>
  <si>
    <t>Peer review done. Size in cell G1 to be corrected</t>
  </si>
  <si>
    <t>Peer review note corrected. Size calcultes by formula now.</t>
  </si>
  <si>
    <t>11.3</t>
  </si>
  <si>
    <t>Added Reference point information</t>
  </si>
  <si>
    <t>11.4</t>
  </si>
  <si>
    <t>Approved. Referring to Aptiv_Traffic_Info_Enum version 6 and  Cross-FCN_Definitions version 5</t>
  </si>
  <si>
    <t>VIS_TSR_DBG_Common_Header</t>
  </si>
  <si>
    <t>VIS_TSR_DBG.Header</t>
  </si>
  <si>
    <t>VIS_TSR_DBG_Num_Of_Objects</t>
  </si>
  <si>
    <t>VIS_TSR_DBG_Obj</t>
  </si>
  <si>
    <t>VIS_TSR_DBG.Element[n_ID], n_ID∈ [0 - 19]</t>
  </si>
  <si>
    <t>AVI_Traffic_Signs_Debug sheet added.</t>
  </si>
  <si>
    <t>Peer-review done, issues reported in the peer-review checklist</t>
  </si>
  <si>
    <t>- common_header signal added, 
- signals names corrected, 
- description for VIS_TSR_DBG_Num_Of_Objects corrected
- max value corrected,
- values corrected</t>
  </si>
  <si>
    <t>Approved.Referring to Cross-FCN_Definitions version 3</t>
  </si>
  <si>
    <t>Document Name:</t>
  </si>
  <si>
    <t>Data Definition</t>
  </si>
  <si>
    <t>Members</t>
  </si>
  <si>
    <t xml:space="preserve">Struct Length (Repetitions) </t>
  </si>
  <si>
    <t>Yaw_PH</t>
  </si>
  <si>
    <t>Pinhole yaw deviation from the chassis Coordinate System</t>
  </si>
  <si>
    <t>[-3.14, 3.14]
INFINITY = INVALID</t>
  </si>
  <si>
    <t>Pitch_PH</t>
  </si>
  <si>
    <t>Pinhole pitch deviation from the chassis  Coordinate System</t>
  </si>
  <si>
    <t>Yaw_px</t>
  </si>
  <si>
    <t>Distorted image yaw deviation from the chassis Coordinate System. Described from image center in sub pixel resolution. Positive to the right in the image.</t>
  </si>
  <si>
    <t>[-500, 500]
INFINITY=INVALID</t>
  </si>
  <si>
    <t>Pitch_px</t>
  </si>
  <si>
    <t>Distorted image pitch deviation from the chassis Coordinate System. Described from image center in sub pixel resolution. Positive upwards in the image.</t>
  </si>
  <si>
    <t>Roll</t>
  </si>
  <si>
    <t>Roll deviation from the chassis  Coordinate System</t>
  </si>
  <si>
    <t>[-0.05, 0.05]
INFINITY = INVALID</t>
  </si>
  <si>
    <t>Height</t>
  </si>
  <si>
    <t>Camera height above road surface. Always given as an absolute/positive value.</t>
  </si>
  <si>
    <t>[0.5, 5]
INFINITY = INVALID</t>
  </si>
  <si>
    <t>Low_Speed</t>
  </si>
  <si>
    <t>ego vehicle driving below minimum speed threshold</t>
  </si>
  <si>
    <t>High_Speed</t>
  </si>
  <si>
    <t>ego vehicle driving above maximum speed threshold</t>
  </si>
  <si>
    <t>Radius</t>
  </si>
  <si>
    <t>ego vehicle driving below minimum radius threshold</t>
  </si>
  <si>
    <t>Acceleration</t>
  </si>
  <si>
    <t>ego vehicle driving outside of acceleration threshold</t>
  </si>
  <si>
    <t>Yaw_rate</t>
  </si>
  <si>
    <t>ego vehicle driving outside of yaw rate threshold</t>
  </si>
  <si>
    <t>Internal</t>
  </si>
  <si>
    <t>other internal reason for pausing calibration</t>
  </si>
  <si>
    <t>Ignition</t>
  </si>
  <si>
    <t>first calibration at the start of a new driving cycle</t>
  </si>
  <si>
    <t>Recalibration</t>
  </si>
  <si>
    <t>Recalibration after a signicant stop such as open door, parking, reduced speed for more than allowed time</t>
  </si>
  <si>
    <t>Insufficient_Distance</t>
  </si>
  <si>
    <t>Insufficent distance to determine whether calibration is in range or out range.</t>
  </si>
  <si>
    <t>Insufficient_Time</t>
  </si>
  <si>
    <t>Calibration Status
0=Not calibrated (NO functionality)
1=Calibrated - NOK, Error (Reason given in separate signal) (NO functionality)
43923=Calibrated -SafeState, safeState within first 5s after transitioning from OOR/Suspected/Invalid to InRange (NO functionality)
48290=Calibrating - Not confirmed (QM functionality)
64273=Calibrated - OK (ASILB functionality)
4294967295=INVALID(default)</t>
  </si>
  <si>
    <t>ENUM:
0=NOT_CALIBRATED
2422=CALIB_NOK_ERROR
43923=CALIB_SAFESTATE
48290=CALIB_NOT_CONFIRMED
64273=CALIB_OK
4294967295=INVALID</t>
  </si>
  <si>
    <t>indicates the progress. 0-100 %</t>
  </si>
  <si>
    <t>[0, 100]
255=INVALID</t>
  </si>
  <si>
    <t>Total elapsed time from the previous calibration convergence or start</t>
  </si>
  <si>
    <t>[0, 3600]
65535=INVALID</t>
  </si>
  <si>
    <t xml:space="preserve">Total elapsed distance from the previous calibration convergence or start </t>
  </si>
  <si>
    <t>[0, 20000]
65535=INVALID</t>
  </si>
  <si>
    <t>OOR_cameraHeight</t>
  </si>
  <si>
    <t>Calibration converged successfully, but result exceeds min/max height</t>
  </si>
  <si>
    <t>OOR_Yaw</t>
  </si>
  <si>
    <t>Calibration converged successfully, but result exceeds min/max yaw angle</t>
  </si>
  <si>
    <t>OOR_Pitch</t>
  </si>
  <si>
    <t>Calibration converged successfully, but result exceeds min/max pitch angle</t>
  </si>
  <si>
    <t>OOR_Yaw_Pitch</t>
  </si>
  <si>
    <t>Calibration converged successfully, but result exceeds min/max pitch and/or yaw angle(TAC,CTAC,SPTAC)</t>
  </si>
  <si>
    <t>OOR_Roll</t>
  </si>
  <si>
    <t>Calibration converged successfully, but result exceeds max roll angle threshold (Online, SPC, TAC,SPTAC)</t>
  </si>
  <si>
    <t>TimeOut_Distance</t>
  </si>
  <si>
    <t>Calibration timed out due to distance traveled (SPC, Online)</t>
  </si>
  <si>
    <t>TimeOut_Time</t>
  </si>
  <si>
    <t>Calibration timed out due to time (SPC, Online)</t>
  </si>
  <si>
    <t>CRC_Failure</t>
  </si>
  <si>
    <t>calculated checksum doesn't equal to CRC in output from Vision processor for maximum allowed period</t>
  </si>
  <si>
    <t>Target_not_found</t>
  </si>
  <si>
    <t>Not all targets / structures are detected (TAC)</t>
  </si>
  <si>
    <t>Params_load_failed</t>
  </si>
  <si>
    <t>Fail to load parameters(TAC)</t>
  </si>
  <si>
    <t>Bad_params_distance</t>
  </si>
  <si>
    <t>Wrong calibration board distance(TAC)</t>
  </si>
  <si>
    <t>Bad_params_square_side_size</t>
  </si>
  <si>
    <t>Square-side size is out of valid logical range—defined target size is too small to be recognized(TAC)</t>
  </si>
  <si>
    <t>Bad_params_target_yaw</t>
  </si>
  <si>
    <t>Target structure are out of the allowed width given the inputs of distances to the target and camera height(TAC)</t>
  </si>
  <si>
    <t>Bad_params_target_horizon</t>
  </si>
  <si>
    <t>Target structure are out of the allowed height given the inputs of distances to the target and camera height(TAC)</t>
  </si>
  <si>
    <t>Too_many_targets</t>
  </si>
  <si>
    <t>Too many targets(TAC)</t>
  </si>
  <si>
    <t>Run_error</t>
  </si>
  <si>
    <t>General run error(TAC)</t>
  </si>
  <si>
    <t>Left_target_not_found</t>
  </si>
  <si>
    <t>No target could be matched with the leftmost target(TAC)</t>
  </si>
  <si>
    <t>Middle_target_not_found</t>
  </si>
  <si>
    <t>No target could be matched for the middle target (relevant for modes with three targets)(TAC)</t>
  </si>
  <si>
    <t>Right_target_not_found</t>
  </si>
  <si>
    <t>No target could be matched with the rightmost target(TAC)</t>
  </si>
  <si>
    <t>Not_enough_saddle_points</t>
  </si>
  <si>
    <t>Not enough saddle points were found in appropriate radius to detect the required amount of targets(TAC)</t>
  </si>
  <si>
    <t>Error_unknown</t>
  </si>
  <si>
    <t>Bug in flow of code. Should not happen. Usually a faulty camera(SPTAC).</t>
  </si>
  <si>
    <t>Error_switch_close_far</t>
  </si>
  <si>
    <t>Indicates a problem with the configuration setting for the 2 target far &amp; close calibration process, where the close and far target are mistaken from each other / switched(SPTAC).</t>
  </si>
  <si>
    <t>Error_same_close_far</t>
  </si>
  <si>
    <t>Indicates a problem with the configuration setting for the 2 target far &amp; close calibration process, where the close and far target are recognized as the same target(SPTAC)</t>
  </si>
  <si>
    <t>Error_line_mismatch</t>
  </si>
  <si>
    <t>Mismatch in alignment of saddle points between recognized target and expected(predefined) target(SPTAC).</t>
  </si>
  <si>
    <t>Error_far_close_roll</t>
  </si>
  <si>
    <t>The difference between the calculated roll angle in the close and far
targets is greater than the allowed difference between the two targets(SPTAC).</t>
  </si>
  <si>
    <t>Error_line_not_found</t>
  </si>
  <si>
    <t>The required minimum amount of acceptable saddle points not detected(SPTAC).</t>
  </si>
  <si>
    <t>Error_bad_image</t>
  </si>
  <si>
    <t>Problem with image processing—make sure environment is properly illuminated (SPTAC).</t>
  </si>
  <si>
    <t>Invalid_parameters</t>
  </si>
  <si>
    <t>Any Input parameter incorrect (CTAC).</t>
  </si>
  <si>
    <t>Target_from_params_out_of_image</t>
  </si>
  <si>
    <t>Parameters of target not plausible(CTAC).</t>
  </si>
  <si>
    <t>Less_Than_Min_Num_Structure_Detected_In_Image</t>
  </si>
  <si>
    <t>number of Structure detected is smaller than minimum requirements(CTAC)</t>
  </si>
  <si>
    <t>Mean_Structure_Radius_Differs_From_Params</t>
  </si>
  <si>
    <t xml:space="preserve"> image Structure(circle) radius detected is inconsistent with radius derived from input parameters(CTAC)</t>
  </si>
  <si>
    <t>Min_num_black_structures_not_found</t>
  </si>
  <si>
    <t>Not enough black structures found(CTAC).</t>
  </si>
  <si>
    <t>Min_num_white_structures_not_found</t>
  </si>
  <si>
    <t>Not enough white structures found(CTAC)</t>
  </si>
  <si>
    <t>Matching_couple_black_structures_not_found</t>
  </si>
  <si>
    <t>Position of black structures not plausible(CTAC)</t>
  </si>
  <si>
    <t>Target_sub_sample_found_more_than_once</t>
  </si>
  <si>
    <t>Too many black structures found(CTAC)</t>
  </si>
  <si>
    <t>Min_number_of_structures_in_target_not_found</t>
  </si>
  <si>
    <t>Not enough structures in calibration board center found(CTAC)</t>
  </si>
  <si>
    <t>Yaw_Pitch_UNSTABLE</t>
  </si>
  <si>
    <t>pitch and yaw results are different between different frames within same CTAC test</t>
  </si>
  <si>
    <t>Image_insufficient_Iight</t>
  </si>
  <si>
    <t xml:space="preserve"> illumination is not enough for completing the test (CTA)</t>
  </si>
  <si>
    <t>Calibration_Not_Yet_Carried_Out</t>
  </si>
  <si>
    <t>calibration has not started (CTAC )</t>
  </si>
  <si>
    <t xml:space="preserve">Calibration run mode.
0=NONE (No calibration active)
1=ONLINE_CAL (On road continuous calibration)
2=INIT_DYN_CAL_1 (Initial Dynamic Calibration in slow mode)
3=INIT_DYN_CAL_2 (Initial Dynamic Calibration in regular mode)
4=STAT_CAL_1 (static calibration with 1 to 3 square- or cone-shaped targets with saddle points)
</t>
  </si>
  <si>
    <t>ENUM:
0=NONE
1=ONLINE_CAL
2=INIT_DYN_CAL_1
3=INIT_DYN_CAL_2
4=STAT_CAL_1
255=INVALID</t>
  </si>
  <si>
    <t xml:space="preserve">First version </t>
  </si>
  <si>
    <t>camera_pose_struct:
- Yaw_PH, Pitch_PH:
   * Max: Changed from 3.14 to INFINITY
   * Vale Added: "[-3.14, 3.14], INFINITY = INVALID
   * Default: Changed from 0 to INFINITY
- Yaw_px, Pitch_px:
   * Max: Changed from 500 to 32767
   * Value: Added [-500, 500], 32767=INVALID
   * Default: Changed from 0 to 32767
   * Type: changed from uint16 to sint16
- Roll:
   * Max: Changed from 0.05 to INFINITY
   * Vale Added: "[-0.05, 0.05], INFINITY = INVALID
   * Default: Changed from 0 to INFINITY
- Height:
   * Max: Changed from 5 to INFINITY
   * Vale Added: "[0.5, 5], INFINITY = INVALID
   * Default: Changed from 0 to INFINITY
pause_reason_struct
- All members:
   * Unit: Changed from bool to NA
   * Type: Changed from uint8 to bool8</t>
  </si>
  <si>
    <t>calibration_status_t:
- Unit: Changed from ENUM to NA
- Max: Changed from 2 to 255
- Value: Added "ENUM:" and 255=INVALID
- Default: Changed from 0 to 255
calibration_progress_t:
- Max: Changed from 100 to 255
- Value: added [0, 100], 255=INVALID
- Default: Changed from 0 to 255
calibration_time_t:
- Unit: Changed from seconds to s
- Max: changed from 3600 to 65535
- Value: Added [0, 3600], 65535=INVALID
- Default: Changed from 0 to 65535
calibration_distance_t:
- Unit: Changed from meters to m
- Max changed from 20000 to 65535
- Value: Added [0, 20000], 65535=INVALID
- Default: changed from 0 to 65535</t>
  </si>
  <si>
    <t>To support AVI_Calibration_Static:
Added structs:
- tac_error_struct
- sptac_error_struct
- ctac_error_struct
Size added for sint16 signals (Size=16)</t>
  </si>
  <si>
    <t>Peer-reviewed. Issues reported</t>
  </si>
  <si>
    <t>Isak Palenius</t>
  </si>
  <si>
    <t>camera_pose_struct.Pitch_px:
- Corrected description from "yaw" to "pitch"
Signals having type bool8 (row 19-54)
- Max changed from 255 to 1
- Changed member names to start with capital letter</t>
  </si>
  <si>
    <t>Delta peer reviewed. No errors found.</t>
  </si>
  <si>
    <t>Misspelling of sptac_error_struct corrected</t>
  </si>
  <si>
    <t>Removed column "ASIL Compliance"</t>
  </si>
  <si>
    <t>reworked (fully) Calibration calibration_status_t
Added calibration_error_reason_struct.
Removed tac_error_struct
Removed sptac_error_struct
Removed ctac_error_struct
Updated pause_reason_struct (added yaw rate as reason)
Updated description of calibration_time_t &amp; calibration_distance_t.</t>
  </si>
  <si>
    <t>Reviewed. Feedback in AVI peer review checklist</t>
  </si>
  <si>
    <t>Updated B53 (empty -&gt; NA)
Wrote out fully CS -&gt;  Coordinate System
Corrected typo "pausible" -&gt; "plausible" for Target_from_params_out_of_image.
Updated description of calibration_status_t</t>
  </si>
  <si>
    <t>Updated descriptions of camera_pose_struct
Added hamming code for calibration_status_t
percent -&gt; NA
error state descriptions 40-45 to be updated</t>
  </si>
  <si>
    <t>Struct length (repetitions) column added and the values filled</t>
  </si>
  <si>
    <t>Update Yaw_px, Pitch_px to support sub pixel resolution. Update description, default values, value span, max value, type and size</t>
  </si>
  <si>
    <t>changed name of "TimeOut - Distance" and "TimeOut - Time" to "TimeOut_Distance" and "TimeOut_Time"</t>
  </si>
  <si>
    <r>
      <rPr>
        <b/>
        <sz val="18"/>
        <color rgb="FF000000"/>
        <rFont val="Calibri"/>
        <family val="2"/>
      </rPr>
      <t>Refine decription and value for calibration_run_mode_t.</t>
    </r>
    <r>
      <rPr>
        <sz val="11"/>
        <color rgb="FF000000"/>
        <rFont val="Calibri"/>
        <family val="2"/>
      </rPr>
      <t xml:space="preserve"> 
2 = INIT_DYN_CAL_1 (Initial Dynamic Clibration at Service ) to 1 = INIT_DYN_CAL_1 (Initial Dynamic Clibration in slow mode )
3 = INIT_DYN_CAL_1 (Initial Dynamic Clibration at Factory) to 1 = INIT_DYN_CAL_1 (Initial Dynamic Clibration in regular mode )
4=STAT_CAL_1 (2-Squared Targets) to 4=STAT_CAL_1 (static calibration with 1 to 3 square- or cone-shaped targets with saddle points)
</t>
    </r>
    <r>
      <rPr>
        <b/>
        <sz val="18"/>
        <color rgb="FF000000"/>
        <rFont val="Calibri"/>
        <family val="2"/>
      </rPr>
      <t>Delete</t>
    </r>
    <r>
      <rPr>
        <b/>
        <sz val="16"/>
        <color rgb="FF000000"/>
        <rFont val="Calibri"/>
        <family val="2"/>
      </rPr>
      <t xml:space="preserve"> 
</t>
    </r>
    <r>
      <rPr>
        <sz val="11"/>
        <color rgb="FF000000"/>
        <rFont val="Calibri"/>
        <family val="2"/>
      </rPr>
      <t>5=STAT_CAL_2 (3-Squared Targets)
6=STAT_CAL_3 (Circular targets)
Error in Max of calibration_status_t. 255-&gt;4294967295(2^32-1 for type uint32)</t>
    </r>
  </si>
  <si>
    <t>Peer-review done. Issues found. Documented in AVI_peer_review checklist</t>
  </si>
  <si>
    <t>Resolved issues on Calibration_Definitions_Rev found during peer_review. Change name of sheet from Calibration_Definition_Rev to Calibration_Definitions_Rev; remove empty raws in Calibration_Definitions_Rev. No change to Calibration_Definitions.</t>
  </si>
  <si>
    <t>Add definition calibrating_reason_struct data type for add signal VIS_Calibration_Current_Calibration_Reason in AVI_Calibration 
Add addition staus 43923=Calibrated -SafeState to meet TSC requirement on VisionSafeSate flag, update description according to status ENUM
Add error reason CRC_Failure to meet TSC requirement
Add following error reasons from SPTAC and CTAC that were not included in previous release
 Less_Than_Min_Num_Structure_Detected_In_Image
Mean_Structure_Radius_Differs_From_Params
Yaw_Pitch_UNSTABLE
CALIBRATION_NOT_YET_CARRIED_OUT
add online, SPC, TAC, CTAC, SPTAC in error description to indicate which type of calibration is reason related to. If no specification, then error is relavent to all modes</t>
  </si>
  <si>
    <t>Solved issues found during peer-review. Change name of members in calibration_error_reason_struct from uppercase
IMAGE_INSUFFICENT_LIGHT-&gt;Image_insufficient_light
CALIBRATION_NOT_YET_CARRIED_OUT-&gt;Calibration_not_yet_varried_out</t>
  </si>
  <si>
    <t>Peer-review done. No issues found. Documented in AVI_peer_review checklist</t>
  </si>
  <si>
    <t>Image Pixel Coordinate System:
X-axis is horizontal position - pointing to the right of the image
Y-axis is vertical position - pointing down of the image
Origin point [0,0]: 
a) horizontal (X): Top left corner of image
b) vertical (Y): Top left corner of image
Reference points on bbox_2D
- Top-Right corner
- Bottom-Left corner</t>
  </si>
  <si>
    <t>It indicates the certainty of the property.
0-low confidence. 1, high confidence</t>
  </si>
  <si>
    <t>[0,1]
INFINITY= INVALID</t>
  </si>
  <si>
    <t>It indicates the probability that an object (vehicle, lane, sign, etc.) exists.
0-low probability. 1, high probability.</t>
  </si>
  <si>
    <t>CRC to be calculated according to standardized CRC-32 as sepcified in the Autodin / Ethernet / ADCCP protocol standards. 
The generator polynomial is: x^32+x^26+x^23+x^22+x^16+x^12+x^11+x^10+x^8+x^7+x^5+x^4+x^2+x^1+x^0.</t>
  </si>
  <si>
    <t>Interface version represented in 16 bits.</t>
  </si>
  <si>
    <t>[0, 65534]
65535=INVALID</t>
  </si>
  <si>
    <t>It indicates the time in micro-seconds.</t>
  </si>
  <si>
    <t> [0, 2^64-2]
2^64-1 = INVALID</t>
  </si>
  <si>
    <t>timestamp_ms_t</t>
  </si>
  <si>
    <t>It indicates the time in mili-seconds.</t>
  </si>
  <si>
    <t>[0, 4294967294]
4294967295 = INVALID</t>
  </si>
  <si>
    <t>frame_id_t</t>
  </si>
  <si>
    <t>It indicates the frame index.</t>
  </si>
  <si>
    <t>Interface version represented in 8 bits.</t>
  </si>
  <si>
    <t>[0, 254]
255=INVALID</t>
  </si>
  <si>
    <t>It indicates the day time.</t>
  </si>
  <si>
    <t>ENUM:
0=DAY
1=NA
2=NIGHT
255=INVALID</t>
  </si>
  <si>
    <t>It indicates the region where the vehicle is being driven in.</t>
  </si>
  <si>
    <t xml:space="preserve">ENUM:
0=WORLD 
1=EUROPE 
2=GULF 
3=USA 
4=CANADA 
5=JAPAN 
6=CHINA 
7=SOUTH_AFRICA 
8=KOREA 
9=AUSTRALIA_AND_NZ 
10=UK 
11=INDIA
12=ISRAEL
13=LATIN
14=IRELAND
15=ASEAN
255=INVALID
</t>
  </si>
  <si>
    <t>It indicates the driving side.</t>
  </si>
  <si>
    <t xml:space="preserve">ENUM:
0=UNKNOWN 
1=LEFT 
2=RIGHT 
255=INVALID
</t>
  </si>
  <si>
    <t xml:space="preserve">0=FALSE 
1=TRUE </t>
  </si>
  <si>
    <t>Describes whether information related to functionality is valid</t>
  </si>
  <si>
    <t>Number of frames that an object (vehicle, lane, sign, etc.) is tracked.
For larger ages than 254, the value saturates at 254.</t>
  </si>
  <si>
    <t>It indicates the ID of an object (vehicle, lane, sign, etc.).</t>
  </si>
  <si>
    <t>[0,255]
65535 = INVALID</t>
  </si>
  <si>
    <t>It indicates whether the object (vehicle, lane mark, etc.) has triggered the SDM (Safety Diagnostic Manager) alert.</t>
  </si>
  <si>
    <t>ENUM:
0=NOT_AVAILABLE
1=TRIGGERED
2=NOT_TRIGGERED
255=INVALID</t>
  </si>
  <si>
    <t>Road type indication.</t>
  </si>
  <si>
    <t>ENUM:
0=UNKNOWN
1=HIGHWAY
2=INTERURBAN
3=URBAN
255=INVALID</t>
  </si>
  <si>
    <t>SW version number.</t>
  </si>
  <si>
    <t>Header_CRC</t>
  </si>
  <si>
    <t>Shall be calculated over all VIS_Function_Header struct's signals, not only common_header_struct signals, but also other signals part of VIS_Function_Header struct.</t>
  </si>
  <si>
    <t>APTIV_Protocol_Version</t>
  </si>
  <si>
    <t>Frame_MCU_TS_Start</t>
  </si>
  <si>
    <t>Timestamp of exposure start expressed in MCU time system in us.</t>
  </si>
  <si>
    <t>Timestamp_ms</t>
  </si>
  <si>
    <t>Timestamp of exposure start expressed in MCU time system in ms.</t>
  </si>
  <si>
    <t>Algo_Frame_ID</t>
  </si>
  <si>
    <t>Index of the frame by frame processed number. Only images processed by algo are assigned a number hence the output will be sequential.</t>
  </si>
  <si>
    <t>Cam_Frame_ID</t>
  </si>
  <si>
    <t>Actual grab index from camera. Not every image is processed by algo however. This may not be sequential as some are dropped. This is what the logger sees on the headers.</t>
  </si>
  <si>
    <t>Protocol_Version</t>
  </si>
  <si>
    <t>Generic counter from [0,254] and 255 as invalid</t>
  </si>
  <si>
    <t>Generic boolean and 255 as invalid</t>
  </si>
  <si>
    <t>ENUM:
0=FALSE_
1=TRUE_
255=INVALID</t>
  </si>
  <si>
    <t xml:space="preserve">It is the gap sensitivity level. If OEM allows this (by setting a parameter in the PWS), then driver can set TTC threshold level to Near, Medium, or Far. This is only for non-AEB functionalities. </t>
  </si>
  <si>
    <t>ENUM:
0=OFF_
1=NEAR_
2=MEDIUM_
3=FAR_
255=INVALID</t>
  </si>
  <si>
    <t>DBG_Obj_ID</t>
  </si>
  <si>
    <t>The original id of the represented debug object.</t>
  </si>
  <si>
    <t>DBG_Rect_Top_X</t>
  </si>
  <si>
    <t>Top right pixel X.</t>
  </si>
  <si>
    <t>[0, 65534]
65535 = INVALID</t>
  </si>
  <si>
    <t>DBG_Rect_Top_Y</t>
  </si>
  <si>
    <t>Top right pixel Y.</t>
  </si>
  <si>
    <t>DBG_Rect_Bottom_X</t>
  </si>
  <si>
    <t>Bottom left pixel X.</t>
  </si>
  <si>
    <t>DBG_Rect_Bottom_Y</t>
  </si>
  <si>
    <t>Bottom left pixel Y.</t>
  </si>
  <si>
    <t>DBG_Rect_Front_Top_Left_X</t>
  </si>
  <si>
    <t>Front top left pixel X.</t>
  </si>
  <si>
    <t>DBG_Rect_Front_Top_Left_Y</t>
  </si>
  <si>
    <t>Front top left pixel Y.</t>
  </si>
  <si>
    <t>DBG_Rect_Front_Top_Right_X</t>
  </si>
  <si>
    <t>Front top right pixel X.</t>
  </si>
  <si>
    <t>DBG_Rect_Front_Top_Right_Y</t>
  </si>
  <si>
    <t>Front top right pixel Y.</t>
  </si>
  <si>
    <t>DBG_Rect_Front_Bottom_Left_X</t>
  </si>
  <si>
    <t>Front bottom left pixel X.</t>
  </si>
  <si>
    <t>DBG_Rect_Front_Bottom_Left_Y</t>
  </si>
  <si>
    <t>Front bottom left pixel Y.</t>
  </si>
  <si>
    <t>DBG_Rect_Front_Bottom_Right_X</t>
  </si>
  <si>
    <t>Front bottom right pixel X.</t>
  </si>
  <si>
    <t>DBG_Rect_Front_Bottom_Right_Y</t>
  </si>
  <si>
    <t>Front bottom right pixel Y.</t>
  </si>
  <si>
    <t>DBG_Rect_Back_Top_Left_X</t>
  </si>
  <si>
    <t>Back top left pixel X.</t>
  </si>
  <si>
    <t>DBG_Rect_Back_Top_Left_Y</t>
  </si>
  <si>
    <t>Back top left pixel Y.</t>
  </si>
  <si>
    <t>DBG_Rect_Back_Top_Right_X</t>
  </si>
  <si>
    <t>Back top right pixel X.</t>
  </si>
  <si>
    <t>DBG_Rect_Back_Top_Right_Y</t>
  </si>
  <si>
    <t>Back top right pixel Y.</t>
  </si>
  <si>
    <t>DBG_Rect_Back_Bottom_Left_X</t>
  </si>
  <si>
    <t>Back bottom left pixel X.</t>
  </si>
  <si>
    <t>DBG_Rect_Back_Bottom_Left_Y</t>
  </si>
  <si>
    <t>Back bottom left pixel Y.</t>
  </si>
  <si>
    <t>DBG_Rect_Back_Bottom_Right_X</t>
  </si>
  <si>
    <t>Back bottom right pixel X.</t>
  </si>
  <si>
    <t>DBG_Rect_Back_Bottom_Right_Y</t>
  </si>
  <si>
    <t>Back bottom right pixel Y.</t>
  </si>
  <si>
    <t>DBG_Line_Points_Number</t>
  </si>
  <si>
    <t>Number of points in line.</t>
  </si>
  <si>
    <t>DBG_Line_Points</t>
  </si>
  <si>
    <t>Points in line. The points shall be ordered in the way they shall be connected, with starting point in first element and last point in last element.</t>
  </si>
  <si>
    <t>line_point_debug_struct</t>
  </si>
  <si>
    <t>DBG_Point_X</t>
  </si>
  <si>
    <t>Pixel X coordinate.</t>
  </si>
  <si>
    <t>DBG_Point_Y</t>
  </si>
  <si>
    <t>Pixel Y coordinate.</t>
  </si>
  <si>
    <t>DBG_Point</t>
  </si>
  <si>
    <t>Debug point coordinates.</t>
  </si>
  <si>
    <t>DBG_Line_Width</t>
  </si>
  <si>
    <t>Line width in pixels.</t>
  </si>
  <si>
    <t>Rect_Front_Top_Left_X</t>
  </si>
  <si>
    <t>Front plane, top left pixel X.
Used for cuboid.</t>
  </si>
  <si>
    <t>[-32768, 32766]
32767 = INVALID</t>
  </si>
  <si>
    <t>Rect_Front_Top_Left_Y</t>
  </si>
  <si>
    <t>Front plane, top left pixel Y.
Used for cuboid.</t>
  </si>
  <si>
    <t>Rect_Front_Top_Right_X</t>
  </si>
  <si>
    <r>
      <t xml:space="preserve">Front plane, top right pixel X.
Used for cuboid only </t>
    </r>
    <r>
      <rPr>
        <sz val="11"/>
        <color rgb="FF000000"/>
        <rFont val="Calibri"/>
        <family val="2"/>
      </rPr>
      <t>or 2D bbox</t>
    </r>
    <r>
      <rPr>
        <sz val="11"/>
        <color rgb="FF000000"/>
        <rFont val="Calibri"/>
        <family val="2"/>
        <charset val="238"/>
      </rPr>
      <t>.</t>
    </r>
  </si>
  <si>
    <t>Rect_Front_Top_Right_Y</t>
  </si>
  <si>
    <r>
      <t xml:space="preserve">Front plane, top right pixel Y.
Used for cuboid only </t>
    </r>
    <r>
      <rPr>
        <sz val="11"/>
        <color rgb="FF000000"/>
        <rFont val="Calibri"/>
        <family val="2"/>
      </rPr>
      <t>or 2D bbox.</t>
    </r>
  </si>
  <si>
    <t>Rect_Front_Bottom_Left_X</t>
  </si>
  <si>
    <t>Front plane, bottom left pixel X.
Used for cuboid only.</t>
  </si>
  <si>
    <t>Rect_Front_Bottom_Left_Y</t>
  </si>
  <si>
    <t>Front plane, bottom left pixel Y.
Used for cuboid only.</t>
  </si>
  <si>
    <t>Rect_Front_Bottom_Right_X</t>
  </si>
  <si>
    <t>Front plane, bottom right pixel X.
Used for cuboid only.</t>
  </si>
  <si>
    <t>Rect_Front_Bottom_Right_Y</t>
  </si>
  <si>
    <t>Front plane, bottom right pixel Y.
Used for cuboid only.</t>
  </si>
  <si>
    <t>Rect_Back_Top_Left_X</t>
  </si>
  <si>
    <t>Back plane, top left pixel X.
Used for cuboid only.</t>
  </si>
  <si>
    <t>Rect_Back_Top_Left_Y</t>
  </si>
  <si>
    <t>Back plane, top left pixel Y.
Used for cuboid only.</t>
  </si>
  <si>
    <t>Rect_Back_Top_Right_X</t>
  </si>
  <si>
    <t>Back plane, top right pixel X.
Used for cuboid only.</t>
  </si>
  <si>
    <t>Rect_Back_Top_Right_Y</t>
  </si>
  <si>
    <t>Back plane, top right pixel Y.
Used for cuboid only.</t>
  </si>
  <si>
    <t>Rect_Back_Bottom_Left_X</t>
  </si>
  <si>
    <r>
      <t>Back plane, bottom left pixel X.
Used for cuboid</t>
    </r>
    <r>
      <rPr>
        <sz val="11"/>
        <color rgb="FF000000"/>
        <rFont val="Calibri"/>
        <family val="2"/>
      </rPr>
      <t xml:space="preserve"> or 2D bbox.</t>
    </r>
  </si>
  <si>
    <t>Rect_Back_Bottom_Left_Y</t>
  </si>
  <si>
    <r>
      <t xml:space="preserve">Back plane, bottom left pixel Y.
Used for cuboid </t>
    </r>
    <r>
      <rPr>
        <sz val="11"/>
        <color rgb="FF000000"/>
        <rFont val="Calibri"/>
        <family val="2"/>
      </rPr>
      <t>or 2D bbox.</t>
    </r>
  </si>
  <si>
    <t>Rect_Back_Bottom_Right_X</t>
  </si>
  <si>
    <t>Back plane, bottom right pixel X.
Used for cuboid only.</t>
  </si>
  <si>
    <t>Rect_Back_Bottom_Right_Y</t>
  </si>
  <si>
    <t>Back plane, bottom right pixel Y.
Used for cuboid only.</t>
  </si>
  <si>
    <t>Inital version.</t>
  </si>
  <si>
    <t>peer reviewed. issues and question marks still exists</t>
  </si>
  <si>
    <t>*Changed ENUM value Unavailable -&gt; INVALID
*changed naming convention
*updated descriptions</t>
  </si>
  <si>
    <t>*track_id_t added
*is_highspeed_road_t changed to bool8 type
*age_t is added
*sw_version_t added</t>
  </si>
  <si>
    <t>sdm_triggered_t added</t>
  </si>
  <si>
    <t>Size reviewed, no issue found.</t>
  </si>
  <si>
    <t>delta peer reviewed from version 0.3 . Approved</t>
  </si>
  <si>
    <t>*added road_type_t
*new values added to region_code_t: 14=IRELAND, 15=ASEAN.</t>
  </si>
  <si>
    <t>Added cv_supplier_t for clarifying Computer Vision supplier.</t>
  </si>
  <si>
    <t>Set ASIL Compliance = NA for all Data Definitions of "_t" type.</t>
  </si>
  <si>
    <t>2.4</t>
  </si>
  <si>
    <t>2.5</t>
  </si>
  <si>
    <t>counter_8bit_t added</t>
  </si>
  <si>
    <t>2.6</t>
  </si>
  <si>
    <t>bool_invalid_t added</t>
  </si>
  <si>
    <t>2.7</t>
  </si>
  <si>
    <t>Removed supplier names. Mapping of # to supplier to be found at vision platform avi confluence page</t>
  </si>
  <si>
    <t>2.8</t>
  </si>
  <si>
    <t>gap_sensitivity_level_t added</t>
  </si>
  <si>
    <t>2.9</t>
  </si>
  <si>
    <t>2D_debug_bbox_struct and 3D_debug_bbox_struct added</t>
  </si>
  <si>
    <t>Repetition column added.
line_debug_struct, point_debug_struct and line_point_debug_struct added</t>
  </si>
  <si>
    <t>2.11</t>
  </si>
  <si>
    <t xml:space="preserve">Renamed repetition column to Struct Length (Repetitions) </t>
  </si>
  <si>
    <t>2.12</t>
  </si>
  <si>
    <t>*Max values corrected for the following signals: DBG_Rect_XX_YY, DBG_Rect_XX_YY_ZZ_W, DBG_Point_XY, DBG_Point members. Was 4000, now is 65535
*Values corrected for 2D_debug_bbox_struct, 3D_debug_bbox_struct,line_debug_struct,point_debug_struct,line_point_debug_struct members, so the specified interval does not contain the INVALID value</t>
  </si>
  <si>
    <t>Delta review done. Issues found</t>
  </si>
  <si>
    <t>2.13</t>
  </si>
  <si>
    <t>Updated according to review comments</t>
  </si>
  <si>
    <t>Changed  name of structs 2D_debug_bbox_struct, 3D_debug_bbox_struct to debug_2D_bbox_struct, debug_3D_bbox_struct</t>
  </si>
  <si>
    <t>Added signals:
- bbox_3D_struct
Added in cell A2:
- Image Pixel Coordinate System definition
- Reference point on 2D bbox</t>
  </si>
  <si>
    <t>VBACC</t>
  </si>
  <si>
    <t>Severe degradation in VD detection and measurement performance</t>
  </si>
  <si>
    <t>TSR</t>
  </si>
  <si>
    <t>Severe degradation in TSR</t>
  </si>
  <si>
    <t>Severe degradation in HLB technology</t>
  </si>
  <si>
    <t>PED_AEB</t>
  </si>
  <si>
    <t>Severe degradation in VRU AEB</t>
  </si>
  <si>
    <t>LD_LC</t>
  </si>
  <si>
    <t>Severe degradation in near lane detection</t>
  </si>
  <si>
    <t>VD_AEB</t>
  </si>
  <si>
    <t>Severe degradation in vehicle AEB</t>
  </si>
  <si>
    <t>RPE</t>
  </si>
  <si>
    <t>Severe degradation in RPE</t>
  </si>
  <si>
    <t>FREE_SPACE</t>
  </si>
  <si>
    <t>Severe degradation in FreeSpace</t>
  </si>
  <si>
    <t>HEATER</t>
  </si>
  <si>
    <t>Recommendation to turn on heater</t>
  </si>
  <si>
    <t>PED_FCW</t>
  </si>
  <si>
    <t>Severe degradation in VRU FCW</t>
  </si>
  <si>
    <t>VD_FCW</t>
  </si>
  <si>
    <t>Severe degradation in vehicle FCW</t>
  </si>
  <si>
    <t>HZB</t>
  </si>
  <si>
    <t>Severe degradation in Hazards Braking</t>
  </si>
  <si>
    <t>HZPE</t>
  </si>
  <si>
    <t xml:space="preserve">Severe degradation in Hazards Pilot Enabler </t>
  </si>
  <si>
    <t>TSR_OUT_OF_CALIB</t>
  </si>
  <si>
    <t>TSR OOC algo indicates that calibration is wrong. This bit will be set when any of the AEB, YAW or HORIZON bits are set.</t>
  </si>
  <si>
    <t>TSR_OUT_OF_CALIB_AEB</t>
  </si>
  <si>
    <t>TSR OOC algo indicated that calibration is severly wrong so that AEB will not be functional</t>
  </si>
  <si>
    <t>TSR_OUT_OF_CALIB_YAW</t>
  </si>
  <si>
    <t>TSR OOC algo indicates that Yaw calibration is wrong</t>
  </si>
  <si>
    <t>TSR_OUT_OF_CALIB_HORIZON</t>
  </si>
  <si>
    <t>TSR OOC algo indicates that Horizon calibration is wrong</t>
  </si>
  <si>
    <t>Failsafe severity level
NOT_READY - failsafe did not converge yet so there is not enough of an indication to determine that there is no failsafe
NONE - No failsafe
25 - Failsafe level is low
50 - Not currently provided
75 - Failsafe level is mid
99 - Failsafe level is high</t>
  </si>
  <si>
    <t>ENUM:
0=NOT_READY
1=NONE
2=SL_25
3=SL_50
4=SL_75
5=SL_99
255=INVALID</t>
  </si>
  <si>
    <t>Updates according to peer review not possible as lacking info from CV supplier. Info requested from CV supplier.</t>
  </si>
  <si>
    <t>Updated description for TSR OOC struct</t>
  </si>
  <si>
    <t>Updated description of TSR_OUT_OF_CALIB bit based on feedback from Eve Shi</t>
  </si>
  <si>
    <t>Added new enumerators for impacted_technologies introduced in SW22.2</t>
  </si>
  <si>
    <t>delta-reviewed, no issue found.</t>
  </si>
  <si>
    <t>On request from Adanced team
Changed naming of severity level enumerators
25 -&gt; SL_25
50 -&gt; SL_50
75 -&gt; SL_75
99 -&gt; SL_99</t>
  </si>
  <si>
    <t>Provided ASIL level.</t>
  </si>
  <si>
    <t>Delta-reviewed, no issue found.</t>
  </si>
  <si>
    <t>Added struct length column</t>
  </si>
  <si>
    <t>AEB_VALIDATION</t>
  </si>
  <si>
    <t>Suppression based on CIPV did not pass AEB-level
confidence thresholds.</t>
  </si>
  <si>
    <t>AEB_MIN_TIME_FOR_AEB_AFTER_AEB</t>
  </si>
  <si>
    <t>Suppression based on minimum time between AEB
warnings threshold. 
Timer begins after an AEB that lasted at least 12 frames at 36
fps.</t>
  </si>
  <si>
    <t>AEB_MAX_YAW_RATE</t>
  </si>
  <si>
    <t>Suppression based on Yaw rate threshold.</t>
  </si>
  <si>
    <t>AEB_MAX_STEERING_ANGLE</t>
  </si>
  <si>
    <t>Suppression based on steering front axle angle threshold.</t>
  </si>
  <si>
    <t>AEB_MAX_DISTANCE</t>
  </si>
  <si>
    <t>Suppression based on maximum distance to target threshold.</t>
  </si>
  <si>
    <t>AEB_MAX_WARN_LENGTH</t>
  </si>
  <si>
    <t>Suppression based on maximum warning length threshold.</t>
  </si>
  <si>
    <t>AEB_MAX_SPEED</t>
  </si>
  <si>
    <t>Suppression based on maximum ego speed threshold.</t>
  </si>
  <si>
    <t>AEB_MIN_SPEED</t>
  </si>
  <si>
    <t>Suppression based on minimum ego speed for AEB
warnings.</t>
  </si>
  <si>
    <t>AEB_LATERAL_AVOIDANCE</t>
  </si>
  <si>
    <t>Suppression based on lateral avoidance thresholds.</t>
  </si>
  <si>
    <t>AEB_MAX_SPEED_REDUCTION</t>
  </si>
  <si>
    <t>Suppression based on maximum ego speed reduction threshold.</t>
  </si>
  <si>
    <t>AEB_MAX_REL_V</t>
  </si>
  <si>
    <t>Suppression based on maximum relative speed threshold.</t>
  </si>
  <si>
    <t>AEB_MIN_REL_V</t>
  </si>
  <si>
    <t>Suppression based on minimum relative speed threshold.</t>
  </si>
  <si>
    <t>AEB_Safety_CRC</t>
  </si>
  <si>
    <t>Suppression based on Safety/ASIL CRC.</t>
  </si>
  <si>
    <t>FCW_Headway_Suppress</t>
  </si>
  <si>
    <t>Suppress based on headway warnings are disabled.</t>
  </si>
  <si>
    <t>FCW_VEH_VEH_OPENING</t>
  </si>
  <si>
    <t>Suppression based on CIPV target speed is higher than ego vehicle speed (CIPV is speeding away).</t>
  </si>
  <si>
    <t>FCW_NOT_READY_TO_ASSIST</t>
  </si>
  <si>
    <t>Suppression based on minimum/maximum
speed envelope</t>
  </si>
  <si>
    <t>FCW_NRTA_UNDER_SPEED</t>
  </si>
  <si>
    <t>Suppression based on minimum speed thresholds</t>
  </si>
  <si>
    <t>FCW_NRTA_OVER_SPEED</t>
  </si>
  <si>
    <t>Suppression based on maximum speed thresholds</t>
  </si>
  <si>
    <t>FCW_ACCELERATION_SUPPRESSION</t>
  </si>
  <si>
    <t>Suppression based on acceleration level threshold, indicating driver awareness.</t>
  </si>
  <si>
    <t>FCW_ACCELERATION_SUPPRESSION_LENGTH</t>
  </si>
  <si>
    <t>Suppression based on minimum time after acceleration suppression threshold.</t>
  </si>
  <si>
    <t>FCW_BRAKING_SUPPRESSION</t>
  </si>
  <si>
    <t>Suppression based on braking pedal pressed for a minimum amount of time, indicating driver awareness.</t>
  </si>
  <si>
    <t>FCW_BRAKING_SUPPRESSION_LENGTH</t>
  </si>
  <si>
    <t>Suppression based on minimum time after braking suppression threshold.</t>
  </si>
  <si>
    <t xml:space="preserve">FCW_AY_AVOID </t>
  </si>
  <si>
    <t>FCW_CLUTCH_SUPPRESSION</t>
  </si>
  <si>
    <t>Relevant only for manual gear cars—
suppression due to changes in clutch that indicate driver is aware.</t>
  </si>
  <si>
    <t>FCW_MINIMUM_TIME_BETWEEN_WARNINGS</t>
  </si>
  <si>
    <t>Suppression based on minimum time from previous warning is not passed.</t>
  </si>
  <si>
    <t>FCW_MAXIMUM_TIME_FOR_WARNING</t>
  </si>
  <si>
    <t>Suppression based on maximum alert time thresholds</t>
  </si>
  <si>
    <t>FCW_ABOVE_MAX_DISTANCE</t>
  </si>
  <si>
    <t xml:space="preserve">Suppression based on maximum distance to target object
for FCW threshold. </t>
  </si>
  <si>
    <t>FCW_ABOVE_MAX_STEERING</t>
  </si>
  <si>
    <t>Suppression based on steering front axle angle FCW
suppression threshold.</t>
  </si>
  <si>
    <t>MAX_SPEED</t>
  </si>
  <si>
    <t xml:space="preserve">EgoSpeed is above maximum speed </t>
  </si>
  <si>
    <t>MIN_SPEED</t>
  </si>
  <si>
    <t xml:space="preserve">EgoSpeed is below minimum speed </t>
  </si>
  <si>
    <t>BRAKE</t>
  </si>
  <si>
    <t>Brake pedal is pressed</t>
  </si>
  <si>
    <t>MAX_YAW_RATE</t>
  </si>
  <si>
    <t xml:space="preserve">Absolute Yaw rate is above maximum  </t>
  </si>
  <si>
    <t>REAR_GEAR</t>
  </si>
  <si>
    <t>Vehicle gear is set to Reverse</t>
  </si>
  <si>
    <t>STEERING_ANGLE</t>
  </si>
  <si>
    <t>Absolute Steering Wheel angle is above maximum</t>
  </si>
  <si>
    <t>It indicates the deceleration in meter per squared seconds</t>
  </si>
  <si>
    <t>[0,12]
INFINITY=INVALID</t>
  </si>
  <si>
    <t>It indicates distance between ego and target.</t>
  </si>
  <si>
    <t>It indicates time up to 10 seconds</t>
  </si>
  <si>
    <t>[0,10]
INFINITY=INVALID</t>
  </si>
  <si>
    <t>It is a counter from 0 to 8, indicating how many alert levels are reported in the message.</t>
  </si>
  <si>
    <t>[0,8]
255=INVALID</t>
  </si>
  <si>
    <t>It indicates if the alert is set.</t>
  </si>
  <si>
    <t>0x9966</t>
  </si>
  <si>
    <t>ENUM:
0x9966=NO_ALERT
0xAA55=ALERT
65535=INVALID</t>
  </si>
  <si>
    <t>It indicates speed up to 100 m/s</t>
  </si>
  <si>
    <t>It indicates time up to 5 seconds</t>
  </si>
  <si>
    <t>It indicates distance up to 10 m</t>
  </si>
  <si>
    <t>It indicates the deceleration up to 10 m/s^2</t>
  </si>
  <si>
    <t>It indicated time to headway target kneepoint</t>
  </si>
  <si>
    <t>[0,2.55]
INFINITY=INVALID</t>
  </si>
  <si>
    <t>It indicates speed knee points</t>
  </si>
  <si>
    <t>[0,255]
INFINITY=INVALID</t>
  </si>
  <si>
    <t>It indicates base speed knee points</t>
  </si>
  <si>
    <t>[0,89.408]
INFINITY=INVALID</t>
  </si>
  <si>
    <t>It indicates time up to 4 seconds</t>
  </si>
  <si>
    <t>It indicates speed knee points correlates to ego relative velocity</t>
  </si>
  <si>
    <t>[0,83.33]
INFINITY=INVALID</t>
  </si>
  <si>
    <t>It indicates time up to 3 seconds</t>
  </si>
  <si>
    <t>It indicates speed kneepoints for AyAvoid</t>
  </si>
  <si>
    <t>It indicates speed up to 40 m/s</t>
  </si>
  <si>
    <t>[0,40]
INFINITY=INVALID</t>
  </si>
  <si>
    <t>Initial version:
Created one Definitions library for all three FCF functionalities.</t>
  </si>
  <si>
    <t>*Introduced alert_t</t>
  </si>
  <si>
    <t>*Updated descriptions
*Updated name of min_dist_t to dist_t</t>
  </si>
  <si>
    <t>Delta from 0.2 peer reviewed. no issues found</t>
  </si>
  <si>
    <t>Approved.</t>
  </si>
  <si>
    <t>*Updated member of alert_suppression_reason_struct from MAX_YAW RATE to MAX_YAW_RATE.
*Updated member of  alert_suppression_reason_cv_struct from MAX_YAW RATE to MAX_YAW_RATE.</t>
  </si>
  <si>
    <t>Defined data definitions:
speed_kneepoint_t
ttc_kneepoint_t
distance_kneepoint_t
deceleration_kneepoint_t</t>
  </si>
  <si>
    <t>Defined data definitions:
*time_to_headway_kneepoint_t
*headway_speed_kneepoint_t
*base_speed_kneepoint_t
*time_4_t
*speed_kneepoint_relative_velocity_t
*time_3_t
*speed_kneepoint_ay_avoid_t
*speed_40_t
Updated Data definitions name and description:
*ttc_t --&gt; time_10_t
*speed_kneepoint_t --&gt; speed_100_t
*ttc_kneepoint_t --&gt; time_5_t
*distance_kneepoint_t --&gt; dist_10_t
*deceleration_kneepoint_t --&gt; deceleration_10_t</t>
  </si>
  <si>
    <t>Color</t>
  </si>
  <si>
    <t>It indicates the lane mark color (first segment only).</t>
  </si>
  <si>
    <t>ENUM:
0=UNDECIDED
1=WHITE
2=YELLOW_ORANGE_RED
3=BLUE_GREEN
255=INVALID</t>
  </si>
  <si>
    <t>Color_Confidence</t>
  </si>
  <si>
    <t>Color confidence (first segment only).</t>
  </si>
  <si>
    <t>It indicates the lane mark classification type.</t>
  </si>
  <si>
    <t xml:space="preserve">ENUM:
0=UNDECIDED
1=SOLID
2=DASHED
3=DLM_SOLID_DASHED
4=DLM_DASHED_SOLID
5=DLM_SOLID_SOLID
6=DLM_DASHED_DASHED
7=DLM_UNDECIDED
8=BOTTS
9=DECEL_SOLID
10=DECEL_DASHED
11=DECEL_UNDECIDED
12=HOV_LANE
255=INVALID
</t>
  </si>
  <si>
    <t>Type_Confidence</t>
  </si>
  <si>
    <t>It indicates how confident is the algorithm of the detected lane mark's type (first segment only).</t>
  </si>
  <si>
    <t>Role</t>
  </si>
  <si>
    <t>It indicates the lane mark role (relation to lane and side within the lane).
Left - ego's host lane, left lanemark
Right - ego's host lane, right lanemark
Left_Right - ego's first adjacent left lane, right lanemarker
Left_Left - ego's first adjacent left lane, left lanemarker
Next_Left_Right - ego's second adjacent left lane, right lanemarker
Next_Left_Left - ego's second adjacent left lane, left lanemarker
Right_Right - ego's first adjacent right lane, right lanemarker
Right_Left - ego's first adjacent right lane, left lanemarker
Next_Right_Right - ego's second adjacent right lane, right lanemarker
Next_Right_Left - ego's second adjacent right lane, left lanemarker</t>
  </si>
  <si>
    <t>ENUM:
0=NONE
1=Left
2=Right
3=Left_Right
4=Left_Left
5=Next_Left_Right
6=Next_Left_Left
7=Right_Right
8=Right_Left
9=Next_Right_Right
10=Next_Right_Left
255 = INVALID</t>
  </si>
  <si>
    <t>Lanemark_Width</t>
  </si>
  <si>
    <t>It indicates the lane mark width.</t>
  </si>
  <si>
    <t>Lanemark_Width_STD</t>
  </si>
  <si>
    <t>It indicates STD of lane mark width .</t>
  </si>
  <si>
    <t>[0, 0.5]
INFINITY=INVALID</t>
  </si>
  <si>
    <t>Dash_Average_Available</t>
  </si>
  <si>
    <t>It indicates if the Dash Average information is Available (first segment only and on Front Camera Only).</t>
  </si>
  <si>
    <t>Dash_Average_Length</t>
  </si>
  <si>
    <t>It indicates average length of each section of dashed line when lane mark is classified as dashed. This is a multi-frame signal. (first segment only and on Front Camera Only).</t>
  </si>
  <si>
    <t>Dash_Average_Gap</t>
  </si>
  <si>
    <t>It indicates average gap between sections of dashed line when lane mark is classified as dashed.  This is a multi-frame signal. (first segment only and on Front Camera Only).</t>
  </si>
  <si>
    <t>Ambiguous</t>
  </si>
  <si>
    <t>When TRUE, it indicates the line pattern is ambiguous. For non-Ford projects and non-host lanes it's set to INVALID.</t>
  </si>
  <si>
    <t>C0</t>
  </si>
  <si>
    <t>Ci is coefficient corresponding to variable with power of 'i'
y(x) = C0 + C1*x + C2*x^2 + C3*x^3.
y represents lateral position at distance x.</t>
  </si>
  <si>
    <t>[-30, 30]
INFINITY = INVALID</t>
  </si>
  <si>
    <t>C1</t>
  </si>
  <si>
    <t>[-2, 2]
INFINITY = INVALID</t>
  </si>
  <si>
    <t>C2</t>
  </si>
  <si>
    <t>1/m</t>
  </si>
  <si>
    <t>[-0.125, 0.125]
INFINITY = INVALID</t>
  </si>
  <si>
    <t>C3</t>
  </si>
  <si>
    <t>1/m^2</t>
  </si>
  <si>
    <t>[-0.004, 0.004]
INFINITY = INVALID</t>
  </si>
  <si>
    <t>Start</t>
  </si>
  <si>
    <t>Longitudinal start point of polynom</t>
  </si>
  <si>
    <t>[0, 200]
INFINITY = INVALID</t>
  </si>
  <si>
    <t>Longitudinal end point of polynom</t>
  </si>
  <si>
    <t>Is_Triggered_SDM_Type</t>
  </si>
  <si>
    <t>If the boundary has triggered SDM Type alert this flag is turned on. SDM stands for Safety Diagnostic Manager.</t>
  </si>
  <si>
    <t>Is_Triggered_SDM_Model</t>
  </si>
  <si>
    <t>If the boundary has triggered SDM Model alert this flag is turned on. SDM stands for Safety Diagnostic Manager.</t>
  </si>
  <si>
    <t>Track_ID</t>
  </si>
  <si>
    <t xml:space="preserve">ID of the boundary model. Each boundarym has its own unique ID which is kept as long as the boundary is tracked. </t>
  </si>
  <si>
    <t>Existence_Probability</t>
  </si>
  <si>
    <t>It indicates the probability that the boundary actually exists.</t>
  </si>
  <si>
    <t>Age</t>
  </si>
  <si>
    <t>Number of frames that this boundary is tracked.</t>
  </si>
  <si>
    <t>Prediction_Reason</t>
  </si>
  <si>
    <t>It indicates the reason if the boundary is predicted.</t>
  </si>
  <si>
    <t>predictionreason_struct</t>
  </si>
  <si>
    <t>Availability_State</t>
  </si>
  <si>
    <t>The boundary can be detected, predicted or unavailable. The boundary is considered predicted only if no segment is detected from the image.</t>
  </si>
  <si>
    <t>ENUM:
0=NOT_AVAILABLE
1=PREDICTED
2=DETECTED
255=INVALID</t>
  </si>
  <si>
    <t>First_Segment</t>
  </si>
  <si>
    <t>The polynomial description of the first segment of the boundary.</t>
  </si>
  <si>
    <t>boundarypolynom_struct</t>
  </si>
  <si>
    <t>Second_Segment</t>
  </si>
  <si>
    <t>The polynomial description of the second segment of the boundary.</t>
  </si>
  <si>
    <t>Multi_Clothoid</t>
  </si>
  <si>
    <t>In case False, only First_Segment is to be used.</t>
  </si>
  <si>
    <t>Crossing</t>
  </si>
  <si>
    <t>The crossing signal is an indication of whether the host vehicle performed boundary crossing.</t>
  </si>
  <si>
    <t>Classification of road edge type.</t>
  </si>
  <si>
    <t>ENUM:
0=UNDECIDED
1=FLAT
2=ELEVATED_STRUCTURE
3=CURB
4=CONES_POLES
5=PARKING_CARS
255=INVALID</t>
  </si>
  <si>
    <t>Combination of road edge side &amp; order.</t>
  </si>
  <si>
    <t>ENUM:
0=UNFILLED
1=LEFT_FIRST
2=LEFT_SECOND
3=RIGHT_FIRST
4=RIGHT_SECOND
255=INVALID</t>
  </si>
  <si>
    <t>Height is only for structural borders.</t>
  </si>
  <si>
    <t>[0, 2]
INFINITY = INVALID</t>
  </si>
  <si>
    <t>Height_STD</t>
  </si>
  <si>
    <t>Standard deviation of road edge height, only available for structural borders.</t>
  </si>
  <si>
    <t>Loss</t>
  </si>
  <si>
    <t>Boundary is predicted since the detection is lost due to weak or no/invisible boundary.</t>
  </si>
  <si>
    <t>Merge</t>
  </si>
  <si>
    <t>Boundary is predicted since it merges with another boundary.</t>
  </si>
  <si>
    <t>Shadow</t>
  </si>
  <si>
    <t>Boundary is predicted since a guard rail casts a shadow on road's surface and there is a risk that the algorithm will choose the shadow, rather than the correct boundary.</t>
  </si>
  <si>
    <t>Diverging</t>
  </si>
  <si>
    <t>Boundary is predicted since the detected boundary diverges from the lane.</t>
  </si>
  <si>
    <t>Occluded</t>
  </si>
  <si>
    <t>Boundary is predicted since it's occluded by a preceding vehicle.</t>
  </si>
  <si>
    <t>Headway</t>
  </si>
  <si>
    <t>When a detected boundary's view range is short, it is predicted in order to provide 1-2 seconds headway.</t>
  </si>
  <si>
    <t>Polynom</t>
  </si>
  <si>
    <t>The polynomial description of the boundary</t>
  </si>
  <si>
    <t>Measured_VR_End</t>
  </si>
  <si>
    <t>End of longitudinal measured view range of boundary</t>
  </si>
  <si>
    <t>*Updated:
lanemark_struct
polynom_struct
boundary_struct
roadedge_struct
predictionreason_struct
boundarypolynom_struct</t>
  </si>
  <si>
    <t>sdm_triggered_t type used for Is_Triggered_SDM_Type &amp; Is_Triggered_SDM_Model.</t>
  </si>
  <si>
    <t>Updated Description of boundary_struct members</t>
  </si>
  <si>
    <t>Size reviewed, FALSE/NA values corrected manually.</t>
  </si>
  <si>
    <t>Peer-reviewe issues fixed</t>
  </si>
  <si>
    <t>*added new member Height_STD to roadedge_struct.</t>
  </si>
  <si>
    <t>roadedge_struct member Type value 1=ROAD_EDGE changed to FLAT.</t>
  </si>
  <si>
    <t>Moved comments from value field into description field for lanemark_struct role</t>
  </si>
  <si>
    <t>Updated the values of lanemark_struct Ambiguous a sper Advance team feedback:
0=FALSE_
1=TRUE_
255=INVALID</t>
  </si>
  <si>
    <t>polynom_struct.start 
- changed Value range from [-200,200] to [0,200]
polynom_struct.end
- changed Value range from [-200,200] to [0,200]</t>
  </si>
  <si>
    <t>Delta review done, issues reported..</t>
  </si>
  <si>
    <t>Updated the values of lanemark_struct Ambiguous, using bool_inv_t type.</t>
  </si>
  <si>
    <t>Updated the type to match cross function definition type name from bool_inv_t to bool_invalid_t</t>
  </si>
  <si>
    <t>Updated values of lanemark_struct Role as per review. Added value:
 255 = INVALID</t>
  </si>
  <si>
    <t>Karolina Woźnak</t>
  </si>
  <si>
    <t>Delta review v3.7 done, no issues found.</t>
  </si>
  <si>
    <t>TAIL_LIGHT</t>
  </si>
  <si>
    <t>Tail lights of preceeding vehicle detected</t>
  </si>
  <si>
    <t>ONCOMING</t>
  </si>
  <si>
    <t>Headlamps of oncoming vehicle detected</t>
  </si>
  <si>
    <t>ONCOMING_GRACE</t>
  </si>
  <si>
    <t>Delay after headlamps of oncoming vehicle is not detected anymore.</t>
  </si>
  <si>
    <t>TAIL_LIGHT_GRACE</t>
  </si>
  <si>
    <t>Delay after tail lights of preceeding vehicle is not detected anymore.</t>
  </si>
  <si>
    <t>LOW_SPEED</t>
  </si>
  <si>
    <t>Host vehicle speed is lower than a defined lowest speed for enabling high beam.</t>
  </si>
  <si>
    <t>STREET_LIGHTS</t>
  </si>
  <si>
    <t>Street lamps detected</t>
  </si>
  <si>
    <t>SL_SCENE_GRACE</t>
  </si>
  <si>
    <t>Delay after street lamps is not detected anymore</t>
  </si>
  <si>
    <t>BRIGHT_SCENE</t>
  </si>
  <si>
    <t>Host vehicle is in an environment with high ambient light level</t>
  </si>
  <si>
    <t>OBVIOUSLY_BRIGHT_SCENE</t>
  </si>
  <si>
    <t>Host vehicle is in an environment with very high ambient light level</t>
  </si>
  <si>
    <t>LIT_NIGHT</t>
  </si>
  <si>
    <t>Combination of ambient light level and street lights indicates that we are in city area</t>
  </si>
  <si>
    <t>LIT_NIGHT_US</t>
  </si>
  <si>
    <t>Combination of ambient light level ,street lights and host speed indicates that we are in city area according to US regulation</t>
  </si>
  <si>
    <t>LIT_NIGHT_ECE</t>
  </si>
  <si>
    <t>Combination of ambient light level,  street lights and host speed indicates that we are in city area according to UN-ECE regulation</t>
  </si>
  <si>
    <t>IN_VERY_SHARPE_CURVE</t>
  </si>
  <si>
    <t>Host vehicle is in a very sharp curve</t>
  </si>
  <si>
    <t>IN_CURVE</t>
  </si>
  <si>
    <t>Host vehicle is in a curve</t>
  </si>
  <si>
    <t>IN_BLINKING_TRAFFICLIGHT_SCENE</t>
  </si>
  <si>
    <t>Host vehicle is in a scenario with blinking traffic lights</t>
  </si>
  <si>
    <t>APPROACHING_JUNCTION</t>
  </si>
  <si>
    <t>Host vehicle is approaching junction</t>
  </si>
  <si>
    <t>APPROACHING_ROUNDABOUT</t>
  </si>
  <si>
    <t>Host vehicle is approaching roundabout</t>
  </si>
  <si>
    <t>IN_ROUNDABOUT</t>
  </si>
  <si>
    <t>Host vehicle is in roundabout</t>
  </si>
  <si>
    <t>TUNNEL</t>
  </si>
  <si>
    <t>Host vehicle is in tunnel</t>
  </si>
  <si>
    <t>NOISY_SCENE</t>
  </si>
  <si>
    <t>Scene is very cluttered so that no meaningful detection can be done.</t>
  </si>
  <si>
    <t>LIGHT_CONE</t>
  </si>
  <si>
    <t>Reflection of oncoming vehicle on the guardrail in a curve</t>
  </si>
  <si>
    <t>Running mode of light detection functionality</t>
  </si>
  <si>
    <t>ENUM:
1=HLB_OFF
2=HLB_INACTIVE
3=HLB_FULL
255=INVALID</t>
  </si>
  <si>
    <t>Reason for HLB inactive</t>
  </si>
  <si>
    <t>ENUM:
1=OBVIOUSLY_BRIGHT
2=LOW_DETECTION_RATE
3=OVER_FLOW
4=IN_GRACE
5=DEACTIVATED
6=DUSK_DELAY
255=INVALID</t>
  </si>
  <si>
    <t>HLB descision</t>
  </si>
  <si>
    <t>ENUM:
0=UNKNOWN
1=HIGH (high beam on)
2=LOW (high beam off)
255=INVALID</t>
  </si>
  <si>
    <t>[0,20]
INFINITY=INVALID</t>
  </si>
  <si>
    <t>OVERTAKING</t>
  </si>
  <si>
    <t>Light cluster is on overtaking vehicle</t>
  </si>
  <si>
    <t>STATIONARY_CROSSING</t>
  </si>
  <si>
    <t>Light  cluster is on stationary/ crossing vehicle</t>
  </si>
  <si>
    <t>EMERGENCY_VEHICLE</t>
  </si>
  <si>
    <t>Light  cluster is on emergency vehicle</t>
  </si>
  <si>
    <t>TRUCK</t>
  </si>
  <si>
    <t>Light cluster is on truck</t>
  </si>
  <si>
    <t>BIKE</t>
  </si>
  <si>
    <t>Light  cluster is on motorcycle</t>
  </si>
  <si>
    <t>SINGLE_BAR</t>
  </si>
  <si>
    <t>Light  cluster  is a single bar (not separated tail lamp)</t>
  </si>
  <si>
    <t>OUTSIDE_MAIN_FOV</t>
  </si>
  <si>
    <t>Parts of light cluster is outside of FOV</t>
  </si>
  <si>
    <t>OC_FROM_CURVE</t>
  </si>
  <si>
    <t>Light cluster is oncoming from curve</t>
  </si>
  <si>
    <t>Added description of struct members</t>
  </si>
  <si>
    <t>Added 2 new struct members to ls_reason_struct. Added missed struct member IN_ROUNDABOUT</t>
  </si>
  <si>
    <t>delta peer-review done, no issue found.</t>
  </si>
  <si>
    <t>Filled column ''ASIL Compliance''</t>
  </si>
  <si>
    <t>Delta peer-review done, no issue found.</t>
  </si>
  <si>
    <t>New_Or_Old</t>
  </si>
  <si>
    <t>New (New_Or_Old=0) if this is the first frame in which the object is reported.
Old  (New_Or_Old=1) if this is not the first frame in which the object is reported.</t>
  </si>
  <si>
    <t>ENUM:
0 = New
1 = Old
255=INVALID</t>
  </si>
  <si>
    <t>Predicted_Measured</t>
  </si>
  <si>
    <t>Predicted marks if the report has been predicted forward in time using the measured
dynamics and ego motion.
Measured marks if the report is raw.</t>
  </si>
  <si>
    <t>ENUM:
0 = Predicted
1 = Measured
255=INVALID</t>
  </si>
  <si>
    <t>Other</t>
  </si>
  <si>
    <t>Emergency light color other than red, blue or orange.
It may be several colors in parallell</t>
  </si>
  <si>
    <t>Red</t>
  </si>
  <si>
    <t>Emergency light color is red.
It may be several colors in parallell</t>
  </si>
  <si>
    <t>Blue</t>
  </si>
  <si>
    <t>Emergency light color is blue.
It may be several colors in parallell.</t>
  </si>
  <si>
    <t>Orange</t>
  </si>
  <si>
    <t>Emergency light color is orange.
It may be several colors in parallell.</t>
  </si>
  <si>
    <t>Motion_Status</t>
  </si>
  <si>
    <t>MOVING - the object is moving
STATIONARY - the object was never seen moving
STOPPED -  the object was moving and has stopped
MOVING_SLOWLY - the object is moving very slowly.</t>
  </si>
  <si>
    <t>ENUM:
0=UNKNOWN
2=MOVING
3=STATIONARY
4=STOPPED
5=MOVING_SLOWLY
255=INVALID</t>
  </si>
  <si>
    <t>Motion_Orientation</t>
  </si>
  <si>
    <t>The direction of the targets heading compared to the host.
UNKNOWN - Undecided, or too far to be sure
NORTH_EAST - Heading angle to the right*, in same direction as the host.
EAST - Crossing from left (to right)*
SOUTH_EAST - Heading angle to the right*, in opposite direction to the host.
SOUTH - Heading in the opposite direction of the host
SOUTH_WEST Heading angle to the left* generally in opposite direction to the host.
WEST Crossing from right (to left)*
NORTH_WEST Heading angle to the left*, in same direction as the host.
NORTH Heading in the same direction as the host.
*) RIGHT and LEFT refer to the direction of the target as observed from the host vehicle.</t>
  </si>
  <si>
    <t>ENUM:
0=UNKNOWN
1=NORTH_EAST
3=EAST
5=SOUTH_EAST
6=SOUTH
7=SOUTH_WEST
9=WEST
11=NORTH_WEST
12=NORTH
255=INVALID</t>
  </si>
  <si>
    <t>Motion_Category</t>
  </si>
  <si>
    <t>Relevant for VD only. Full description of values can be found at the ACC guide. Extended Description: 
UNDEFINED - Undecided, or too far to be sure
PASSING - Target detected as passing in/out candidate with a very small or unknown relative motion
PASSING_IN - Next lane target overtaking host
PASSING_OUT - Next lane target overtaken by host
CLOSE_CUT_IN - Target cutting in at a close range 
MOVING_IN - Far range target entering the host lane
MOVING_OUT - Target leaving the host lane
CROSSING - Target in movement orthogonally to the host
LTAP - Oncoming target operating left turn across the host path
RTAP - Oncoming target operating right turn across the host path
MOVING - Target moving and direction unknown (would rarely, if ever, be used)
PRECEDING - Target moving in host's direction and none of the above
ONCOMING - Target moving  opposed to host's direction and none of the above.</t>
  </si>
  <si>
    <t>ENUM:
0=UNDEFINED
1=PASSING
2=PASSING_IN
3=PASSING_OUT
4=CLOSE_CUT_IN
5=MOVING_IN
6=MOVING_OUT
7=CROSSING
8=LTAP
9=RTAP
10=MOVING
11=PRECEDING
12=ONCOMING
255=INVALID</t>
  </si>
  <si>
    <t>Brake_Light</t>
  </si>
  <si>
    <t>Brake lights active</t>
  </si>
  <si>
    <t>Turn_Indicator_Right</t>
  </si>
  <si>
    <t>Right turn indicator active</t>
  </si>
  <si>
    <t>Turn_Indicator_Left</t>
  </si>
  <si>
    <t>Left turn indicator active</t>
  </si>
  <si>
    <t>Width</t>
  </si>
  <si>
    <t>The width of the target vehicle in the world (not to be mistaken with the width of the visible part of the vehicle).
Relevant for Vehicle measurement only.</t>
  </si>
  <si>
    <t>[0.4, 2.95]
INFINITY = INVALID</t>
  </si>
  <si>
    <t>Width_STD</t>
  </si>
  <si>
    <t>Standard deviation of Width.
Relevant for Vehicle measurement only</t>
  </si>
  <si>
    <t>Length</t>
  </si>
  <si>
    <t>The length of the vehicle in the world. For crossing bicycles it gives the viewed length of the bicycle.
Relevant for Vehicle measurment only. For pedestrians it is not valid and for crossing bicycles it gives the viewed length of the bicycle.</t>
  </si>
  <si>
    <t>[0.6, 21]
INFINITY = INVALID</t>
  </si>
  <si>
    <t>Length_STD</t>
  </si>
  <si>
    <t>Standard deviation of Length.</t>
  </si>
  <si>
    <t>The height of the object in the world.</t>
  </si>
  <si>
    <t>[0, 2.95]
INFINITY = INVALID</t>
  </si>
  <si>
    <t>Standard deviation of Height.</t>
  </si>
  <si>
    <t>Abs_Long_Velocity</t>
  </si>
  <si>
    <t>The longitudinal ground speed of the object.</t>
  </si>
  <si>
    <t>Abs_Long_Velocity_STD</t>
  </si>
  <si>
    <t>Standard deviation of Abs_Long_Velocity.</t>
  </si>
  <si>
    <t>Abs_Lat_Velocity</t>
  </si>
  <si>
    <t>The lateral ground speed of the object.</t>
  </si>
  <si>
    <t>[-50, 50]
INFINITY = INVALID</t>
  </si>
  <si>
    <t>Abs_Lat_Velocity_STD</t>
  </si>
  <si>
    <t>Standard deviation of Abs_Lat_Velocity.</t>
  </si>
  <si>
    <t>Abs_Long_Acc</t>
  </si>
  <si>
    <t>The longitudinal ground acceleration of the object.</t>
  </si>
  <si>
    <t>m/s2</t>
  </si>
  <si>
    <t>[-10, 10]
INFINITY = INVALID</t>
  </si>
  <si>
    <t>Abs_Long_Acc_STD</t>
  </si>
  <si>
    <t>Standard deviation of Abs_Long_Acc.</t>
  </si>
  <si>
    <t>[0, 7.3]
INFINITY = INVALID</t>
  </si>
  <si>
    <t>Abs_Lat_Acc</t>
  </si>
  <si>
    <t>The lateral ground acceleration of the object.</t>
  </si>
  <si>
    <t>Abs_Lat_Acc_STD</t>
  </si>
  <si>
    <t>Standard deviation of Abs_Lat_Acc.</t>
  </si>
  <si>
    <t>Abs_Acceleration</t>
  </si>
  <si>
    <t>The absolute ground acceleration in the target's heading direction.</t>
  </si>
  <si>
    <t>[-12.7, 12.7]
INFINITY = INVALID</t>
  </si>
  <si>
    <t>Abs_Acc_STD</t>
  </si>
  <si>
    <t>Standard deviation of Abs_Acceleration.</t>
  </si>
  <si>
    <t>Relative_Long_Acc</t>
  </si>
  <si>
    <t>The relative longitudinal ground acceleration between the object and the ego vehicle.</t>
  </si>
  <si>
    <t>[-20, 20]
INFINITY = INVALID</t>
  </si>
  <si>
    <t>Relative_Long_Acc_STD</t>
  </si>
  <si>
    <t>Standard deviation of Relative_Long_Acc.</t>
  </si>
  <si>
    <t>Relative_Long_Velocity</t>
  </si>
  <si>
    <t>The relative longitudinal velocity between the target and ego vehicle.</t>
  </si>
  <si>
    <t>[-20, 130]
INFINITY = INVALID</t>
  </si>
  <si>
    <t>Relative_Long_Velocity_STD</t>
  </si>
  <si>
    <t>Standard deviation of Relative_Long_Velocity.</t>
  </si>
  <si>
    <t>[0, 130]
INFINITY = INVALID</t>
  </si>
  <si>
    <t>Relative_Lat_Velocity</t>
  </si>
  <si>
    <t>The relative lateral velocity between the target and ego vehicle.</t>
  </si>
  <si>
    <t>Relative_Lat_Velocity_STD</t>
  </si>
  <si>
    <t>Standard deviation of Relative_Lat_Velocity.</t>
  </si>
  <si>
    <t>Long_Distance</t>
  </si>
  <si>
    <t>The longitudinal distance to middle of the rear bumper (middle of the RL and RR corners) of the target.
To find the distance to the closest point one needs to look at the PS_length if the vehicle is oncoming and if it has a high theta value the closest corner can be derived also from PS_heading and PS_width
For GO and Animals as well, not ASIL</t>
  </si>
  <si>
    <t>[-200, 500]
INFINITY = INVALID</t>
  </si>
  <si>
    <t>Long_Distance_STD</t>
  </si>
  <si>
    <t>Standard deviation of Long_Distance.</t>
  </si>
  <si>
    <t>[0, 250]
INFINITY = INVALID</t>
  </si>
  <si>
    <t>Lat_Distance</t>
  </si>
  <si>
    <t>Lateral distance to the middle of the Rear-Left and Rear-Right corners.
To find the distance to the closest point one needs to look at the PS_width and if it has a high theta value the closest corner can be derived also from PS_heading and PS_length
For GO and Animals as well, not ASIL</t>
  </si>
  <si>
    <t>Lat_Distance_STD</t>
  </si>
  <si>
    <t>Standard deviation of Lat_Distance.</t>
  </si>
  <si>
    <t>Absolute_Speed</t>
  </si>
  <si>
    <t>The absolute ground speed in the targets' heading direction.</t>
  </si>
  <si>
    <t>[-65, 65]
INFINITY = INVALID</t>
  </si>
  <si>
    <t>Absolute_Speed_STD</t>
  </si>
  <si>
    <t>Standard deviation of Absolute_Speed.</t>
  </si>
  <si>
    <t>[0, 65]
INFINITY = INVALID</t>
  </si>
  <si>
    <t>Heading</t>
  </si>
  <si>
    <t>The angle between the host longitudinal axis and target's heading (clockwise, e.g. PI/2 is a target crossing from left to right).</t>
  </si>
  <si>
    <t>Heading_STD</t>
  </si>
  <si>
    <t>Standard deviation of Heading.</t>
  </si>
  <si>
    <t>[0, 3.14]
INFINITY = INVALID</t>
  </si>
  <si>
    <t>Angle_Rate_STD</t>
  </si>
  <si>
    <t>Standard deviation of Angle_Rate.</t>
  </si>
  <si>
    <t>[0, 2.2318]
INFINITY = INVALID</t>
  </si>
  <si>
    <t>Angle_Rate</t>
  </si>
  <si>
    <t>The momentary angular speed of the object.</t>
  </si>
  <si>
    <t>[-2.234, 2.234]
INFINITY = INVALID</t>
  </si>
  <si>
    <t>Angle_Right</t>
  </si>
  <si>
    <t>The angle between the host longitudinal axis and the right side of the front / rear of the target (the visible one). The positive side is to the host's right.
For GO and Animals as well, not ASIL.</t>
  </si>
  <si>
    <t>[-1.571, 1.571]
INFINITY = INVALID</t>
  </si>
  <si>
    <t>Angle_Right_STD</t>
  </si>
  <si>
    <t>Standard deviation of Angle_Right.</t>
  </si>
  <si>
    <t>[0, 1.571]
INFINITY = INVALID</t>
  </si>
  <si>
    <t>Angle_Left</t>
  </si>
  <si>
    <t>The angle between the host longitudinal axis and the left side of the front / rear of the target (the visible one). The positive side is to the host's right. 
For GO and Animals as well, not ASIL.</t>
  </si>
  <si>
    <t>Angle_Left_STD</t>
  </si>
  <si>
    <t>Standard deviation of Angle_Left.</t>
  </si>
  <si>
    <t>Angle_Side</t>
  </si>
  <si>
    <t>The angle between the host longitudinal axis and the far visible edge - the visible edge of the front / rear of the target that is not visible. Relevant for Vehicle measurement only.</t>
  </si>
  <si>
    <t>Angle_Side_STD</t>
  </si>
  <si>
    <t>Standard deviation of Angle_Side.</t>
  </si>
  <si>
    <t>Angle_Mid</t>
  </si>
  <si>
    <t>The angle between the host longitudinal axis and the middle of the front / rear of the target (the visible one). The positive side is to the host's right.</t>
  </si>
  <si>
    <t>Angle_Mid_STD</t>
  </si>
  <si>
    <t>Standard deviation of Angle_Mid.</t>
  </si>
  <si>
    <t>Angle_Bottom</t>
  </si>
  <si>
    <t>The angle between the longitudinal axis and the Bottom of the front / rear of the target (the visible one). The positive side is to the host's up (pitch).
For GO and Animals as well, not ASIL</t>
  </si>
  <si>
    <t>Angle_Bottom_STD</t>
  </si>
  <si>
    <t>Standard deviation of Angle_Bottom.</t>
  </si>
  <si>
    <t>Size entered manually for all signals (type is_valid_t) giving "FALSE" by macros</t>
  </si>
  <si>
    <t>In light_indicator_struct:
- Removed signal Light_Indicator_Validity
- Added signal Brake_Light_Validity
- Added signal Turn_Indicator_Validity
In physical_state_struct:
- Length: 
     Changed Min from 1.2 to 0.6 [m]</t>
  </si>
  <si>
    <t>delta-review done, issue is marked red, suggestion is marked orange.</t>
  </si>
  <si>
    <t>- Length:
     Changed Value from  [1.2, 21] to [0.6, 21]
Changed type from bool8 to validity_t (and Min, Max; Value accordingly):
- Brake_Light_Valid
- Turn_Indicator_Valid</t>
  </si>
  <si>
    <t>Clarified description for:
- Brake_Light_Valid
- Turn_Indicator_Valid</t>
  </si>
  <si>
    <t>measuring_status_struct:
- Removed signal Valid
- Changed signal Old:
   - Member name: From Old to New_Or_Old
   - Clarified description
   - Type: from bool8 to uint8
   - Max: from 1 to 255
   - Value: from [0=FALSE, 1=TRUE] to [ENUM 0=NEW, 1=OLD, 255=INVALID]
   - Default from 0 to 255
emergency_light_color_struct:
- Removed signal Valid
light_indicator_struct:
- Removed signal Brake_Light_Valid
- Removed signal Turn_Indicator_Valid</t>
  </si>
  <si>
    <t>delta-review done, No issue found.</t>
  </si>
  <si>
    <t>Name of Relative_Long_Vel_STD changed to Relative_Long_Velocity_STD</t>
  </si>
  <si>
    <t>Added ASIL B Compliance information</t>
  </si>
  <si>
    <t>emergency_light_color_struct,
light_indicator_struct:
- Changed type from bool8 to bool_invalid_t
- Changed Min, Max, Value and Default to NA</t>
  </si>
  <si>
    <t>Added column "Struct Length (Repetitions)"</t>
  </si>
  <si>
    <t>- Changed motion_state_struct Motion_Category enumeration order to make mapping easier</t>
  </si>
  <si>
    <t>Peer review. No issues found.</t>
  </si>
  <si>
    <t>Reversed previous change of enumeration for motion_state_struct Motion_Category</t>
  </si>
  <si>
    <t>Peer reviewed. No issue found.</t>
  </si>
  <si>
    <t>Indicates the relevance of the property.
0-low relevance. 1, high relevance</t>
  </si>
  <si>
    <t>Traffic_Lights_Definitions sheet created
- relevance_t created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</si>
</sst>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0.0000"/>
    <numFmt numFmtId="166" formatCode="yyyymmdd"/>
    <numFmt numFmtId="167" formatCode="[$-409]h:mm\ AM/PM;@"/>
    <numFmt numFmtId="168" formatCode="#,##0.000"/>
    <numFmt numFmtId="169" formatCode="yyyy/mm/dd;@"/>
  </numFmts>
  <fonts count="76">
    <font>
      <sz val="11"/>
      <color theme="1"/>
      <name val="Calibri"/>
      <family val="2"/>
      <charset val="238"/>
      <scheme val="minor"/>
    </font>
    <font>
      <sz val="11"/>
      <color theme="1"/>
      <name val="Calibri"/>
      <family val="2"/>
      <scheme val="minor"/>
    </font>
    <font>
      <b/>
      <sz val="11"/>
      <color theme="1"/>
      <name val="Calibri"/>
      <family val="2"/>
      <charset val="238"/>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sz val="11"/>
      <name val="Calibri"/>
      <family val="2"/>
      <scheme val="minor"/>
    </font>
    <font>
      <sz val="10"/>
      <name val="Calibri"/>
      <family val="2"/>
      <scheme val="minor"/>
    </font>
    <font>
      <sz val="11"/>
      <color rgb="FF000000"/>
      <name val="Calibri"/>
      <family val="2"/>
      <scheme val="minor"/>
    </font>
    <font>
      <sz val="10"/>
      <color rgb="FF000000"/>
      <name val="Calibri"/>
      <family val="2"/>
      <scheme val="minor"/>
    </font>
    <font>
      <b/>
      <sz val="10"/>
      <color theme="1"/>
      <name val="Calibri"/>
      <family val="2"/>
      <charset val="238"/>
      <scheme val="minor"/>
    </font>
    <font>
      <b/>
      <sz val="11"/>
      <name val="Calibri"/>
      <family val="2"/>
      <charset val="238"/>
      <scheme val="minor"/>
    </font>
    <font>
      <sz val="11"/>
      <color theme="1"/>
      <name val="Calibri"/>
      <family val="2"/>
      <charset val="238"/>
      <scheme val="minor"/>
    </font>
    <font>
      <sz val="10"/>
      <color theme="1"/>
      <name val="Calibri"/>
      <family val="2"/>
      <charset val="238"/>
      <scheme val="minor"/>
    </font>
    <font>
      <sz val="11"/>
      <color rgb="FF9C0006"/>
      <name val="Calibri"/>
      <family val="2"/>
      <charset val="177"/>
      <scheme val="minor"/>
    </font>
    <font>
      <sz val="11"/>
      <color theme="1"/>
      <name val="Calibri"/>
      <family val="2"/>
      <charset val="177"/>
      <scheme val="minor"/>
    </font>
    <font>
      <b/>
      <sz val="12"/>
      <color theme="1"/>
      <name val="Calibri"/>
      <family val="2"/>
      <scheme val="minor"/>
    </font>
    <font>
      <sz val="10"/>
      <color rgb="FF000000"/>
      <name val="Calibri"/>
      <family val="2"/>
      <charset val="238"/>
      <scheme val="minor"/>
    </font>
    <font>
      <sz val="10"/>
      <color theme="1"/>
      <name val="Calibri"/>
      <family val="2"/>
    </font>
    <font>
      <sz val="11"/>
      <name val="Calibri"/>
      <family val="2"/>
      <charset val="238"/>
      <scheme val="minor"/>
    </font>
    <font>
      <i/>
      <sz val="11"/>
      <color indexed="23"/>
      <name val="Calibri"/>
      <family val="2"/>
    </font>
    <font>
      <sz val="11"/>
      <name val="Calibri"/>
      <family val="2"/>
      <charset val="177"/>
      <scheme val="minor"/>
    </font>
    <font>
      <b/>
      <sz val="11"/>
      <color rgb="FF3F3F3F"/>
      <name val="Calibri"/>
      <family val="2"/>
      <scheme val="minor"/>
    </font>
    <font>
      <b/>
      <sz val="11"/>
      <color rgb="FF000000"/>
      <name val="Calibri"/>
      <family val="2"/>
      <charset val="177"/>
      <scheme val="minor"/>
    </font>
    <font>
      <b/>
      <sz val="11"/>
      <color rgb="FF000000"/>
      <name val="Calibri"/>
      <family val="2"/>
      <scheme val="minor"/>
    </font>
    <font>
      <sz val="11"/>
      <color rgb="FF3F3F3F"/>
      <name val="Calibri"/>
      <family val="2"/>
      <scheme val="minor"/>
    </font>
    <font>
      <sz val="11"/>
      <color rgb="FF3F3F3F"/>
      <name val="Calibri"/>
      <family val="2"/>
      <charset val="177"/>
      <scheme val="minor"/>
    </font>
    <font>
      <b/>
      <sz val="11"/>
      <color theme="0"/>
      <name val="Calibri"/>
      <family val="2"/>
      <charset val="238"/>
      <scheme val="minor"/>
    </font>
    <font>
      <sz val="11"/>
      <color rgb="FF444444"/>
      <name val="Calibri"/>
      <family val="2"/>
      <charset val="1"/>
    </font>
    <font>
      <u/>
      <sz val="11"/>
      <color theme="10"/>
      <name val="Calibri"/>
      <family val="2"/>
      <charset val="238"/>
      <scheme val="minor"/>
    </font>
    <font>
      <b/>
      <sz val="11"/>
      <color theme="5" tint="-0.249977111117893"/>
      <name val="Calibri"/>
      <family val="2"/>
      <charset val="238"/>
      <scheme val="minor"/>
    </font>
    <font>
      <sz val="11"/>
      <color rgb="FF000000"/>
      <name val="Calibri"/>
      <family val="2"/>
      <charset val="238"/>
      <scheme val="minor"/>
    </font>
    <font>
      <b/>
      <sz val="10"/>
      <color rgb="FF000000"/>
      <name val="Calibri"/>
      <family val="2"/>
      <charset val="238"/>
    </font>
    <font>
      <sz val="11"/>
      <color rgb="FF000000"/>
      <name val="Calibri"/>
      <family val="2"/>
      <charset val="238"/>
    </font>
    <font>
      <sz val="10"/>
      <name val="Calibri"/>
      <family val="2"/>
    </font>
    <font>
      <b/>
      <sz val="11"/>
      <color rgb="FF000000"/>
      <name val="Calibri"/>
      <family val="2"/>
    </font>
    <font>
      <sz val="11"/>
      <name val="Calibri"/>
      <family val="2"/>
    </font>
    <font>
      <sz val="11"/>
      <color rgb="FF000000"/>
      <name val="Calibri"/>
      <family val="2"/>
    </font>
    <font>
      <b/>
      <sz val="11"/>
      <color rgb="FF000000"/>
      <name val="Calibri"/>
      <family val="2"/>
      <charset val="238"/>
    </font>
    <font>
      <b/>
      <sz val="10"/>
      <color rgb="FF000000"/>
      <name val="Calibri"/>
      <family val="2"/>
    </font>
    <font>
      <sz val="10"/>
      <color rgb="FF000000"/>
      <name val="Calibri"/>
      <family val="2"/>
    </font>
    <font>
      <b/>
      <sz val="10"/>
      <name val="Calibri"/>
      <family val="2"/>
    </font>
    <font>
      <b/>
      <sz val="10"/>
      <color rgb="FF000000"/>
      <name val="Calibri"/>
      <family val="2"/>
      <charset val="238"/>
      <scheme val="minor"/>
    </font>
    <font>
      <u/>
      <sz val="11"/>
      <color theme="10"/>
      <name val="Calibri"/>
      <family val="2"/>
      <charset val="177"/>
      <scheme val="minor"/>
    </font>
    <font>
      <strike/>
      <sz val="11"/>
      <color theme="1"/>
      <name val="Calibri"/>
      <family val="2"/>
      <charset val="238"/>
      <scheme val="minor"/>
    </font>
    <font>
      <sz val="10"/>
      <color rgb="FF444444"/>
      <name val="Calibri"/>
      <family val="2"/>
      <charset val="1"/>
    </font>
    <font>
      <sz val="11"/>
      <color rgb="FF9C0006"/>
      <name val="Calibri"/>
      <family val="2"/>
      <scheme val="minor"/>
    </font>
    <font>
      <sz val="11"/>
      <color rgb="FF000000"/>
      <name val="Calibri"/>
      <family val="2"/>
      <charset val="177"/>
    </font>
    <font>
      <sz val="11"/>
      <color rgb="FF172B4D"/>
      <name val="Calibri"/>
      <family val="2"/>
    </font>
    <font>
      <b/>
      <sz val="11"/>
      <color rgb="FF444444"/>
      <name val="Calibri"/>
      <family val="2"/>
      <charset val="1"/>
    </font>
    <font>
      <sz val="10"/>
      <name val="Calibri"/>
      <family val="2"/>
      <charset val="238"/>
      <scheme val="minor"/>
    </font>
    <font>
      <sz val="11"/>
      <color rgb="FF444444"/>
      <name val="Calibri"/>
      <family val="2"/>
    </font>
    <font>
      <b/>
      <sz val="11"/>
      <color rgb="FF000000"/>
      <name val="Calibri"/>
      <family val="2"/>
      <charset val="238"/>
      <scheme val="minor"/>
    </font>
    <font>
      <b/>
      <sz val="11"/>
      <color rgb="FFFFFFFF"/>
      <name val="Calibri"/>
      <family val="2"/>
    </font>
    <font>
      <sz val="8"/>
      <name val="Calibri"/>
      <family val="2"/>
      <charset val="238"/>
      <scheme val="minor"/>
    </font>
    <font>
      <sz val="11"/>
      <color rgb="FF3F3F3F"/>
      <name val="Calibri"/>
      <family val="2"/>
      <charset val="238"/>
      <scheme val="minor"/>
    </font>
    <font>
      <sz val="11"/>
      <color rgb="FF006100"/>
      <name val="Calibri"/>
      <family val="2"/>
      <scheme val="minor"/>
    </font>
    <font>
      <sz val="10"/>
      <color rgb="FF444444"/>
      <name val="Calibri"/>
      <family val="2"/>
    </font>
    <font>
      <sz val="11"/>
      <color rgb="FF444444"/>
      <name val="Calibri"/>
      <family val="2"/>
      <charset val="238"/>
      <scheme val="minor"/>
    </font>
    <font>
      <sz val="11"/>
      <color rgb="FF000000"/>
      <name val="Courier New"/>
      <family val="3"/>
    </font>
    <font>
      <b/>
      <u/>
      <sz val="11"/>
      <color theme="10"/>
      <name val="Calibri"/>
      <family val="2"/>
      <scheme val="minor"/>
    </font>
    <font>
      <b/>
      <u/>
      <sz val="11"/>
      <color theme="10"/>
      <name val="Calibri"/>
      <family val="2"/>
      <charset val="238"/>
      <scheme val="minor"/>
    </font>
    <font>
      <sz val="11"/>
      <color rgb="FFFF0000"/>
      <name val="Calibri"/>
      <family val="2"/>
      <charset val="238"/>
      <scheme val="minor"/>
    </font>
    <font>
      <sz val="10"/>
      <color rgb="FFFF0000"/>
      <name val="Calibri"/>
      <family val="2"/>
    </font>
    <font>
      <b/>
      <sz val="11"/>
      <color rgb="FFFF0000"/>
      <name val="Calibri"/>
      <family val="2"/>
      <charset val="238"/>
      <scheme val="minor"/>
    </font>
    <font>
      <sz val="26"/>
      <color rgb="FFFF0000"/>
      <name val="Calibri"/>
      <family val="2"/>
      <charset val="238"/>
      <scheme val="minor"/>
    </font>
    <font>
      <b/>
      <sz val="11"/>
      <color rgb="FFFFFFFF"/>
      <name val="Calibri"/>
      <family val="2"/>
      <charset val="238"/>
    </font>
    <font>
      <sz val="11"/>
      <color rgb="FF242424"/>
      <name val="-Apple-System"/>
      <charset val="1"/>
    </font>
    <font>
      <sz val="11"/>
      <color theme="1"/>
      <name val="Calibri"/>
      <family val="2"/>
      <charset val="1"/>
    </font>
    <font>
      <sz val="11"/>
      <color rgb="FF000000"/>
      <name val="Calibri"/>
      <family val="2"/>
      <charset val="1"/>
    </font>
    <font>
      <sz val="10"/>
      <color rgb="FF000000"/>
      <name val="Calibri"/>
      <family val="2"/>
      <charset val="238"/>
    </font>
    <font>
      <sz val="10"/>
      <name val="Calibri"/>
      <family val="2"/>
      <charset val="238"/>
    </font>
    <font>
      <b/>
      <sz val="18"/>
      <color rgb="FF000000"/>
      <name val="Calibri"/>
      <family val="2"/>
    </font>
    <font>
      <b/>
      <sz val="16"/>
      <color rgb="FF000000"/>
      <name val="Calibri"/>
      <family val="2"/>
    </font>
    <font>
      <b/>
      <u/>
      <sz val="10"/>
      <color theme="10"/>
      <name val="Calibri"/>
      <family val="2"/>
      <charset val="238"/>
      <scheme val="minor"/>
    </font>
  </fonts>
  <fills count="25">
    <fill>
      <patternFill patternType="none"/>
    </fill>
    <fill>
      <patternFill patternType="gray125"/>
    </fill>
    <fill>
      <patternFill patternType="solid">
        <fgColor theme="7" tint="0.39997558519241921"/>
        <bgColor indexed="64"/>
      </patternFill>
    </fill>
    <fill>
      <patternFill patternType="solid">
        <fgColor rgb="FFFFD966"/>
        <bgColor indexed="64"/>
      </patternFill>
    </fill>
    <fill>
      <patternFill patternType="solid">
        <fgColor rgb="FFFFC7CE"/>
      </patternFill>
    </fill>
    <fill>
      <patternFill patternType="solid">
        <fgColor theme="0" tint="-0.14999847407452621"/>
        <bgColor indexed="64"/>
      </patternFill>
    </fill>
    <fill>
      <patternFill patternType="solid">
        <fgColor theme="0"/>
        <bgColor indexed="64"/>
      </patternFill>
    </fill>
    <fill>
      <patternFill patternType="solid">
        <fgColor rgb="FFD9D9D9"/>
        <bgColor indexed="64"/>
      </patternFill>
    </fill>
    <fill>
      <patternFill patternType="solid">
        <fgColor theme="0" tint="-0.14996795556505021"/>
        <bgColor indexed="64"/>
      </patternFill>
    </fill>
    <fill>
      <patternFill patternType="solid">
        <fgColor rgb="FFD0CECE"/>
        <bgColor indexed="64"/>
      </patternFill>
    </fill>
    <fill>
      <patternFill patternType="solid">
        <fgColor theme="9" tint="0.79998168889431442"/>
        <bgColor theme="9" tint="0.79998168889431442"/>
      </patternFill>
    </fill>
    <fill>
      <patternFill patternType="solid">
        <fgColor rgb="FFF2F2F2"/>
      </patternFill>
    </fill>
    <fill>
      <patternFill patternType="solid">
        <fgColor theme="9"/>
        <bgColor theme="9"/>
      </patternFill>
    </fill>
    <fill>
      <patternFill patternType="solid">
        <fgColor rgb="FFFFD966"/>
        <bgColor rgb="FF000000"/>
      </patternFill>
    </fill>
    <fill>
      <patternFill patternType="solid">
        <fgColor rgb="FFDBDBDB"/>
        <bgColor rgb="FF000000"/>
      </patternFill>
    </fill>
    <fill>
      <patternFill patternType="solid">
        <fgColor rgb="FFD9D9D9"/>
        <bgColor rgb="FF000000"/>
      </patternFill>
    </fill>
    <fill>
      <patternFill patternType="solid">
        <fgColor rgb="FFFFE699"/>
        <bgColor indexed="64"/>
      </patternFill>
    </fill>
    <fill>
      <patternFill patternType="solid">
        <fgColor rgb="FFFFFFFF"/>
        <bgColor rgb="FF000000"/>
      </patternFill>
    </fill>
    <fill>
      <patternFill patternType="solid">
        <fgColor rgb="FFFFFF00"/>
        <bgColor indexed="64"/>
      </patternFill>
    </fill>
    <fill>
      <patternFill patternType="solid">
        <fgColor indexed="9"/>
        <bgColor indexed="64"/>
      </patternFill>
    </fill>
    <fill>
      <patternFill patternType="solid">
        <fgColor rgb="FF70AD47"/>
        <bgColor rgb="FF70AD47"/>
      </patternFill>
    </fill>
    <fill>
      <patternFill patternType="solid">
        <fgColor theme="7" tint="0.59999389629810485"/>
        <bgColor indexed="64"/>
      </patternFill>
    </fill>
    <fill>
      <patternFill patternType="solid">
        <fgColor rgb="FFC6EFCE"/>
      </patternFill>
    </fill>
    <fill>
      <patternFill patternType="solid">
        <fgColor rgb="FFE2EFDA"/>
        <bgColor indexed="64"/>
      </patternFill>
    </fill>
    <fill>
      <patternFill patternType="solid">
        <fgColor rgb="FFFFFFFF"/>
        <bgColor indexed="64"/>
      </patternFill>
    </fill>
  </fills>
  <borders count="208">
    <border>
      <left/>
      <right/>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indexed="64"/>
      </bottom>
      <diagonal/>
    </border>
    <border>
      <left style="thin">
        <color rgb="FF000000"/>
      </left>
      <right/>
      <top style="thin">
        <color rgb="FF000000"/>
      </top>
      <bottom style="thin">
        <color indexed="64"/>
      </bottom>
      <diagonal/>
    </border>
    <border>
      <left/>
      <right style="thin">
        <color rgb="FF000000"/>
      </right>
      <top style="thin">
        <color rgb="FF000000"/>
      </top>
      <bottom style="thin">
        <color indexed="64"/>
      </bottom>
      <diagonal/>
    </border>
    <border>
      <left style="thin">
        <color rgb="FF3F3F3F"/>
      </left>
      <right style="thin">
        <color rgb="FF3F3F3F"/>
      </right>
      <top style="thin">
        <color rgb="FF3F3F3F"/>
      </top>
      <bottom style="thin">
        <color rgb="FF3F3F3F"/>
      </bottom>
      <diagonal/>
    </border>
    <border>
      <left/>
      <right style="thin">
        <color rgb="FF000000"/>
      </right>
      <top/>
      <bottom/>
      <diagonal/>
    </border>
    <border>
      <left/>
      <right style="thin">
        <color rgb="FF000000"/>
      </right>
      <top/>
      <bottom style="thin">
        <color rgb="FF000000"/>
      </bottom>
      <diagonal/>
    </border>
    <border>
      <left style="thin">
        <color rgb="FF000000"/>
      </left>
      <right/>
      <top style="thin">
        <color rgb="FF000000"/>
      </top>
      <bottom/>
      <diagonal/>
    </border>
    <border>
      <left style="thin">
        <color rgb="FF000000"/>
      </left>
      <right/>
      <top/>
      <bottom style="thin">
        <color rgb="FF000000"/>
      </bottom>
      <diagonal/>
    </border>
    <border>
      <left/>
      <right/>
      <top/>
      <bottom style="thin">
        <color auto="1"/>
      </bottom>
      <diagonal/>
    </border>
    <border>
      <left/>
      <right/>
      <top/>
      <bottom style="thin">
        <color rgb="FF000000"/>
      </bottom>
      <diagonal/>
    </border>
    <border>
      <left/>
      <right/>
      <top style="thin">
        <color rgb="FF000000"/>
      </top>
      <bottom style="thin">
        <color rgb="FF000000"/>
      </bottom>
      <diagonal/>
    </border>
    <border>
      <left style="medium">
        <color rgb="FF000000"/>
      </left>
      <right style="thin">
        <color indexed="64"/>
      </right>
      <top/>
      <bottom/>
      <diagonal/>
    </border>
    <border>
      <left style="thin">
        <color auto="1"/>
      </left>
      <right style="thin">
        <color indexed="64"/>
      </right>
      <top/>
      <bottom style="medium">
        <color rgb="FF000000"/>
      </bottom>
      <diagonal/>
    </border>
    <border>
      <left style="thin">
        <color auto="1"/>
      </left>
      <right style="medium">
        <color rgb="FF000000"/>
      </right>
      <top/>
      <bottom style="medium">
        <color rgb="FF000000"/>
      </bottom>
      <diagonal/>
    </border>
    <border>
      <left style="thin">
        <color indexed="64"/>
      </left>
      <right style="medium">
        <color rgb="FF000000"/>
      </right>
      <top/>
      <bottom/>
      <diagonal/>
    </border>
    <border>
      <left/>
      <right/>
      <top style="thin">
        <color rgb="FF000000"/>
      </top>
      <bottom/>
      <diagonal/>
    </border>
    <border>
      <left style="medium">
        <color rgb="FF000000"/>
      </left>
      <right style="thin">
        <color indexed="64"/>
      </right>
      <top/>
      <bottom style="thin">
        <color indexed="64"/>
      </bottom>
      <diagonal/>
    </border>
    <border>
      <left/>
      <right/>
      <top/>
      <bottom style="thin">
        <color rgb="FFA9D08E"/>
      </bottom>
      <diagonal/>
    </border>
    <border>
      <left style="thin">
        <color rgb="FFA9D08E"/>
      </left>
      <right/>
      <top/>
      <bottom style="thin">
        <color rgb="FFA9D08E"/>
      </bottom>
      <diagonal/>
    </border>
    <border>
      <left/>
      <right style="thin">
        <color rgb="FFA9D08E"/>
      </right>
      <top/>
      <bottom style="thin">
        <color rgb="FFA9D08E"/>
      </bottom>
      <diagonal/>
    </border>
    <border>
      <left style="thin">
        <color rgb="FFA9D08E"/>
      </left>
      <right/>
      <top/>
      <bottom/>
      <diagonal/>
    </border>
    <border>
      <left/>
      <right style="thin">
        <color rgb="FFA9D08E"/>
      </right>
      <top/>
      <bottom/>
      <diagonal/>
    </border>
    <border>
      <left/>
      <right style="thin">
        <color theme="9" tint="0.39997558519241921"/>
      </right>
      <top/>
      <bottom/>
      <diagonal/>
    </border>
    <border>
      <left style="medium">
        <color indexed="64"/>
      </left>
      <right style="thin">
        <color rgb="FF000000"/>
      </right>
      <top style="medium">
        <color indexed="64"/>
      </top>
      <bottom style="thin">
        <color rgb="FF000000"/>
      </bottom>
      <diagonal/>
    </border>
    <border>
      <left style="thin">
        <color rgb="FF000000"/>
      </left>
      <right/>
      <top style="medium">
        <color indexed="64"/>
      </top>
      <bottom style="thin">
        <color rgb="FF000000"/>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diagonal/>
    </border>
    <border>
      <left/>
      <right/>
      <top/>
      <bottom style="medium">
        <color indexed="64"/>
      </bottom>
      <diagonal/>
    </border>
    <border>
      <left style="thin">
        <color indexed="64"/>
      </left>
      <right/>
      <top style="medium">
        <color indexed="64"/>
      </top>
      <bottom style="thin">
        <color indexed="64"/>
      </bottom>
      <diagonal/>
    </border>
    <border>
      <left style="medium">
        <color indexed="64"/>
      </left>
      <right/>
      <top/>
      <bottom/>
      <diagonal/>
    </border>
    <border>
      <left style="thin">
        <color rgb="FF000000"/>
      </left>
      <right style="medium">
        <color indexed="64"/>
      </right>
      <top style="thin">
        <color rgb="FF000000"/>
      </top>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rgb="FF000000"/>
      </left>
      <right style="thin">
        <color rgb="FF000000"/>
      </right>
      <top style="medium">
        <color rgb="FF000000"/>
      </top>
      <bottom style="medium">
        <color rgb="FF000000"/>
      </bottom>
      <diagonal/>
    </border>
    <border>
      <left/>
      <right style="thin">
        <color rgb="FF000000"/>
      </right>
      <top style="medium">
        <color rgb="FF000000"/>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bottom style="medium">
        <color rgb="FF000000"/>
      </bottom>
      <diagonal/>
    </border>
    <border>
      <left/>
      <right style="thin">
        <color indexed="64"/>
      </right>
      <top style="medium">
        <color rgb="FF000000"/>
      </top>
      <bottom style="thin">
        <color indexed="64"/>
      </bottom>
      <diagonal/>
    </border>
    <border>
      <left/>
      <right style="thin">
        <color rgb="FF000000"/>
      </right>
      <top/>
      <bottom style="medium">
        <color rgb="FF000000"/>
      </bottom>
      <diagonal/>
    </border>
    <border>
      <left style="thin">
        <color auto="1"/>
      </left>
      <right style="thin">
        <color auto="1"/>
      </right>
      <top style="medium">
        <color rgb="FF000000"/>
      </top>
      <bottom style="medium">
        <color rgb="FF000000"/>
      </bottom>
      <diagonal/>
    </border>
    <border>
      <left/>
      <right/>
      <top style="thin">
        <color auto="1"/>
      </top>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thin">
        <color indexed="64"/>
      </left>
      <right style="thin">
        <color indexed="64"/>
      </right>
      <top style="medium">
        <color rgb="FF000000"/>
      </top>
      <bottom/>
      <diagonal/>
    </border>
    <border>
      <left style="thin">
        <color indexed="64"/>
      </left>
      <right style="medium">
        <color rgb="FF000000"/>
      </right>
      <top style="medium">
        <color rgb="FF000000"/>
      </top>
      <bottom/>
      <diagonal/>
    </border>
    <border>
      <left style="thin">
        <color theme="9" tint="0.39997558519241921"/>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indexed="64"/>
      </right>
      <top/>
      <bottom style="thin">
        <color auto="1"/>
      </bottom>
      <diagonal/>
    </border>
    <border>
      <left style="thin">
        <color indexed="64"/>
      </left>
      <right style="thin">
        <color indexed="64"/>
      </right>
      <top style="thin">
        <color rgb="FF000000"/>
      </top>
      <bottom style="thin">
        <color indexed="64"/>
      </bottom>
      <diagonal/>
    </border>
    <border>
      <left/>
      <right/>
      <top style="thin">
        <color theme="9" tint="0.39997558519241921"/>
      </top>
      <bottom/>
      <diagonal/>
    </border>
    <border>
      <left style="thin">
        <color indexed="64"/>
      </left>
      <right style="thin">
        <color rgb="FF000000"/>
      </right>
      <top style="thin">
        <color rgb="FF000000"/>
      </top>
      <bottom style="thin">
        <color rgb="FF000000"/>
      </bottom>
      <diagonal/>
    </border>
    <border>
      <left style="thin">
        <color theme="9" tint="0.39997558519241921"/>
      </left>
      <right/>
      <top style="thin">
        <color theme="9" tint="0.39997558519241921"/>
      </top>
      <bottom/>
      <diagonal/>
    </border>
    <border>
      <left/>
      <right style="thin">
        <color theme="9" tint="0.39997558519241921"/>
      </right>
      <top style="thin">
        <color theme="9" tint="0.39997558519241921"/>
      </top>
      <bottom/>
      <diagonal/>
    </border>
    <border>
      <left style="thin">
        <color indexed="64"/>
      </left>
      <right/>
      <top style="medium">
        <color rgb="FF000000"/>
      </top>
      <bottom style="thin">
        <color indexed="64"/>
      </bottom>
      <diagonal/>
    </border>
    <border>
      <left style="thin">
        <color rgb="FF000000"/>
      </left>
      <right style="thin">
        <color rgb="FF000000"/>
      </right>
      <top style="medium">
        <color rgb="FF000000"/>
      </top>
      <bottom/>
      <diagonal/>
    </border>
    <border>
      <left style="medium">
        <color rgb="FF000000"/>
      </left>
      <right style="thin">
        <color auto="1"/>
      </right>
      <top style="medium">
        <color rgb="FF000000"/>
      </top>
      <bottom/>
      <diagonal/>
    </border>
    <border>
      <left style="medium">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right style="medium">
        <color indexed="64"/>
      </right>
      <top style="medium">
        <color indexed="64"/>
      </top>
      <bottom style="thin">
        <color rgb="FF000000"/>
      </bottom>
      <diagonal/>
    </border>
    <border>
      <left style="thin">
        <color indexed="64"/>
      </left>
      <right/>
      <top style="medium">
        <color indexed="64"/>
      </top>
      <bottom/>
      <diagonal/>
    </border>
    <border>
      <left style="thin">
        <color indexed="64"/>
      </left>
      <right style="thin">
        <color rgb="FF000000"/>
      </right>
      <top style="medium">
        <color rgb="FF000000"/>
      </top>
      <bottom style="thin">
        <color auto="1"/>
      </bottom>
      <diagonal/>
    </border>
    <border>
      <left/>
      <right/>
      <top style="medium">
        <color rgb="FF000000"/>
      </top>
      <bottom style="thin">
        <color auto="1"/>
      </bottom>
      <diagonal/>
    </border>
    <border>
      <left style="thin">
        <color rgb="FF000000"/>
      </left>
      <right style="medium">
        <color rgb="FF000000"/>
      </right>
      <top style="medium">
        <color rgb="FF000000"/>
      </top>
      <bottom/>
      <diagonal/>
    </border>
    <border>
      <left style="medium">
        <color indexed="64"/>
      </left>
      <right/>
      <top style="medium">
        <color indexed="64"/>
      </top>
      <bottom style="thin">
        <color auto="1"/>
      </bottom>
      <diagonal/>
    </border>
    <border>
      <left/>
      <right style="thin">
        <color auto="1"/>
      </right>
      <top style="medium">
        <color indexed="64"/>
      </top>
      <bottom style="thin">
        <color auto="1"/>
      </bottom>
      <diagonal/>
    </border>
    <border>
      <left style="thin">
        <color rgb="FF000000"/>
      </left>
      <right/>
      <top style="medium">
        <color rgb="FF000000"/>
      </top>
      <bottom style="thin">
        <color rgb="FF000000"/>
      </bottom>
      <diagonal/>
    </border>
    <border>
      <left/>
      <right style="thin">
        <color rgb="FF000000"/>
      </right>
      <top/>
      <bottom style="thin">
        <color auto="1"/>
      </bottom>
      <diagonal/>
    </border>
    <border>
      <left style="thin">
        <color rgb="FF000000"/>
      </left>
      <right/>
      <top/>
      <bottom style="thin">
        <color auto="1"/>
      </bottom>
      <diagonal/>
    </border>
    <border>
      <left/>
      <right/>
      <top style="medium">
        <color indexed="64"/>
      </top>
      <bottom style="thin">
        <color auto="1"/>
      </bottom>
      <diagonal/>
    </border>
    <border>
      <left style="medium">
        <color indexed="64"/>
      </left>
      <right style="medium">
        <color rgb="FF000000"/>
      </right>
      <top/>
      <bottom/>
      <diagonal/>
    </border>
    <border>
      <left style="medium">
        <color indexed="64"/>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right style="thin">
        <color indexed="64"/>
      </right>
      <top style="medium">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style="thin">
        <color auto="1"/>
      </left>
      <right style="thin">
        <color auto="1"/>
      </right>
      <top/>
      <bottom style="thin">
        <color rgb="FF000000"/>
      </bottom>
      <diagonal/>
    </border>
    <border>
      <left style="medium">
        <color rgb="FF000000"/>
      </left>
      <right/>
      <top/>
      <bottom style="medium">
        <color rgb="FF000000"/>
      </bottom>
      <diagonal/>
    </border>
    <border>
      <left/>
      <right style="thin">
        <color auto="1"/>
      </right>
      <top style="medium">
        <color indexed="64"/>
      </top>
      <bottom/>
      <diagonal/>
    </border>
    <border>
      <left style="thin">
        <color indexed="64"/>
      </left>
      <right style="thin">
        <color rgb="FF000000"/>
      </right>
      <top/>
      <bottom/>
      <diagonal/>
    </border>
    <border>
      <left style="thin">
        <color auto="1"/>
      </left>
      <right style="thin">
        <color rgb="FF000000"/>
      </right>
      <top style="medium">
        <color rgb="FF000000"/>
      </top>
      <bottom style="medium">
        <color rgb="FF000000"/>
      </bottom>
      <diagonal/>
    </border>
    <border>
      <left style="thin">
        <color auto="1"/>
      </left>
      <right style="thin">
        <color rgb="FF000000"/>
      </right>
      <top/>
      <bottom style="medium">
        <color rgb="FF000000"/>
      </bottom>
      <diagonal/>
    </border>
    <border>
      <left/>
      <right style="thin">
        <color rgb="FF000000"/>
      </right>
      <top style="medium">
        <color rgb="FF000000"/>
      </top>
      <bottom style="thin">
        <color rgb="FF000000"/>
      </bottom>
      <diagonal/>
    </border>
    <border>
      <left/>
      <right style="medium">
        <color rgb="FF000000"/>
      </right>
      <top style="medium">
        <color indexed="64"/>
      </top>
      <bottom style="thin">
        <color auto="1"/>
      </bottom>
      <diagonal/>
    </border>
    <border>
      <left style="thin">
        <color indexed="64"/>
      </left>
      <right style="medium">
        <color rgb="FF000000"/>
      </right>
      <top style="medium">
        <color indexed="64"/>
      </top>
      <bottom/>
      <diagonal/>
    </border>
    <border>
      <left/>
      <right style="medium">
        <color rgb="FF000000"/>
      </right>
      <top style="medium">
        <color rgb="FF000000"/>
      </top>
      <bottom style="thin">
        <color auto="1"/>
      </bottom>
      <diagonal/>
    </border>
    <border>
      <left/>
      <right style="medium">
        <color rgb="FF000000"/>
      </right>
      <top style="medium">
        <color rgb="FF000000"/>
      </top>
      <bottom style="thin">
        <color rgb="FF000000"/>
      </bottom>
      <diagonal/>
    </border>
    <border>
      <left/>
      <right style="medium">
        <color rgb="FF000000"/>
      </right>
      <top style="thin">
        <color rgb="FF000000"/>
      </top>
      <bottom style="thin">
        <color rgb="FF000000"/>
      </bottom>
      <diagonal/>
    </border>
    <border>
      <left/>
      <right style="medium">
        <color rgb="FF000000"/>
      </right>
      <top style="thin">
        <color rgb="FF000000"/>
      </top>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diagonal/>
    </border>
    <border>
      <left style="thin">
        <color indexed="64"/>
      </left>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thin">
        <color indexed="64"/>
      </left>
      <right/>
      <top style="medium">
        <color rgb="FF000000"/>
      </top>
      <bottom/>
      <diagonal/>
    </border>
    <border>
      <left style="thin">
        <color indexed="64"/>
      </left>
      <right/>
      <top style="thin">
        <color rgb="FF000000"/>
      </top>
      <bottom style="thin">
        <color indexed="64"/>
      </bottom>
      <diagonal/>
    </border>
    <border>
      <left/>
      <right style="thin">
        <color auto="1"/>
      </right>
      <top style="thin">
        <color rgb="FF000000"/>
      </top>
      <bottom style="thin">
        <color auto="1"/>
      </bottom>
      <diagonal/>
    </border>
    <border>
      <left style="thin">
        <color rgb="FF000000"/>
      </left>
      <right/>
      <top style="medium">
        <color rgb="FF000000"/>
      </top>
      <bottom style="medium">
        <color rgb="FF000000"/>
      </bottom>
      <diagonal/>
    </border>
    <border>
      <left style="medium">
        <color rgb="FF000000"/>
      </left>
      <right/>
      <top style="medium">
        <color rgb="FF000000"/>
      </top>
      <bottom style="thin">
        <color auto="1"/>
      </bottom>
      <diagonal/>
    </border>
    <border>
      <left style="medium">
        <color rgb="FF000000"/>
      </left>
      <right style="thin">
        <color rgb="FF000000"/>
      </right>
      <top style="medium">
        <color rgb="FF000000"/>
      </top>
      <bottom style="medium">
        <color rgb="FF000000"/>
      </bottom>
      <diagonal/>
    </border>
    <border>
      <left style="medium">
        <color rgb="FF000000"/>
      </left>
      <right style="thin">
        <color rgb="FF000000"/>
      </right>
      <top style="medium">
        <color rgb="FF000000"/>
      </top>
      <bottom/>
      <diagonal/>
    </border>
    <border>
      <left style="thin">
        <color rgb="FF000000"/>
      </left>
      <right/>
      <top style="medium">
        <color rgb="FF000000"/>
      </top>
      <bottom/>
      <diagonal/>
    </border>
    <border>
      <left style="medium">
        <color rgb="FF000000"/>
      </left>
      <right style="thin">
        <color indexed="64"/>
      </right>
      <top style="medium">
        <color rgb="FF000000"/>
      </top>
      <bottom style="medium">
        <color rgb="FF000000"/>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top style="thin">
        <color rgb="FF000000"/>
      </top>
      <bottom style="thin">
        <color rgb="FF000000"/>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A9D08E"/>
      </left>
      <right/>
      <top style="thin">
        <color rgb="FFA9D08E"/>
      </top>
      <bottom/>
      <diagonal/>
    </border>
    <border>
      <left/>
      <right/>
      <top style="thin">
        <color rgb="FFA9D08E"/>
      </top>
      <bottom/>
      <diagonal/>
    </border>
    <border>
      <left/>
      <right style="thin">
        <color rgb="FFA9D08E"/>
      </right>
      <top style="thin">
        <color rgb="FFA9D08E"/>
      </top>
      <bottom/>
      <diagonal/>
    </border>
    <border>
      <left style="medium">
        <color rgb="FF000000"/>
      </left>
      <right style="medium">
        <color rgb="FF000000"/>
      </right>
      <top/>
      <bottom style="thin">
        <color rgb="FF000000"/>
      </bottom>
      <diagonal/>
    </border>
    <border>
      <left/>
      <right style="medium">
        <color rgb="FF000000"/>
      </right>
      <top/>
      <bottom style="thin">
        <color indexed="64"/>
      </bottom>
      <diagonal/>
    </border>
    <border>
      <left/>
      <right style="thin">
        <color indexed="64"/>
      </right>
      <top/>
      <bottom style="medium">
        <color rgb="FF000000"/>
      </bottom>
      <diagonal/>
    </border>
    <border>
      <left/>
      <right/>
      <top style="thin">
        <color rgb="FF000000"/>
      </top>
      <bottom style="thin">
        <color auto="1"/>
      </bottom>
      <diagonal/>
    </border>
    <border>
      <left style="thin">
        <color rgb="FF000000"/>
      </left>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rgb="FF000000"/>
      </left>
      <right style="thin">
        <color rgb="FF000000"/>
      </right>
      <top style="thin">
        <color indexed="64"/>
      </top>
      <bottom style="thin">
        <color rgb="FF000000"/>
      </bottom>
      <diagonal/>
    </border>
    <border>
      <left/>
      <right/>
      <top style="thin">
        <color indexed="64"/>
      </top>
      <bottom style="medium">
        <color indexed="64"/>
      </bottom>
      <diagonal/>
    </border>
    <border>
      <left/>
      <right style="medium">
        <color rgb="FF000000"/>
      </right>
      <top style="thin">
        <color indexed="64"/>
      </top>
      <bottom style="medium">
        <color indexed="64"/>
      </bottom>
      <diagonal/>
    </border>
    <border>
      <left/>
      <right style="medium">
        <color indexed="64"/>
      </right>
      <top style="thin">
        <color auto="1"/>
      </top>
      <bottom style="medium">
        <color indexed="64"/>
      </bottom>
      <diagonal/>
    </border>
    <border>
      <left style="thin">
        <color indexed="64"/>
      </left>
      <right/>
      <top style="thin">
        <color indexed="64"/>
      </top>
      <bottom style="thin">
        <color rgb="FF000000"/>
      </bottom>
      <diagonal/>
    </border>
    <border>
      <left/>
      <right/>
      <top style="thin">
        <color rgb="FF000000"/>
      </top>
      <bottom style="medium">
        <color rgb="FF000000"/>
      </bottom>
      <diagonal/>
    </border>
    <border>
      <left/>
      <right style="thin">
        <color rgb="FF000000"/>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style="medium">
        <color rgb="FF000000"/>
      </left>
      <right style="thin">
        <color indexed="64"/>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right style="thin">
        <color auto="1"/>
      </right>
      <top style="thin">
        <color auto="1"/>
      </top>
      <bottom style="thin">
        <color rgb="FF000000"/>
      </bottom>
      <diagonal/>
    </border>
    <border>
      <left style="thin">
        <color indexed="64"/>
      </left>
      <right style="medium">
        <color indexed="64"/>
      </right>
      <top/>
      <bottom style="thin">
        <color indexed="64"/>
      </bottom>
      <diagonal/>
    </border>
    <border>
      <left style="medium">
        <color indexed="64"/>
      </left>
      <right/>
      <top style="thin">
        <color rgb="FF000000"/>
      </top>
      <bottom style="thin">
        <color rgb="FF000000"/>
      </bottom>
      <diagonal/>
    </border>
    <border>
      <left/>
      <right style="thin">
        <color indexed="64"/>
      </right>
      <top style="thin">
        <color rgb="FF000000"/>
      </top>
      <bottom style="thin">
        <color rgb="FF000000"/>
      </bottom>
      <diagonal/>
    </border>
    <border>
      <left style="thin">
        <color rgb="FF000000"/>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rgb="FF000000"/>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right/>
      <top style="thin">
        <color indexed="64"/>
      </top>
      <bottom style="thin">
        <color rgb="FF000000"/>
      </bottom>
      <diagonal/>
    </border>
    <border>
      <left style="medium">
        <color rgb="FF000000"/>
      </left>
      <right style="thin">
        <color indexed="64"/>
      </right>
      <top style="thin">
        <color indexed="64"/>
      </top>
      <bottom/>
      <diagonal/>
    </border>
    <border>
      <left style="medium">
        <color indexed="64"/>
      </left>
      <right style="thin">
        <color indexed="64"/>
      </right>
      <top style="thin">
        <color indexed="64"/>
      </top>
      <bottom/>
      <diagonal/>
    </border>
    <border>
      <left style="thin">
        <color rgb="FF000000"/>
      </left>
      <right style="thin">
        <color rgb="FF000000"/>
      </right>
      <top style="thin">
        <color indexed="64"/>
      </top>
      <bottom/>
      <diagonal/>
    </border>
    <border>
      <left/>
      <right style="thin">
        <color rgb="FF000000"/>
      </right>
      <top style="thin">
        <color indexed="64"/>
      </top>
      <bottom/>
      <diagonal/>
    </border>
    <border>
      <left style="thin">
        <color indexed="9"/>
      </left>
      <right style="thin">
        <color indexed="9"/>
      </right>
      <top style="thin">
        <color indexed="9"/>
      </top>
      <bottom style="thin">
        <color indexed="9"/>
      </bottom>
      <diagonal/>
    </border>
    <border>
      <left/>
      <right style="thin">
        <color indexed="9"/>
      </right>
      <top style="thin">
        <color indexed="9"/>
      </top>
      <bottom style="thin">
        <color indexed="9"/>
      </bottom>
      <diagonal/>
    </border>
    <border>
      <left/>
      <right style="thin">
        <color indexed="9"/>
      </right>
      <top style="thin">
        <color indexed="9"/>
      </top>
      <bottom style="thin">
        <color indexed="9"/>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rgb="FF000000"/>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medium">
        <color rgb="FF000000"/>
      </right>
      <top style="thin">
        <color auto="1"/>
      </top>
      <bottom style="thin">
        <color auto="1"/>
      </bottom>
      <diagonal/>
    </border>
    <border>
      <left style="thin">
        <color indexed="64"/>
      </left>
      <right style="thin">
        <color rgb="FF000000"/>
      </right>
      <top style="thin">
        <color auto="1"/>
      </top>
      <bottom/>
      <diagonal/>
    </border>
    <border>
      <left/>
      <right style="medium">
        <color rgb="FF000000"/>
      </right>
      <top style="thin">
        <color auto="1"/>
      </top>
      <bottom/>
      <diagonal/>
    </border>
    <border>
      <left/>
      <right/>
      <top style="thin">
        <color indexed="64"/>
      </top>
      <bottom style="thin">
        <color rgb="FF000000"/>
      </bottom>
      <diagonal/>
    </border>
  </borders>
  <cellStyleXfs count="14">
    <xf numFmtId="0" fontId="0" fillId="0" borderId="0"/>
    <xf numFmtId="0" fontId="4" fillId="0" borderId="0"/>
    <xf numFmtId="0" fontId="15" fillId="4" borderId="0" applyNumberFormat="0" applyBorder="0" applyAlignment="0" applyProtection="0"/>
    <xf numFmtId="0" fontId="16" fillId="0" borderId="0"/>
    <xf numFmtId="0" fontId="21" fillId="0" borderId="0" applyNumberFormat="0" applyFill="0" applyBorder="0" applyAlignment="0" applyProtection="0"/>
    <xf numFmtId="0" fontId="23" fillId="11" borderId="27" applyNumberFormat="0" applyAlignment="0" applyProtection="0"/>
    <xf numFmtId="0" fontId="30" fillId="0" borderId="0" applyNumberFormat="0" applyFill="0" applyBorder="0" applyAlignment="0" applyProtection="0"/>
    <xf numFmtId="0" fontId="44" fillId="0" borderId="0" applyNumberFormat="0" applyFill="0" applyBorder="0" applyAlignment="0" applyProtection="0"/>
    <xf numFmtId="0" fontId="47" fillId="4" borderId="0" applyNumberFormat="0" applyBorder="0" applyAlignment="0" applyProtection="0"/>
    <xf numFmtId="0" fontId="4" fillId="0" borderId="0"/>
    <xf numFmtId="0" fontId="57" fillId="22" borderId="0" applyNumberFormat="0" applyBorder="0" applyAlignment="0" applyProtection="0"/>
    <xf numFmtId="0" fontId="13" fillId="0" borderId="0"/>
    <xf numFmtId="0" fontId="30" fillId="0" borderId="0" applyNumberFormat="0" applyFill="0" applyBorder="0" applyAlignment="0" applyProtection="0"/>
    <xf numFmtId="0" fontId="16" fillId="0" borderId="0"/>
  </cellStyleXfs>
  <cellXfs count="1770">
    <xf numFmtId="0" fontId="0" fillId="0" borderId="0" xfId="0"/>
    <xf numFmtId="0" fontId="0" fillId="0" borderId="0" xfId="0" applyAlignment="1">
      <alignment horizontal="center" vertical="center"/>
    </xf>
    <xf numFmtId="0" fontId="0" fillId="0" borderId="0" xfId="0" applyAlignment="1">
      <alignment wrapText="1"/>
    </xf>
    <xf numFmtId="0" fontId="0" fillId="0" borderId="0" xfId="0" applyAlignment="1">
      <alignment horizontal="center"/>
    </xf>
    <xf numFmtId="0" fontId="2" fillId="0" borderId="0" xfId="0" applyFont="1"/>
    <xf numFmtId="0" fontId="0" fillId="0" borderId="0" xfId="0" applyAlignment="1">
      <alignment horizontal="left"/>
    </xf>
    <xf numFmtId="0" fontId="0" fillId="0" borderId="0" xfId="0" applyAlignment="1">
      <alignment horizontal="center" vertical="center" wrapText="1"/>
    </xf>
    <xf numFmtId="0" fontId="6" fillId="0" borderId="24" xfId="1" applyFont="1" applyBorder="1" applyAlignment="1">
      <alignment horizontal="center" vertical="center" wrapText="1"/>
    </xf>
    <xf numFmtId="0" fontId="0" fillId="6" borderId="0" xfId="0" applyFill="1"/>
    <xf numFmtId="0" fontId="0" fillId="0" borderId="13" xfId="0" applyBorder="1" applyAlignment="1">
      <alignment horizontal="center" vertical="center" wrapText="1"/>
    </xf>
    <xf numFmtId="0" fontId="0" fillId="0" borderId="13" xfId="0" applyBorder="1" applyAlignment="1">
      <alignment horizontal="center" vertical="center"/>
    </xf>
    <xf numFmtId="0" fontId="0" fillId="6" borderId="0" xfId="0" applyFill="1" applyAlignment="1">
      <alignment wrapText="1"/>
    </xf>
    <xf numFmtId="0" fontId="0" fillId="0" borderId="13" xfId="0" applyBorder="1" applyAlignment="1">
      <alignment wrapText="1"/>
    </xf>
    <xf numFmtId="0" fontId="0" fillId="0" borderId="0" xfId="0" quotePrefix="1"/>
    <xf numFmtId="0" fontId="33" fillId="13" borderId="13" xfId="0" applyFont="1" applyFill="1" applyBorder="1" applyAlignment="1">
      <alignment wrapText="1"/>
    </xf>
    <xf numFmtId="0" fontId="0" fillId="0" borderId="13" xfId="0" applyBorder="1"/>
    <xf numFmtId="0" fontId="24" fillId="3" borderId="2" xfId="0" applyFont="1" applyFill="1" applyBorder="1" applyAlignment="1">
      <alignment horizontal="center" vertical="center" wrapText="1"/>
    </xf>
    <xf numFmtId="0" fontId="32" fillId="0" borderId="0" xfId="6" applyFont="1" applyAlignment="1">
      <alignment wrapText="1"/>
    </xf>
    <xf numFmtId="0" fontId="11" fillId="2" borderId="13" xfId="3" applyFont="1" applyFill="1" applyBorder="1" applyAlignment="1">
      <alignment vertical="center" wrapText="1"/>
    </xf>
    <xf numFmtId="0" fontId="0" fillId="0" borderId="5" xfId="0" applyBorder="1"/>
    <xf numFmtId="0" fontId="29" fillId="0" borderId="0" xfId="0" applyFont="1" applyAlignment="1">
      <alignment wrapText="1"/>
    </xf>
    <xf numFmtId="0" fontId="34" fillId="0" borderId="0" xfId="0" applyFont="1" applyAlignment="1">
      <alignment wrapText="1"/>
    </xf>
    <xf numFmtId="0" fontId="5" fillId="2" borderId="1" xfId="1" applyFont="1" applyFill="1" applyBorder="1" applyAlignment="1">
      <alignment horizontal="center" vertical="center" wrapText="1"/>
    </xf>
    <xf numFmtId="0" fontId="11" fillId="2" borderId="13" xfId="0" applyFont="1" applyFill="1" applyBorder="1"/>
    <xf numFmtId="0" fontId="33" fillId="13" borderId="14" xfId="0" applyFont="1" applyFill="1" applyBorder="1" applyAlignment="1">
      <alignment wrapText="1"/>
    </xf>
    <xf numFmtId="0" fontId="35" fillId="14" borderId="13" xfId="0" applyFont="1" applyFill="1" applyBorder="1" applyAlignment="1">
      <alignment horizontal="center" vertical="center" wrapText="1"/>
    </xf>
    <xf numFmtId="0" fontId="35" fillId="0" borderId="13" xfId="0" applyFont="1" applyBorder="1" applyAlignment="1">
      <alignment horizontal="center" vertical="center" wrapText="1"/>
    </xf>
    <xf numFmtId="0" fontId="35" fillId="0" borderId="29" xfId="0" applyFont="1" applyBorder="1" applyAlignment="1">
      <alignment horizontal="center" vertical="center" wrapText="1"/>
    </xf>
    <xf numFmtId="0" fontId="6" fillId="5" borderId="13" xfId="1" applyFont="1" applyFill="1" applyBorder="1" applyAlignment="1">
      <alignment horizontal="center" vertical="center" wrapText="1"/>
    </xf>
    <xf numFmtId="0" fontId="38" fillId="0" borderId="0" xfId="0" applyFont="1" applyAlignment="1">
      <alignment wrapText="1"/>
    </xf>
    <xf numFmtId="0" fontId="0" fillId="0" borderId="0" xfId="0" applyAlignment="1">
      <alignment horizontal="left" vertical="top"/>
    </xf>
    <xf numFmtId="0" fontId="45" fillId="0" borderId="0" xfId="0" applyFont="1"/>
    <xf numFmtId="0" fontId="2" fillId="2" borderId="17" xfId="1" applyFont="1" applyFill="1" applyBorder="1" applyAlignment="1">
      <alignment horizontal="left" vertical="center" wrapText="1"/>
    </xf>
    <xf numFmtId="0" fontId="14" fillId="5" borderId="13" xfId="1" applyFont="1" applyFill="1" applyBorder="1" applyAlignment="1">
      <alignment horizontal="center" vertical="center" wrapText="1"/>
    </xf>
    <xf numFmtId="0" fontId="0" fillId="0" borderId="21" xfId="0" applyBorder="1" applyAlignment="1">
      <alignment horizontal="left" vertical="top" wrapText="1"/>
    </xf>
    <xf numFmtId="0" fontId="0" fillId="0" borderId="21" xfId="0" applyBorder="1" applyAlignment="1">
      <alignment horizontal="left" vertical="top"/>
    </xf>
    <xf numFmtId="0" fontId="0" fillId="0" borderId="22" xfId="0" applyBorder="1" applyAlignment="1">
      <alignment horizontal="left" vertical="top"/>
    </xf>
    <xf numFmtId="166" fontId="0" fillId="0" borderId="21" xfId="0" applyNumberFormat="1" applyBorder="1" applyAlignment="1">
      <alignment horizontal="left" vertical="top" wrapText="1"/>
    </xf>
    <xf numFmtId="166" fontId="0" fillId="0" borderId="21" xfId="0" applyNumberFormat="1" applyBorder="1" applyAlignment="1">
      <alignment horizontal="left" vertical="top"/>
    </xf>
    <xf numFmtId="166" fontId="0" fillId="0" borderId="0" xfId="0" applyNumberFormat="1" applyAlignment="1">
      <alignment horizontal="left" vertical="top"/>
    </xf>
    <xf numFmtId="166" fontId="0" fillId="0" borderId="0" xfId="0" applyNumberFormat="1"/>
    <xf numFmtId="0" fontId="3" fillId="2" borderId="14" xfId="3" applyFont="1" applyFill="1" applyBorder="1"/>
    <xf numFmtId="166" fontId="14" fillId="0" borderId="0" xfId="0" applyNumberFormat="1" applyFont="1"/>
    <xf numFmtId="0" fontId="0" fillId="6" borderId="0" xfId="0" applyFill="1" applyAlignment="1">
      <alignment vertical="center"/>
    </xf>
    <xf numFmtId="0" fontId="53" fillId="3" borderId="17" xfId="0" applyFont="1" applyFill="1" applyBorder="1" applyAlignment="1">
      <alignment horizontal="center" vertical="center" wrapText="1"/>
    </xf>
    <xf numFmtId="0" fontId="43" fillId="13" borderId="13" xfId="0" applyFont="1" applyFill="1" applyBorder="1" applyAlignment="1">
      <alignment vertical="center" wrapText="1"/>
    </xf>
    <xf numFmtId="0" fontId="43" fillId="13" borderId="14" xfId="0" applyFont="1" applyFill="1" applyBorder="1" applyAlignment="1">
      <alignment vertical="center" wrapText="1"/>
    </xf>
    <xf numFmtId="0" fontId="25" fillId="3" borderId="1" xfId="0" applyFont="1" applyFill="1" applyBorder="1" applyAlignment="1">
      <alignment horizontal="center" vertical="center" wrapText="1"/>
    </xf>
    <xf numFmtId="0" fontId="25" fillId="3" borderId="2" xfId="0" applyFont="1" applyFill="1" applyBorder="1" applyAlignment="1">
      <alignment horizontal="center" vertical="center" wrapText="1"/>
    </xf>
    <xf numFmtId="0" fontId="25" fillId="3" borderId="3" xfId="0" applyFont="1" applyFill="1" applyBorder="1" applyAlignment="1">
      <alignment horizontal="center" vertical="center" wrapText="1"/>
    </xf>
    <xf numFmtId="0" fontId="0" fillId="6" borderId="0" xfId="0" applyFill="1" applyAlignment="1">
      <alignment horizontal="left"/>
    </xf>
    <xf numFmtId="166" fontId="0" fillId="0" borderId="0" xfId="0" applyNumberFormat="1" applyAlignment="1">
      <alignment horizontal="left"/>
    </xf>
    <xf numFmtId="0" fontId="11" fillId="2" borderId="13" xfId="3" applyFont="1" applyFill="1" applyBorder="1" applyAlignment="1">
      <alignment horizontal="left" vertical="center"/>
    </xf>
    <xf numFmtId="0" fontId="5" fillId="2" borderId="1" xfId="9" applyFont="1" applyFill="1" applyBorder="1" applyAlignment="1">
      <alignment horizontal="center" vertical="center"/>
    </xf>
    <xf numFmtId="0" fontId="16" fillId="0" borderId="0" xfId="3"/>
    <xf numFmtId="0" fontId="11" fillId="2" borderId="47" xfId="3" applyFont="1" applyFill="1" applyBorder="1" applyAlignment="1">
      <alignment horizontal="left" vertical="center"/>
    </xf>
    <xf numFmtId="0" fontId="17" fillId="2" borderId="0" xfId="3" applyFont="1" applyFill="1" applyAlignment="1">
      <alignment vertical="center"/>
    </xf>
    <xf numFmtId="0" fontId="2" fillId="2" borderId="55" xfId="1" applyFont="1" applyFill="1" applyBorder="1" applyAlignment="1">
      <alignment horizontal="left" vertical="center"/>
    </xf>
    <xf numFmtId="0" fontId="2" fillId="2" borderId="55" xfId="1" applyFont="1" applyFill="1" applyBorder="1" applyAlignment="1">
      <alignment horizontal="center" vertical="center"/>
    </xf>
    <xf numFmtId="0" fontId="35" fillId="0" borderId="0" xfId="0" applyFont="1" applyAlignment="1">
      <alignment horizontal="left" vertical="top" wrapText="1"/>
    </xf>
    <xf numFmtId="0" fontId="35" fillId="0" borderId="0" xfId="0" applyFont="1" applyAlignment="1">
      <alignment horizontal="center" vertical="center" wrapText="1"/>
    </xf>
    <xf numFmtId="0" fontId="2" fillId="2" borderId="15" xfId="0" quotePrefix="1" applyFont="1" applyFill="1" applyBorder="1" applyAlignment="1">
      <alignment horizontal="center"/>
    </xf>
    <xf numFmtId="0" fontId="2" fillId="2" borderId="58" xfId="1" applyFont="1" applyFill="1" applyBorder="1" applyAlignment="1">
      <alignment horizontal="left" vertical="center"/>
    </xf>
    <xf numFmtId="0" fontId="2" fillId="2" borderId="59" xfId="1" applyFont="1" applyFill="1" applyBorder="1" applyAlignment="1">
      <alignment horizontal="left" vertical="center"/>
    </xf>
    <xf numFmtId="0" fontId="2" fillId="2" borderId="59" xfId="1" applyFont="1" applyFill="1" applyBorder="1" applyAlignment="1">
      <alignment horizontal="center" vertical="center"/>
    </xf>
    <xf numFmtId="0" fontId="2" fillId="2" borderId="59" xfId="1" applyFont="1" applyFill="1" applyBorder="1" applyAlignment="1">
      <alignment horizontal="left" vertical="top"/>
    </xf>
    <xf numFmtId="49" fontId="2" fillId="2" borderId="59" xfId="1" applyNumberFormat="1" applyFont="1" applyFill="1" applyBorder="1" applyAlignment="1">
      <alignment horizontal="center" vertical="center"/>
    </xf>
    <xf numFmtId="0" fontId="2" fillId="2" borderId="60" xfId="1" applyFont="1" applyFill="1" applyBorder="1" applyAlignment="1">
      <alignment horizontal="center" vertical="center"/>
    </xf>
    <xf numFmtId="0" fontId="0" fillId="0" borderId="2" xfId="0" applyBorder="1" applyAlignment="1">
      <alignment horizontal="left" vertical="center"/>
    </xf>
    <xf numFmtId="164" fontId="0" fillId="6" borderId="0" xfId="0" applyNumberFormat="1" applyFill="1"/>
    <xf numFmtId="0" fontId="32" fillId="0" borderId="21" xfId="6" applyFont="1" applyFill="1" applyBorder="1" applyAlignment="1">
      <alignment horizontal="left" vertical="top" wrapText="1"/>
    </xf>
    <xf numFmtId="14" fontId="0" fillId="0" borderId="21" xfId="0" applyNumberFormat="1" applyBorder="1" applyAlignment="1">
      <alignment horizontal="left" vertical="top" wrapText="1"/>
    </xf>
    <xf numFmtId="0" fontId="0" fillId="0" borderId="21" xfId="0" quotePrefix="1" applyBorder="1" applyAlignment="1">
      <alignment horizontal="left" vertical="top" wrapText="1"/>
    </xf>
    <xf numFmtId="0" fontId="0" fillId="0" borderId="21" xfId="0" quotePrefix="1" applyBorder="1" applyAlignment="1">
      <alignment horizontal="left" vertical="top"/>
    </xf>
    <xf numFmtId="0" fontId="2" fillId="0" borderId="54" xfId="0" applyFont="1" applyBorder="1" applyAlignment="1">
      <alignment vertical="center"/>
    </xf>
    <xf numFmtId="0" fontId="41" fillId="0" borderId="52" xfId="0" applyFont="1" applyBorder="1" applyAlignment="1">
      <alignment horizontal="center" vertical="center" wrapText="1"/>
    </xf>
    <xf numFmtId="0" fontId="14" fillId="0" borderId="66" xfId="0" applyFont="1" applyBorder="1" applyAlignment="1">
      <alignment horizontal="center" vertical="center" wrapText="1"/>
    </xf>
    <xf numFmtId="0" fontId="51" fillId="0" borderId="12" xfId="1" applyFont="1" applyBorder="1" applyAlignment="1">
      <alignment horizontal="center" vertical="center" wrapText="1"/>
    </xf>
    <xf numFmtId="0" fontId="14" fillId="0" borderId="12" xfId="0" applyFont="1" applyBorder="1" applyAlignment="1">
      <alignment horizontal="center" vertical="center" wrapText="1"/>
    </xf>
    <xf numFmtId="0" fontId="2" fillId="2" borderId="14" xfId="3" applyFont="1" applyFill="1" applyBorder="1"/>
    <xf numFmtId="0" fontId="11" fillId="2" borderId="1" xfId="9" applyFont="1" applyFill="1" applyBorder="1" applyAlignment="1">
      <alignment horizontal="center" vertical="center"/>
    </xf>
    <xf numFmtId="0" fontId="20" fillId="0" borderId="23" xfId="9" applyFont="1" applyBorder="1" applyAlignment="1">
      <alignment horizontal="center" vertical="center" wrapText="1"/>
    </xf>
    <xf numFmtId="0" fontId="14" fillId="0" borderId="13" xfId="0" applyFont="1" applyBorder="1" applyAlignment="1">
      <alignment horizontal="center" vertical="center" wrapText="1"/>
    </xf>
    <xf numFmtId="0" fontId="14" fillId="0" borderId="69" xfId="0" applyFont="1" applyBorder="1" applyAlignment="1">
      <alignment horizontal="center" vertical="center" wrapText="1"/>
    </xf>
    <xf numFmtId="0" fontId="18" fillId="0" borderId="74" xfId="1" applyFont="1" applyBorder="1" applyAlignment="1">
      <alignment horizontal="left" vertical="center" wrapText="1"/>
    </xf>
    <xf numFmtId="0" fontId="14" fillId="0" borderId="67" xfId="0" applyFont="1" applyBorder="1" applyAlignment="1">
      <alignment horizontal="left" vertical="center" wrapText="1"/>
    </xf>
    <xf numFmtId="0" fontId="18" fillId="0" borderId="75" xfId="1" applyFont="1" applyBorder="1" applyAlignment="1">
      <alignment horizontal="left" vertical="center" wrapText="1"/>
    </xf>
    <xf numFmtId="0" fontId="35" fillId="0" borderId="0" xfId="0" applyFont="1" applyAlignment="1">
      <alignment horizontal="left" vertical="center" wrapText="1"/>
    </xf>
    <xf numFmtId="0" fontId="14" fillId="0" borderId="76" xfId="0" applyFont="1" applyBorder="1" applyAlignment="1">
      <alignment horizontal="left" vertical="center" wrapText="1"/>
    </xf>
    <xf numFmtId="0" fontId="14" fillId="0" borderId="76" xfId="0" applyFont="1" applyBorder="1" applyAlignment="1">
      <alignment horizontal="center" vertical="center" wrapText="1"/>
    </xf>
    <xf numFmtId="0" fontId="18" fillId="0" borderId="28" xfId="1" applyFont="1" applyBorder="1" applyAlignment="1">
      <alignment horizontal="left" vertical="center" wrapText="1"/>
    </xf>
    <xf numFmtId="0" fontId="18" fillId="0" borderId="18" xfId="1" applyFont="1" applyBorder="1" applyAlignment="1">
      <alignment horizontal="left" vertical="center" wrapText="1"/>
    </xf>
    <xf numFmtId="0" fontId="14" fillId="0" borderId="36" xfId="0" applyFont="1" applyBorder="1" applyAlignment="1">
      <alignment horizontal="left" vertical="center" wrapText="1"/>
    </xf>
    <xf numFmtId="0" fontId="14" fillId="0" borderId="36" xfId="0" applyFont="1" applyBorder="1" applyAlignment="1">
      <alignment horizontal="center" vertical="center" wrapText="1"/>
    </xf>
    <xf numFmtId="0" fontId="0" fillId="0" borderId="0" xfId="3" applyFont="1"/>
    <xf numFmtId="0" fontId="3" fillId="2" borderId="14" xfId="3" applyFont="1" applyFill="1" applyBorder="1" applyAlignment="1">
      <alignment wrapText="1"/>
    </xf>
    <xf numFmtId="0" fontId="14" fillId="0" borderId="73" xfId="0" applyFont="1" applyBorder="1" applyAlignment="1">
      <alignment horizontal="center" vertical="center" wrapText="1"/>
    </xf>
    <xf numFmtId="0" fontId="51" fillId="0" borderId="13" xfId="1" applyFont="1" applyBorder="1" applyAlignment="1">
      <alignment horizontal="left" vertical="center" wrapText="1"/>
    </xf>
    <xf numFmtId="0" fontId="51" fillId="0" borderId="13" xfId="1" applyFont="1" applyBorder="1" applyAlignment="1">
      <alignment horizontal="center" vertical="center" wrapText="1"/>
    </xf>
    <xf numFmtId="0" fontId="51" fillId="0" borderId="69" xfId="1" applyFont="1" applyBorder="1" applyAlignment="1">
      <alignment horizontal="left" vertical="center" wrapText="1"/>
    </xf>
    <xf numFmtId="0" fontId="51" fillId="0" borderId="69" xfId="1" applyFont="1" applyBorder="1" applyAlignment="1">
      <alignment horizontal="center" vertical="center" wrapText="1"/>
    </xf>
    <xf numFmtId="0" fontId="2" fillId="2" borderId="59" xfId="1" applyFont="1" applyFill="1" applyBorder="1" applyAlignment="1">
      <alignment horizontal="left" vertical="center" wrapText="1"/>
    </xf>
    <xf numFmtId="0" fontId="3" fillId="2" borderId="1" xfId="1" applyFont="1" applyFill="1" applyBorder="1" applyAlignment="1">
      <alignment horizontal="center" vertical="center"/>
    </xf>
    <xf numFmtId="49" fontId="3" fillId="2" borderId="1" xfId="1" applyNumberFormat="1" applyFont="1" applyFill="1" applyBorder="1" applyAlignment="1">
      <alignment horizontal="center" vertical="center"/>
    </xf>
    <xf numFmtId="0" fontId="11" fillId="2" borderId="57" xfId="3" applyFont="1" applyFill="1" applyBorder="1" applyAlignment="1">
      <alignment vertical="center"/>
    </xf>
    <xf numFmtId="0" fontId="11" fillId="2" borderId="52" xfId="3" applyFont="1" applyFill="1" applyBorder="1" applyAlignment="1">
      <alignment vertical="center"/>
    </xf>
    <xf numFmtId="0" fontId="0" fillId="0" borderId="0" xfId="0" applyAlignment="1">
      <alignment horizontal="left" vertical="top" wrapText="1"/>
    </xf>
    <xf numFmtId="0" fontId="11" fillId="2" borderId="52" xfId="3" applyFont="1" applyFill="1" applyBorder="1" applyAlignment="1">
      <alignment horizontal="center" vertical="center"/>
    </xf>
    <xf numFmtId="0" fontId="35" fillId="0" borderId="0" xfId="0" applyFont="1" applyAlignment="1">
      <alignment horizontal="center" vertical="top" wrapText="1"/>
    </xf>
    <xf numFmtId="0" fontId="25" fillId="3" borderId="17" xfId="0" applyFont="1" applyFill="1" applyBorder="1" applyAlignment="1">
      <alignment horizontal="center" vertical="center" wrapText="1"/>
    </xf>
    <xf numFmtId="0" fontId="41" fillId="15" borderId="13" xfId="0" applyFont="1" applyFill="1" applyBorder="1" applyAlignment="1">
      <alignment horizontal="center" vertical="center" wrapText="1"/>
    </xf>
    <xf numFmtId="0" fontId="6" fillId="0" borderId="0" xfId="0" applyFont="1" applyAlignment="1">
      <alignment wrapText="1"/>
    </xf>
    <xf numFmtId="0" fontId="6" fillId="5" borderId="0" xfId="0" applyFont="1" applyFill="1" applyAlignment="1">
      <alignment wrapText="1"/>
    </xf>
    <xf numFmtId="0" fontId="14" fillId="0" borderId="9" xfId="1" applyFont="1" applyBorder="1" applyAlignment="1">
      <alignment horizontal="center" vertical="center" wrapText="1"/>
    </xf>
    <xf numFmtId="0" fontId="35" fillId="15" borderId="13" xfId="0" applyFont="1" applyFill="1" applyBorder="1" applyAlignment="1">
      <alignment horizontal="center" vertical="center" wrapText="1"/>
    </xf>
    <xf numFmtId="0" fontId="0" fillId="0" borderId="13" xfId="0" applyBorder="1" applyAlignment="1">
      <alignment horizontal="left" vertical="center"/>
    </xf>
    <xf numFmtId="0" fontId="0" fillId="0" borderId="13" xfId="0" applyBorder="1" applyAlignment="1">
      <alignment horizontal="left" vertical="center" wrapText="1"/>
    </xf>
    <xf numFmtId="0" fontId="35" fillId="0" borderId="52" xfId="0" applyFont="1" applyBorder="1" applyAlignment="1">
      <alignment horizontal="left" vertical="center" wrapText="1"/>
    </xf>
    <xf numFmtId="0" fontId="5" fillId="2" borderId="85" xfId="1" applyFont="1" applyFill="1" applyBorder="1" applyAlignment="1">
      <alignment horizontal="center" vertical="center" wrapText="1"/>
    </xf>
    <xf numFmtId="49" fontId="5" fillId="2" borderId="85" xfId="1" applyNumberFormat="1" applyFont="1" applyFill="1" applyBorder="1" applyAlignment="1">
      <alignment horizontal="center" vertical="center" wrapText="1"/>
    </xf>
    <xf numFmtId="0" fontId="14" fillId="0" borderId="85" xfId="1" applyFont="1" applyBorder="1" applyAlignment="1">
      <alignment horizontal="center" vertical="center" wrapText="1"/>
    </xf>
    <xf numFmtId="0" fontId="40" fillId="13" borderId="85" xfId="0" applyFont="1" applyFill="1" applyBorder="1" applyAlignment="1">
      <alignment horizontal="center" vertical="center" wrapText="1"/>
    </xf>
    <xf numFmtId="0" fontId="40" fillId="13" borderId="84" xfId="0" applyFont="1" applyFill="1" applyBorder="1" applyAlignment="1">
      <alignment horizontal="center" vertical="center" wrapText="1"/>
    </xf>
    <xf numFmtId="0" fontId="41" fillId="15" borderId="84" xfId="0" applyFont="1" applyFill="1" applyBorder="1" applyAlignment="1">
      <alignment horizontal="center" vertical="center" wrapText="1"/>
    </xf>
    <xf numFmtId="0" fontId="6" fillId="0" borderId="85" xfId="1" applyFont="1" applyBorder="1" applyAlignment="1">
      <alignment horizontal="center" vertical="center" wrapText="1"/>
    </xf>
    <xf numFmtId="0" fontId="5" fillId="2" borderId="85" xfId="9" applyFont="1" applyFill="1" applyBorder="1" applyAlignment="1">
      <alignment horizontal="center" vertical="center"/>
    </xf>
    <xf numFmtId="0" fontId="5" fillId="3" borderId="85" xfId="9" applyFont="1" applyFill="1" applyBorder="1" applyAlignment="1">
      <alignment horizontal="center" vertical="center"/>
    </xf>
    <xf numFmtId="0" fontId="11" fillId="2" borderId="85" xfId="9" applyFont="1" applyFill="1" applyBorder="1" applyAlignment="1">
      <alignment horizontal="center" vertical="center"/>
    </xf>
    <xf numFmtId="0" fontId="11" fillId="3" borderId="85" xfId="9" applyFont="1" applyFill="1" applyBorder="1" applyAlignment="1">
      <alignment horizontal="center" vertical="center"/>
    </xf>
    <xf numFmtId="0" fontId="0" fillId="0" borderId="69" xfId="0" applyBorder="1" applyAlignment="1">
      <alignment horizontal="left" vertical="center"/>
    </xf>
    <xf numFmtId="0" fontId="0" fillId="0" borderId="69" xfId="0" applyBorder="1" applyAlignment="1">
      <alignment horizontal="left" vertical="center" wrapText="1"/>
    </xf>
    <xf numFmtId="49" fontId="5" fillId="2" borderId="1" xfId="1" applyNumberFormat="1" applyFont="1" applyFill="1" applyBorder="1" applyAlignment="1">
      <alignment horizontal="center" vertical="center" wrapText="1"/>
    </xf>
    <xf numFmtId="0" fontId="46" fillId="0" borderId="13" xfId="0" applyFont="1" applyBorder="1" applyAlignment="1">
      <alignment horizontal="center" vertical="center" wrapText="1"/>
    </xf>
    <xf numFmtId="0" fontId="14" fillId="0" borderId="13" xfId="1" applyFont="1" applyBorder="1" applyAlignment="1">
      <alignment horizontal="center" vertical="center" wrapText="1"/>
    </xf>
    <xf numFmtId="0" fontId="41" fillId="0" borderId="85" xfId="0" applyFont="1" applyBorder="1" applyAlignment="1">
      <alignment horizontal="center" vertical="center" wrapText="1"/>
    </xf>
    <xf numFmtId="0" fontId="14" fillId="0" borderId="83" xfId="0" applyFont="1" applyBorder="1" applyAlignment="1">
      <alignment horizontal="center" vertical="center" wrapText="1"/>
    </xf>
    <xf numFmtId="0" fontId="14" fillId="0" borderId="23" xfId="1" applyFont="1" applyBorder="1" applyAlignment="1">
      <alignment horizontal="center" vertical="center" wrapText="1"/>
    </xf>
    <xf numFmtId="0" fontId="46" fillId="5" borderId="13" xfId="0" applyFont="1" applyFill="1" applyBorder="1" applyAlignment="1">
      <alignment horizontal="center" vertical="center" wrapText="1"/>
    </xf>
    <xf numFmtId="0" fontId="46" fillId="5" borderId="17" xfId="0" quotePrefix="1" applyFont="1" applyFill="1" applyBorder="1" applyAlignment="1">
      <alignment horizontal="center" vertical="center" wrapText="1"/>
    </xf>
    <xf numFmtId="0" fontId="35" fillId="0" borderId="62" xfId="0" applyFont="1" applyBorder="1" applyAlignment="1">
      <alignment horizontal="left" vertical="center" wrapText="1"/>
    </xf>
    <xf numFmtId="0" fontId="35" fillId="0" borderId="51" xfId="0" applyFont="1" applyBorder="1" applyAlignment="1">
      <alignment horizontal="left" vertical="center" wrapText="1"/>
    </xf>
    <xf numFmtId="0" fontId="5" fillId="0" borderId="61" xfId="0" applyFont="1" applyBorder="1" applyAlignment="1">
      <alignment horizontal="left" vertical="center"/>
    </xf>
    <xf numFmtId="0" fontId="6" fillId="0" borderId="62" xfId="0" applyFont="1" applyBorder="1" applyAlignment="1">
      <alignment horizontal="left" vertical="center" wrapText="1"/>
    </xf>
    <xf numFmtId="0" fontId="0" fillId="0" borderId="62" xfId="0" applyBorder="1" applyAlignment="1">
      <alignment horizontal="left" vertical="center"/>
    </xf>
    <xf numFmtId="0" fontId="59" fillId="0" borderId="0" xfId="0" applyFont="1"/>
    <xf numFmtId="0" fontId="5" fillId="0" borderId="0" xfId="1" applyFont="1" applyAlignment="1">
      <alignment horizontal="center"/>
    </xf>
    <xf numFmtId="0" fontId="41" fillId="0" borderId="84" xfId="0" applyFont="1" applyBorder="1" applyAlignment="1">
      <alignment horizontal="center" vertical="center" wrapText="1"/>
    </xf>
    <xf numFmtId="0" fontId="29" fillId="0" borderId="84" xfId="0" applyFont="1" applyBorder="1" applyAlignment="1">
      <alignment horizontal="center" vertical="center" wrapText="1"/>
    </xf>
    <xf numFmtId="0" fontId="41" fillId="0" borderId="83" xfId="0" applyFont="1" applyBorder="1" applyAlignment="1">
      <alignment horizontal="center" vertical="center" wrapText="1"/>
    </xf>
    <xf numFmtId="0" fontId="41" fillId="5" borderId="84" xfId="0" applyFont="1" applyFill="1" applyBorder="1" applyAlignment="1">
      <alignment horizontal="center" vertical="center" wrapText="1"/>
    </xf>
    <xf numFmtId="0" fontId="29" fillId="5" borderId="23" xfId="0" applyFont="1" applyFill="1" applyBorder="1" applyAlignment="1">
      <alignment horizontal="center" vertical="center" wrapText="1"/>
    </xf>
    <xf numFmtId="0" fontId="41" fillId="5" borderId="31" xfId="0" applyFont="1" applyFill="1" applyBorder="1" applyAlignment="1">
      <alignment horizontal="center" vertical="center" wrapText="1"/>
    </xf>
    <xf numFmtId="0" fontId="14" fillId="0" borderId="13" xfId="0" applyFont="1" applyBorder="1" applyAlignment="1">
      <alignment horizontal="left" vertical="center" wrapText="1"/>
    </xf>
    <xf numFmtId="0" fontId="11" fillId="2" borderId="14" xfId="3" applyFont="1" applyFill="1" applyBorder="1" applyAlignment="1">
      <alignment horizontal="left" vertical="center"/>
    </xf>
    <xf numFmtId="0" fontId="41" fillId="0" borderId="69" xfId="0" applyFont="1" applyBorder="1" applyAlignment="1">
      <alignment horizontal="left" vertical="center" wrapText="1"/>
    </xf>
    <xf numFmtId="0" fontId="41" fillId="0" borderId="13" xfId="0" applyFont="1" applyBorder="1" applyAlignment="1">
      <alignment horizontal="left" vertical="center" wrapText="1"/>
    </xf>
    <xf numFmtId="0" fontId="40" fillId="13" borderId="1" xfId="0" applyFont="1" applyFill="1" applyBorder="1" applyAlignment="1">
      <alignment horizontal="center" vertical="center" wrapText="1"/>
    </xf>
    <xf numFmtId="0" fontId="40" fillId="13" borderId="3" xfId="0" applyFont="1" applyFill="1" applyBorder="1" applyAlignment="1">
      <alignment horizontal="center" vertical="center" wrapText="1"/>
    </xf>
    <xf numFmtId="0" fontId="38" fillId="15" borderId="84" xfId="0" applyFont="1" applyFill="1" applyBorder="1" applyAlignment="1">
      <alignment horizontal="center" vertical="center" wrapText="1"/>
    </xf>
    <xf numFmtId="0" fontId="41" fillId="15" borderId="32" xfId="0" applyFont="1" applyFill="1" applyBorder="1" applyAlignment="1">
      <alignment horizontal="center" vertical="center" wrapText="1"/>
    </xf>
    <xf numFmtId="0" fontId="24" fillId="3" borderId="17" xfId="0" applyFont="1" applyFill="1" applyBorder="1" applyAlignment="1">
      <alignment horizontal="center" vertical="center" wrapText="1"/>
    </xf>
    <xf numFmtId="0" fontId="0" fillId="0" borderId="17" xfId="0" applyBorder="1" applyAlignment="1">
      <alignment horizontal="left" vertical="center"/>
    </xf>
    <xf numFmtId="0" fontId="0" fillId="0" borderId="17" xfId="0" applyBorder="1" applyAlignment="1">
      <alignment horizontal="left" vertical="center" wrapText="1"/>
    </xf>
    <xf numFmtId="0" fontId="41" fillId="0" borderId="17" xfId="0" applyFont="1" applyBorder="1" applyAlignment="1">
      <alignment horizontal="left" vertical="center" wrapText="1"/>
    </xf>
    <xf numFmtId="0" fontId="0" fillId="0" borderId="0" xfId="0" applyAlignment="1">
      <alignment vertical="center" wrapText="1"/>
    </xf>
    <xf numFmtId="0" fontId="0" fillId="0" borderId="0" xfId="0" applyAlignment="1">
      <alignment vertical="center"/>
    </xf>
    <xf numFmtId="0" fontId="7" fillId="0" borderId="13" xfId="4" applyFont="1" applyFill="1" applyBorder="1" applyAlignment="1">
      <alignment horizontal="left" vertical="center" wrapText="1"/>
    </xf>
    <xf numFmtId="0" fontId="41" fillId="0" borderId="12" xfId="0" applyFont="1" applyBorder="1" applyAlignment="1">
      <alignment horizontal="left" vertical="center" wrapText="1"/>
    </xf>
    <xf numFmtId="0" fontId="5" fillId="2" borderId="85" xfId="9" applyFont="1" applyFill="1" applyBorder="1" applyAlignment="1">
      <alignment horizontal="center" vertical="center" wrapText="1"/>
    </xf>
    <xf numFmtId="0" fontId="39" fillId="13" borderId="15" xfId="0" applyFont="1" applyFill="1" applyBorder="1" applyAlignment="1">
      <alignment horizontal="center" wrapText="1"/>
    </xf>
    <xf numFmtId="0" fontId="11" fillId="2" borderId="13" xfId="0" applyFont="1" applyFill="1" applyBorder="1" applyAlignment="1">
      <alignment horizontal="left"/>
    </xf>
    <xf numFmtId="0" fontId="61" fillId="2" borderId="13" xfId="6" applyFont="1" applyFill="1" applyBorder="1" applyAlignment="1"/>
    <xf numFmtId="0" fontId="11" fillId="2" borderId="48" xfId="3" applyFont="1" applyFill="1" applyBorder="1" applyAlignment="1">
      <alignment horizontal="left" vertical="center"/>
    </xf>
    <xf numFmtId="0" fontId="30" fillId="0" borderId="0" xfId="6" applyAlignment="1">
      <alignment horizontal="left"/>
    </xf>
    <xf numFmtId="0" fontId="0" fillId="0" borderId="0" xfId="0" quotePrefix="1" applyAlignment="1">
      <alignment horizontal="left"/>
    </xf>
    <xf numFmtId="166" fontId="14" fillId="0" borderId="0" xfId="0" applyNumberFormat="1" applyFont="1" applyAlignment="1">
      <alignment horizontal="left"/>
    </xf>
    <xf numFmtId="0" fontId="11" fillId="2" borderId="17" xfId="0" applyFont="1" applyFill="1" applyBorder="1"/>
    <xf numFmtId="0" fontId="61" fillId="2" borderId="39" xfId="6" applyFont="1" applyFill="1" applyBorder="1" applyAlignment="1">
      <alignment horizontal="left"/>
    </xf>
    <xf numFmtId="0" fontId="11" fillId="2" borderId="0" xfId="0" applyFont="1" applyFill="1"/>
    <xf numFmtId="0" fontId="11" fillId="2" borderId="14" xfId="0" applyFont="1" applyFill="1" applyBorder="1"/>
    <xf numFmtId="169" fontId="38" fillId="0" borderId="0" xfId="0" applyNumberFormat="1" applyFont="1" applyAlignment="1">
      <alignment wrapText="1"/>
    </xf>
    <xf numFmtId="169" fontId="0" fillId="0" borderId="0" xfId="0" applyNumberFormat="1"/>
    <xf numFmtId="0" fontId="30" fillId="0" borderId="0" xfId="6" applyFill="1"/>
    <xf numFmtId="0" fontId="62" fillId="2" borderId="63" xfId="6" applyFont="1" applyFill="1" applyBorder="1" applyAlignment="1">
      <alignment vertical="center"/>
    </xf>
    <xf numFmtId="0" fontId="2" fillId="2" borderId="56" xfId="3" applyFont="1" applyFill="1" applyBorder="1" applyAlignment="1">
      <alignment vertical="center"/>
    </xf>
    <xf numFmtId="0" fontId="2" fillId="2" borderId="97" xfId="3" applyFont="1" applyFill="1" applyBorder="1" applyAlignment="1">
      <alignment vertical="center"/>
    </xf>
    <xf numFmtId="0" fontId="2" fillId="2" borderId="60" xfId="3" applyFont="1" applyFill="1" applyBorder="1" applyAlignment="1">
      <alignment vertical="center"/>
    </xf>
    <xf numFmtId="0" fontId="0" fillId="0" borderId="20" xfId="0" applyBorder="1" applyAlignment="1">
      <alignment horizontal="left"/>
    </xf>
    <xf numFmtId="166" fontId="0" fillId="0" borderId="21" xfId="0" applyNumberFormat="1" applyBorder="1" applyAlignment="1">
      <alignment horizontal="left"/>
    </xf>
    <xf numFmtId="0" fontId="38" fillId="0" borderId="41" xfId="0" applyFont="1" applyBorder="1" applyAlignment="1">
      <alignment horizontal="left" wrapText="1"/>
    </xf>
    <xf numFmtId="0" fontId="35" fillId="0" borderId="33" xfId="0" applyFont="1" applyBorder="1" applyAlignment="1">
      <alignment horizontal="center" vertical="center" wrapText="1"/>
    </xf>
    <xf numFmtId="166" fontId="0" fillId="0" borderId="87" xfId="0" applyNumberFormat="1" applyBorder="1" applyAlignment="1">
      <alignment horizontal="left"/>
    </xf>
    <xf numFmtId="0" fontId="0" fillId="0" borderId="17" xfId="0" applyBorder="1"/>
    <xf numFmtId="0" fontId="0" fillId="0" borderId="14" xfId="0" applyBorder="1"/>
    <xf numFmtId="0" fontId="46" fillId="5" borderId="17" xfId="0" applyFont="1" applyFill="1" applyBorder="1" applyAlignment="1">
      <alignment horizontal="center" vertical="center" wrapText="1"/>
    </xf>
    <xf numFmtId="0" fontId="35" fillId="0" borderId="51" xfId="0" applyFont="1" applyBorder="1" applyAlignment="1">
      <alignment vertical="center" wrapText="1"/>
    </xf>
    <xf numFmtId="0" fontId="41" fillId="0" borderId="51" xfId="0" applyFont="1" applyBorder="1" applyAlignment="1">
      <alignment horizontal="left" vertical="center" wrapText="1"/>
    </xf>
    <xf numFmtId="0" fontId="41" fillId="0" borderId="52" xfId="0" applyFont="1" applyBorder="1" applyAlignment="1">
      <alignment vertical="center" wrapText="1"/>
    </xf>
    <xf numFmtId="0" fontId="41" fillId="0" borderId="52" xfId="0" applyFont="1" applyBorder="1" applyAlignment="1">
      <alignment horizontal="left" vertical="center" wrapText="1"/>
    </xf>
    <xf numFmtId="0" fontId="11" fillId="2" borderId="101" xfId="3" applyFont="1" applyFill="1" applyBorder="1" applyAlignment="1">
      <alignment vertical="center"/>
    </xf>
    <xf numFmtId="0" fontId="61" fillId="2" borderId="49" xfId="6" applyFont="1" applyFill="1" applyBorder="1" applyAlignment="1">
      <alignment vertical="center"/>
    </xf>
    <xf numFmtId="0" fontId="20" fillId="0" borderId="51" xfId="3" applyFont="1" applyBorder="1" applyAlignment="1">
      <alignment horizontal="left" vertical="center"/>
    </xf>
    <xf numFmtId="0" fontId="20" fillId="0" borderId="51" xfId="9" applyFont="1" applyBorder="1" applyAlignment="1">
      <alignment horizontal="left" vertical="center" wrapText="1"/>
    </xf>
    <xf numFmtId="0" fontId="20" fillId="0" borderId="51" xfId="3" applyFont="1" applyBorder="1" applyAlignment="1">
      <alignment horizontal="center" vertical="center"/>
    </xf>
    <xf numFmtId="0" fontId="22" fillId="0" borderId="51" xfId="3" applyFont="1" applyBorder="1" applyAlignment="1">
      <alignment horizontal="center" vertical="center"/>
    </xf>
    <xf numFmtId="0" fontId="20" fillId="0" borderId="51" xfId="3" applyFont="1" applyBorder="1" applyAlignment="1">
      <alignment horizontal="left" vertical="center" wrapText="1"/>
    </xf>
    <xf numFmtId="0" fontId="56" fillId="0" borderId="52" xfId="5" applyFont="1" applyFill="1" applyBorder="1" applyAlignment="1">
      <alignment horizontal="left" vertical="center"/>
    </xf>
    <xf numFmtId="0" fontId="20" fillId="0" borderId="52" xfId="3" applyFont="1" applyBorder="1" applyAlignment="1">
      <alignment horizontal="left" vertical="center" wrapText="1"/>
    </xf>
    <xf numFmtId="0" fontId="56" fillId="0" borderId="52" xfId="5" applyFont="1" applyFill="1" applyBorder="1" applyAlignment="1">
      <alignment horizontal="center" vertical="center"/>
    </xf>
    <xf numFmtId="0" fontId="27" fillId="0" borderId="52" xfId="5" applyFont="1" applyFill="1" applyBorder="1" applyAlignment="1">
      <alignment horizontal="center" vertical="center"/>
    </xf>
    <xf numFmtId="0" fontId="56" fillId="0" borderId="52" xfId="5" applyFont="1" applyFill="1" applyBorder="1" applyAlignment="1">
      <alignment horizontal="left" vertical="center" wrapText="1"/>
    </xf>
    <xf numFmtId="0" fontId="20" fillId="0" borderId="52" xfId="3" applyFont="1" applyBorder="1" applyAlignment="1">
      <alignment horizontal="center" vertical="center"/>
    </xf>
    <xf numFmtId="0" fontId="0" fillId="0" borderId="51" xfId="3" applyFont="1" applyBorder="1" applyAlignment="1">
      <alignment horizontal="left" vertical="center"/>
    </xf>
    <xf numFmtId="0" fontId="0" fillId="0" borderId="51" xfId="3" applyFont="1" applyBorder="1" applyAlignment="1">
      <alignment horizontal="center" vertical="center"/>
    </xf>
    <xf numFmtId="0" fontId="0" fillId="0" borderId="51" xfId="3" applyFont="1" applyBorder="1" applyAlignment="1">
      <alignment horizontal="left" vertical="center" wrapText="1"/>
    </xf>
    <xf numFmtId="0" fontId="0" fillId="0" borderId="52" xfId="3" applyFont="1" applyBorder="1" applyAlignment="1">
      <alignment horizontal="left" vertical="center"/>
    </xf>
    <xf numFmtId="0" fontId="0" fillId="0" borderId="52" xfId="3" applyFont="1" applyBorder="1" applyAlignment="1">
      <alignment horizontal="center" vertical="center"/>
    </xf>
    <xf numFmtId="0" fontId="0" fillId="0" borderId="52" xfId="3" applyFont="1" applyBorder="1" applyAlignment="1">
      <alignment horizontal="left" vertical="center" wrapText="1"/>
    </xf>
    <xf numFmtId="0" fontId="38" fillId="0" borderId="51" xfId="3" applyFont="1" applyBorder="1" applyAlignment="1">
      <alignment horizontal="center" vertical="center" wrapText="1"/>
    </xf>
    <xf numFmtId="165" fontId="0" fillId="0" borderId="51" xfId="3" quotePrefix="1" applyNumberFormat="1" applyFont="1" applyBorder="1" applyAlignment="1">
      <alignment horizontal="center" vertical="center"/>
    </xf>
    <xf numFmtId="0" fontId="22" fillId="0" borderId="52" xfId="3" applyFont="1" applyBorder="1" applyAlignment="1">
      <alignment horizontal="center" vertical="center"/>
    </xf>
    <xf numFmtId="0" fontId="22" fillId="0" borderId="52" xfId="3" applyFont="1" applyBorder="1" applyAlignment="1">
      <alignment horizontal="left" vertical="center" wrapText="1"/>
    </xf>
    <xf numFmtId="0" fontId="41" fillId="13" borderId="23" xfId="0" applyFont="1" applyFill="1" applyBorder="1" applyAlignment="1">
      <alignment wrapText="1"/>
    </xf>
    <xf numFmtId="0" fontId="35" fillId="0" borderId="52" xfId="0" applyFont="1" applyBorder="1" applyAlignment="1">
      <alignment horizontal="center" vertical="center" wrapText="1"/>
    </xf>
    <xf numFmtId="164" fontId="20" fillId="9" borderId="85" xfId="3" applyNumberFormat="1" applyFont="1" applyFill="1" applyBorder="1" applyAlignment="1">
      <alignment horizontal="left" vertical="center"/>
    </xf>
    <xf numFmtId="0" fontId="11" fillId="2" borderId="13" xfId="0" applyFont="1" applyFill="1" applyBorder="1" applyAlignment="1">
      <alignment vertical="center" wrapText="1"/>
    </xf>
    <xf numFmtId="0" fontId="11" fillId="2" borderId="23" xfId="0" applyFont="1" applyFill="1" applyBorder="1" applyAlignment="1">
      <alignment vertical="center" wrapText="1"/>
    </xf>
    <xf numFmtId="0" fontId="6" fillId="5" borderId="30" xfId="0" applyFont="1" applyFill="1" applyBorder="1" applyAlignment="1">
      <alignment horizontal="center" vertical="center"/>
    </xf>
    <xf numFmtId="0" fontId="46" fillId="5" borderId="14" xfId="0" applyFont="1" applyFill="1" applyBorder="1" applyAlignment="1">
      <alignment horizontal="center" vertical="center" wrapText="1"/>
    </xf>
    <xf numFmtId="0" fontId="6" fillId="0" borderId="34" xfId="1" applyFont="1" applyBorder="1" applyAlignment="1">
      <alignment horizontal="center" vertical="center" wrapText="1"/>
    </xf>
    <xf numFmtId="0" fontId="46" fillId="5" borderId="34" xfId="0" applyFont="1" applyFill="1" applyBorder="1" applyAlignment="1">
      <alignment horizontal="center" vertical="center" wrapText="1"/>
    </xf>
    <xf numFmtId="0" fontId="46" fillId="0" borderId="14" xfId="0" applyFont="1" applyBorder="1" applyAlignment="1">
      <alignment horizontal="center" vertical="center" wrapText="1"/>
    </xf>
    <xf numFmtId="0" fontId="58" fillId="5" borderId="34" xfId="0" applyFont="1" applyFill="1" applyBorder="1" applyAlignment="1">
      <alignment horizontal="center" vertical="center" wrapText="1"/>
    </xf>
    <xf numFmtId="0" fontId="6" fillId="0" borderId="14" xfId="1" applyFont="1" applyBorder="1" applyAlignment="1">
      <alignment horizontal="center" vertical="center" wrapText="1"/>
    </xf>
    <xf numFmtId="0" fontId="58" fillId="0" borderId="34" xfId="0" applyFont="1" applyBorder="1" applyAlignment="1">
      <alignment horizontal="center" vertical="center" wrapText="1"/>
    </xf>
    <xf numFmtId="0" fontId="58" fillId="0" borderId="30" xfId="0" applyFont="1" applyBorder="1" applyAlignment="1">
      <alignment horizontal="center" vertical="center" wrapText="1"/>
    </xf>
    <xf numFmtId="0" fontId="6" fillId="5" borderId="14" xfId="1" applyFont="1" applyFill="1" applyBorder="1" applyAlignment="1">
      <alignment horizontal="center" vertical="center" wrapText="1"/>
    </xf>
    <xf numFmtId="0" fontId="58" fillId="0" borderId="33" xfId="0" applyFont="1" applyBorder="1" applyAlignment="1">
      <alignment horizontal="center" vertical="center" wrapText="1"/>
    </xf>
    <xf numFmtId="0" fontId="6" fillId="5" borderId="14" xfId="0" applyFont="1" applyFill="1" applyBorder="1" applyAlignment="1">
      <alignment horizontal="center" vertical="center"/>
    </xf>
    <xf numFmtId="0" fontId="46" fillId="0" borderId="25" xfId="0" applyFont="1" applyBorder="1" applyAlignment="1">
      <alignment horizontal="center" vertical="center" wrapText="1"/>
    </xf>
    <xf numFmtId="0" fontId="11" fillId="2" borderId="13" xfId="3" applyFont="1" applyFill="1" applyBorder="1" applyAlignment="1">
      <alignment horizontal="center" vertical="center"/>
    </xf>
    <xf numFmtId="0" fontId="41" fillId="5" borderId="32" xfId="0" applyFont="1" applyFill="1" applyBorder="1" applyAlignment="1">
      <alignment horizontal="center" vertical="center" wrapText="1"/>
    </xf>
    <xf numFmtId="0" fontId="5" fillId="2" borderId="23" xfId="0" applyFont="1" applyFill="1" applyBorder="1" applyAlignment="1">
      <alignment vertical="center" wrapText="1"/>
    </xf>
    <xf numFmtId="0" fontId="24" fillId="3" borderId="18" xfId="0" applyFont="1" applyFill="1" applyBorder="1" applyAlignment="1">
      <alignment horizontal="center" vertical="center" wrapText="1"/>
    </xf>
    <xf numFmtId="0" fontId="11" fillId="2" borderId="23" xfId="3" applyFont="1" applyFill="1" applyBorder="1" applyAlignment="1">
      <alignment vertical="center" wrapText="1"/>
    </xf>
    <xf numFmtId="0" fontId="11" fillId="2" borderId="17" xfId="3" applyFont="1" applyFill="1" applyBorder="1" applyAlignment="1">
      <alignment vertical="center" wrapText="1"/>
    </xf>
    <xf numFmtId="0" fontId="0" fillId="0" borderId="87" xfId="0" applyBorder="1" applyAlignment="1">
      <alignment wrapText="1"/>
    </xf>
    <xf numFmtId="0" fontId="0" fillId="0" borderId="87" xfId="0" applyBorder="1"/>
    <xf numFmtId="0" fontId="0" fillId="0" borderId="90" xfId="0" applyBorder="1"/>
    <xf numFmtId="0" fontId="35" fillId="0" borderId="51" xfId="0" applyFont="1" applyBorder="1" applyAlignment="1">
      <alignment horizontal="center" vertical="center" wrapText="1"/>
    </xf>
    <xf numFmtId="0" fontId="11" fillId="2" borderId="53" xfId="3" applyFont="1" applyFill="1" applyBorder="1" applyAlignment="1">
      <alignment horizontal="left" vertical="center"/>
    </xf>
    <xf numFmtId="0" fontId="40" fillId="13" borderId="14" xfId="11" applyFont="1" applyFill="1" applyBorder="1" applyAlignment="1">
      <alignment wrapText="1"/>
    </xf>
    <xf numFmtId="0" fontId="40" fillId="13" borderId="13" xfId="11" applyFont="1" applyFill="1" applyBorder="1" applyAlignment="1">
      <alignment wrapText="1"/>
    </xf>
    <xf numFmtId="0" fontId="36" fillId="13" borderId="15" xfId="11" applyFont="1" applyFill="1" applyBorder="1" applyAlignment="1">
      <alignment horizontal="center" wrapText="1"/>
    </xf>
    <xf numFmtId="0" fontId="41" fillId="13" borderId="23" xfId="11" applyFont="1" applyFill="1" applyBorder="1" applyAlignment="1">
      <alignment wrapText="1"/>
    </xf>
    <xf numFmtId="0" fontId="38" fillId="0" borderId="0" xfId="11" applyFont="1" applyAlignment="1">
      <alignment wrapText="1"/>
    </xf>
    <xf numFmtId="0" fontId="0" fillId="0" borderId="0" xfId="11" applyFont="1"/>
    <xf numFmtId="0" fontId="42" fillId="13" borderId="1" xfId="11" applyFont="1" applyFill="1" applyBorder="1" applyAlignment="1">
      <alignment horizontal="center" vertical="center" wrapText="1"/>
    </xf>
    <xf numFmtId="0" fontId="42" fillId="13" borderId="3" xfId="11" applyFont="1" applyFill="1" applyBorder="1" applyAlignment="1">
      <alignment horizontal="center" vertical="center" wrapText="1"/>
    </xf>
    <xf numFmtId="0" fontId="0" fillId="0" borderId="0" xfId="11" applyFont="1" applyAlignment="1">
      <alignment wrapText="1"/>
    </xf>
    <xf numFmtId="0" fontId="0" fillId="0" borderId="0" xfId="11" applyFont="1" applyAlignment="1">
      <alignment vertical="center"/>
    </xf>
    <xf numFmtId="0" fontId="0" fillId="0" borderId="0" xfId="11" applyFont="1" applyAlignment="1">
      <alignment vertical="center" wrapText="1"/>
    </xf>
    <xf numFmtId="0" fontId="52" fillId="5" borderId="23" xfId="0" applyFont="1" applyFill="1" applyBorder="1" applyAlignment="1">
      <alignment horizontal="center" vertical="center" wrapText="1"/>
    </xf>
    <xf numFmtId="166" fontId="0" fillId="0" borderId="87" xfId="0" applyNumberFormat="1" applyBorder="1"/>
    <xf numFmtId="0" fontId="11" fillId="2" borderId="64" xfId="3" applyFont="1" applyFill="1" applyBorder="1" applyAlignment="1">
      <alignment vertical="center"/>
    </xf>
    <xf numFmtId="0" fontId="35" fillId="0" borderId="63" xfId="0" applyFont="1" applyBorder="1" applyAlignment="1">
      <alignment horizontal="left" vertical="center" wrapText="1"/>
    </xf>
    <xf numFmtId="0" fontId="11" fillId="2" borderId="49" xfId="3" applyFont="1" applyFill="1" applyBorder="1" applyAlignment="1">
      <alignment horizontal="left" vertical="center"/>
    </xf>
    <xf numFmtId="0" fontId="41" fillId="0" borderId="0" xfId="0" applyFont="1" applyAlignment="1">
      <alignment vertical="top" wrapText="1"/>
    </xf>
    <xf numFmtId="0" fontId="35" fillId="0" borderId="0" xfId="0" applyFont="1" applyAlignment="1">
      <alignment vertical="top" wrapText="1"/>
    </xf>
    <xf numFmtId="0" fontId="51" fillId="0" borderId="0" xfId="1" applyFont="1" applyAlignment="1">
      <alignment horizontal="left" vertical="center" wrapText="1"/>
    </xf>
    <xf numFmtId="0" fontId="11" fillId="2" borderId="49" xfId="3" applyFont="1" applyFill="1" applyBorder="1" applyAlignment="1">
      <alignment vertical="center"/>
    </xf>
    <xf numFmtId="0" fontId="62" fillId="2" borderId="50" xfId="6" applyFont="1" applyFill="1" applyBorder="1" applyAlignment="1">
      <alignment vertical="center"/>
    </xf>
    <xf numFmtId="0" fontId="62" fillId="2" borderId="49" xfId="6" applyFont="1" applyFill="1" applyBorder="1" applyAlignment="1">
      <alignment horizontal="left" vertical="center"/>
    </xf>
    <xf numFmtId="0" fontId="0" fillId="0" borderId="0" xfId="0" applyAlignment="1">
      <alignment horizontal="left" vertical="center" wrapText="1"/>
    </xf>
    <xf numFmtId="0" fontId="0" fillId="0" borderId="0" xfId="3" applyFont="1" applyAlignment="1">
      <alignment horizontal="left" vertical="center"/>
    </xf>
    <xf numFmtId="0" fontId="20" fillId="0" borderId="0" xfId="3" applyFont="1" applyAlignment="1">
      <alignment horizontal="left" vertical="center" wrapText="1"/>
    </xf>
    <xf numFmtId="0" fontId="0" fillId="0" borderId="0" xfId="3" applyFont="1" applyAlignment="1">
      <alignment horizontal="center" vertical="center"/>
    </xf>
    <xf numFmtId="0" fontId="20" fillId="0" borderId="0" xfId="3" applyFont="1" applyAlignment="1">
      <alignment horizontal="center" vertical="center"/>
    </xf>
    <xf numFmtId="0" fontId="20" fillId="0" borderId="0" xfId="3" applyFont="1" applyAlignment="1">
      <alignment horizontal="left" vertical="center"/>
    </xf>
    <xf numFmtId="0" fontId="22" fillId="0" borderId="0" xfId="3" applyFont="1" applyAlignment="1">
      <alignment horizontal="center" vertical="center"/>
    </xf>
    <xf numFmtId="0" fontId="38" fillId="0" borderId="0" xfId="3" applyFont="1" applyAlignment="1">
      <alignment horizontal="center" vertical="center" wrapText="1"/>
    </xf>
    <xf numFmtId="0" fontId="0" fillId="0" borderId="0" xfId="3" applyFont="1" applyAlignment="1">
      <alignment horizontal="left" vertical="center" wrapText="1"/>
    </xf>
    <xf numFmtId="168" fontId="0" fillId="0" borderId="0" xfId="3" applyNumberFormat="1" applyFont="1" applyAlignment="1">
      <alignment horizontal="center" vertical="center"/>
    </xf>
    <xf numFmtId="3" fontId="0" fillId="0" borderId="0" xfId="3" applyNumberFormat="1" applyFont="1" applyAlignment="1">
      <alignment horizontal="center" vertical="center"/>
    </xf>
    <xf numFmtId="3" fontId="22" fillId="0" borderId="0" xfId="3" applyNumberFormat="1" applyFont="1" applyAlignment="1">
      <alignment horizontal="center" vertical="center"/>
    </xf>
    <xf numFmtId="168" fontId="22" fillId="0" borderId="0" xfId="3" applyNumberFormat="1" applyFont="1" applyAlignment="1">
      <alignment horizontal="center" vertical="center"/>
    </xf>
    <xf numFmtId="0" fontId="22" fillId="0" borderId="0" xfId="3" applyFont="1" applyAlignment="1">
      <alignment horizontal="left" vertical="center" wrapText="1"/>
    </xf>
    <xf numFmtId="0" fontId="14" fillId="0" borderId="108" xfId="0" applyFont="1" applyBorder="1" applyAlignment="1">
      <alignment horizontal="left" vertical="center" wrapText="1"/>
    </xf>
    <xf numFmtId="0" fontId="18" fillId="0" borderId="107" xfId="1" applyFont="1" applyBorder="1" applyAlignment="1">
      <alignment horizontal="left" vertical="center" wrapText="1"/>
    </xf>
    <xf numFmtId="0" fontId="65" fillId="0" borderId="0" xfId="0" applyFont="1" applyAlignment="1">
      <alignment horizontal="center" vertical="center" wrapText="1"/>
    </xf>
    <xf numFmtId="0" fontId="14" fillId="0" borderId="1" xfId="0" applyFont="1" applyBorder="1" applyAlignment="1">
      <alignment horizontal="center" vertical="center" wrapText="1"/>
    </xf>
    <xf numFmtId="0" fontId="14" fillId="0" borderId="17" xfId="0" applyFont="1" applyBorder="1" applyAlignment="1">
      <alignment horizontal="center" vertical="center" wrapText="1"/>
    </xf>
    <xf numFmtId="0" fontId="14" fillId="0" borderId="69" xfId="0" applyFont="1" applyBorder="1" applyAlignment="1">
      <alignment horizontal="left" vertical="center" wrapText="1"/>
    </xf>
    <xf numFmtId="0" fontId="14" fillId="0" borderId="69" xfId="1" applyFont="1" applyBorder="1" applyAlignment="1">
      <alignment horizontal="center" vertical="center" wrapText="1"/>
    </xf>
    <xf numFmtId="0" fontId="51" fillId="0" borderId="17" xfId="1" applyFont="1" applyBorder="1" applyAlignment="1">
      <alignment horizontal="left" vertical="center" wrapText="1"/>
    </xf>
    <xf numFmtId="0" fontId="51" fillId="0" borderId="17" xfId="1" applyFont="1" applyBorder="1" applyAlignment="1">
      <alignment horizontal="center" vertical="center" wrapText="1"/>
    </xf>
    <xf numFmtId="0" fontId="14" fillId="0" borderId="110" xfId="0" applyFont="1" applyBorder="1" applyAlignment="1">
      <alignment horizontal="left" vertical="center" wrapText="1"/>
    </xf>
    <xf numFmtId="0" fontId="51" fillId="0" borderId="1" xfId="1" applyFont="1" applyBorder="1" applyAlignment="1">
      <alignment horizontal="center" vertical="center" wrapText="1"/>
    </xf>
    <xf numFmtId="0" fontId="11" fillId="2" borderId="15" xfId="0" applyFont="1" applyFill="1" applyBorder="1" applyAlignment="1">
      <alignment horizontal="left"/>
    </xf>
    <xf numFmtId="0" fontId="18" fillId="0" borderId="76" xfId="0" applyFont="1" applyBorder="1" applyAlignment="1">
      <alignment horizontal="center" vertical="center" wrapText="1"/>
    </xf>
    <xf numFmtId="0" fontId="14" fillId="0" borderId="17" xfId="0" applyFont="1" applyBorder="1" applyAlignment="1">
      <alignment horizontal="left" vertical="center" wrapText="1"/>
    </xf>
    <xf numFmtId="0" fontId="14" fillId="0" borderId="17" xfId="1" applyFont="1" applyBorder="1" applyAlignment="1">
      <alignment horizontal="center" vertical="center" wrapText="1"/>
    </xf>
    <xf numFmtId="166" fontId="0" fillId="0" borderId="0" xfId="0" applyNumberFormat="1" applyAlignment="1">
      <alignment vertical="center"/>
    </xf>
    <xf numFmtId="0" fontId="37" fillId="0" borderId="51" xfId="0" applyFont="1" applyBorder="1" applyAlignment="1">
      <alignment horizontal="left" vertical="center" wrapText="1"/>
    </xf>
    <xf numFmtId="0" fontId="37" fillId="0" borderId="51" xfId="0" applyFont="1" applyBorder="1" applyAlignment="1">
      <alignment vertical="center" wrapText="1"/>
    </xf>
    <xf numFmtId="0" fontId="37" fillId="0" borderId="51" xfId="0" applyFont="1" applyBorder="1" applyAlignment="1">
      <alignment horizontal="center" vertical="center" wrapText="1"/>
    </xf>
    <xf numFmtId="0" fontId="38" fillId="0" borderId="0" xfId="0" applyFont="1" applyAlignment="1">
      <alignment horizontal="left" vertical="center" wrapText="1"/>
    </xf>
    <xf numFmtId="0" fontId="37" fillId="0" borderId="0" xfId="0" applyFont="1" applyAlignment="1">
      <alignment vertical="center" wrapText="1"/>
    </xf>
    <xf numFmtId="0" fontId="37" fillId="0" borderId="0" xfId="0" applyFont="1" applyAlignment="1">
      <alignment horizontal="center" vertical="center" wrapText="1"/>
    </xf>
    <xf numFmtId="0" fontId="37" fillId="0" borderId="0" xfId="0" applyFont="1" applyAlignment="1">
      <alignment horizontal="left" vertical="center" wrapText="1"/>
    </xf>
    <xf numFmtId="0" fontId="38" fillId="0" borderId="0" xfId="0" applyFont="1" applyAlignment="1">
      <alignment horizontal="center" vertical="center" wrapText="1"/>
    </xf>
    <xf numFmtId="0" fontId="38" fillId="0" borderId="52" xfId="0" applyFont="1" applyBorder="1" applyAlignment="1">
      <alignment horizontal="left" vertical="center" wrapText="1"/>
    </xf>
    <xf numFmtId="0" fontId="37" fillId="0" borderId="52" xfId="0" applyFont="1" applyBorder="1" applyAlignment="1">
      <alignment vertical="center" wrapText="1"/>
    </xf>
    <xf numFmtId="0" fontId="37" fillId="0" borderId="52" xfId="0" applyFont="1" applyBorder="1" applyAlignment="1">
      <alignment horizontal="center" vertical="center" wrapText="1"/>
    </xf>
    <xf numFmtId="0" fontId="37" fillId="0" borderId="52" xfId="0" applyFont="1" applyBorder="1" applyAlignment="1">
      <alignment horizontal="left" vertical="center" wrapText="1"/>
    </xf>
    <xf numFmtId="0" fontId="38" fillId="0" borderId="52" xfId="0" applyFont="1" applyBorder="1" applyAlignment="1">
      <alignment horizontal="center" vertical="center" wrapText="1"/>
    </xf>
    <xf numFmtId="0" fontId="11" fillId="2" borderId="85" xfId="1" applyFont="1" applyFill="1" applyBorder="1" applyAlignment="1">
      <alignment horizontal="center" vertical="center" wrapText="1"/>
    </xf>
    <xf numFmtId="49" fontId="11" fillId="2" borderId="85" xfId="1" applyNumberFormat="1" applyFont="1" applyFill="1" applyBorder="1" applyAlignment="1">
      <alignment horizontal="center" vertical="center" wrapText="1"/>
    </xf>
    <xf numFmtId="0" fontId="63" fillId="0" borderId="0" xfId="0" applyFont="1"/>
    <xf numFmtId="0" fontId="66" fillId="0" borderId="0" xfId="0" applyFont="1"/>
    <xf numFmtId="0" fontId="19" fillId="15" borderId="84" xfId="0" applyFont="1" applyFill="1" applyBorder="1" applyAlignment="1">
      <alignment horizontal="center" vertical="center" wrapText="1"/>
    </xf>
    <xf numFmtId="0" fontId="18" fillId="0" borderId="24" xfId="1" applyFont="1" applyBorder="1" applyAlignment="1">
      <alignment horizontal="center" vertical="center" wrapText="1"/>
    </xf>
    <xf numFmtId="0" fontId="32" fillId="0" borderId="0" xfId="0" applyFont="1"/>
    <xf numFmtId="0" fontId="19" fillId="0" borderId="84" xfId="0" applyFont="1" applyBorder="1" applyAlignment="1">
      <alignment horizontal="center" vertical="center" wrapText="1"/>
    </xf>
    <xf numFmtId="0" fontId="43" fillId="2" borderId="13" xfId="3" applyFont="1" applyFill="1" applyBorder="1" applyAlignment="1">
      <alignment horizontal="center" vertical="center"/>
    </xf>
    <xf numFmtId="0" fontId="8" fillId="0" borderId="13" xfId="9" applyFont="1" applyBorder="1" applyAlignment="1">
      <alignment horizontal="left" vertical="center" wrapText="1"/>
    </xf>
    <xf numFmtId="0" fontId="35" fillId="0" borderId="13" xfId="11" applyFont="1" applyBorder="1" applyAlignment="1">
      <alignment horizontal="center" vertical="center" wrapText="1"/>
    </xf>
    <xf numFmtId="0" fontId="8" fillId="0" borderId="85" xfId="9" applyFont="1" applyBorder="1" applyAlignment="1">
      <alignment horizontal="left" vertical="center" wrapText="1"/>
    </xf>
    <xf numFmtId="0" fontId="35" fillId="0" borderId="85" xfId="11" applyFont="1" applyBorder="1" applyAlignment="1">
      <alignment horizontal="center" vertical="center" wrapText="1"/>
    </xf>
    <xf numFmtId="0" fontId="35" fillId="0" borderId="85" xfId="0" applyFont="1" applyBorder="1" applyAlignment="1">
      <alignment horizontal="center" vertical="center" wrapText="1"/>
    </xf>
    <xf numFmtId="0" fontId="40" fillId="13" borderId="84" xfId="0" applyFont="1" applyFill="1" applyBorder="1" applyAlignment="1">
      <alignment horizontal="center" vertical="center"/>
    </xf>
    <xf numFmtId="0" fontId="40" fillId="13" borderId="85" xfId="0" applyFont="1" applyFill="1" applyBorder="1" applyAlignment="1">
      <alignment horizontal="center" vertical="center"/>
    </xf>
    <xf numFmtId="0" fontId="41" fillId="0" borderId="85" xfId="0" applyFont="1" applyBorder="1" applyAlignment="1">
      <alignment horizontal="left" vertical="center" wrapText="1"/>
    </xf>
    <xf numFmtId="0" fontId="40" fillId="13" borderId="84" xfId="0" applyFont="1" applyFill="1" applyBorder="1" applyAlignment="1">
      <alignment horizontal="left" vertical="center" wrapText="1"/>
    </xf>
    <xf numFmtId="0" fontId="40" fillId="13" borderId="14" xfId="0" applyFont="1" applyFill="1" applyBorder="1" applyAlignment="1">
      <alignment horizontal="left" vertical="center"/>
    </xf>
    <xf numFmtId="0" fontId="33" fillId="13" borderId="14" xfId="0" applyFont="1" applyFill="1" applyBorder="1" applyAlignment="1">
      <alignment horizontal="left" vertical="center" wrapText="1"/>
    </xf>
    <xf numFmtId="0" fontId="2" fillId="2" borderId="14" xfId="3" applyFont="1" applyFill="1" applyBorder="1" applyAlignment="1">
      <alignment vertical="center"/>
    </xf>
    <xf numFmtId="0" fontId="2" fillId="2" borderId="13" xfId="3" applyFont="1" applyFill="1" applyBorder="1" applyAlignment="1">
      <alignment horizontal="left" vertical="center"/>
    </xf>
    <xf numFmtId="0" fontId="5" fillId="2" borderId="1" xfId="9" applyFont="1" applyFill="1" applyBorder="1" applyAlignment="1">
      <alignment horizontal="center" vertical="center" wrapText="1"/>
    </xf>
    <xf numFmtId="0" fontId="2" fillId="2" borderId="14" xfId="3" applyFont="1" applyFill="1" applyBorder="1" applyAlignment="1">
      <alignment vertical="center" wrapText="1"/>
    </xf>
    <xf numFmtId="0" fontId="0" fillId="0" borderId="5" xfId="0" applyBorder="1" applyAlignment="1">
      <alignment horizontal="left" vertical="center"/>
    </xf>
    <xf numFmtId="0" fontId="0" fillId="0" borderId="5" xfId="0" applyBorder="1" applyAlignment="1">
      <alignment horizontal="left" vertical="center" wrapText="1"/>
    </xf>
    <xf numFmtId="0" fontId="38" fillId="0" borderId="13" xfId="0" applyFont="1" applyBorder="1"/>
    <xf numFmtId="0" fontId="38" fillId="0" borderId="13" xfId="0" applyFont="1" applyBorder="1" applyAlignment="1">
      <alignment wrapText="1"/>
    </xf>
    <xf numFmtId="0" fontId="11" fillId="3" borderId="1" xfId="9" applyFont="1" applyFill="1" applyBorder="1" applyAlignment="1">
      <alignment horizontal="center" vertical="center"/>
    </xf>
    <xf numFmtId="0" fontId="38" fillId="0" borderId="13" xfId="0" applyFont="1" applyBorder="1" applyAlignment="1">
      <alignment horizontal="center" vertical="center" wrapText="1"/>
    </xf>
    <xf numFmtId="0" fontId="41" fillId="0" borderId="13" xfId="0" applyFont="1" applyBorder="1" applyAlignment="1">
      <alignment horizontal="center" vertical="center" wrapText="1"/>
    </xf>
    <xf numFmtId="0" fontId="0" fillId="0" borderId="13" xfId="3" applyFont="1" applyBorder="1" applyAlignment="1">
      <alignment horizontal="center" vertical="center"/>
    </xf>
    <xf numFmtId="0" fontId="0" fillId="0" borderId="14" xfId="3" applyFont="1" applyBorder="1" applyAlignment="1">
      <alignment horizontal="center" vertical="center"/>
    </xf>
    <xf numFmtId="0" fontId="18" fillId="0" borderId="13" xfId="0" applyFont="1" applyBorder="1" applyAlignment="1">
      <alignment horizontal="left" vertical="center" wrapText="1"/>
    </xf>
    <xf numFmtId="0" fontId="18" fillId="0" borderId="12" xfId="1" applyFont="1" applyBorder="1" applyAlignment="1">
      <alignment horizontal="left" vertical="center" wrapText="1"/>
    </xf>
    <xf numFmtId="0" fontId="18" fillId="0" borderId="76" xfId="0" applyFont="1" applyBorder="1" applyAlignment="1">
      <alignment horizontal="left" vertical="center" wrapText="1"/>
    </xf>
    <xf numFmtId="0" fontId="18" fillId="0" borderId="1" xfId="1" applyFont="1" applyBorder="1" applyAlignment="1">
      <alignment horizontal="center" vertical="center" wrapText="1"/>
    </xf>
    <xf numFmtId="0" fontId="20" fillId="7" borderId="13" xfId="9" applyFont="1" applyFill="1" applyBorder="1" applyAlignment="1">
      <alignment horizontal="center" vertical="center" wrapText="1"/>
    </xf>
    <xf numFmtId="0" fontId="32" fillId="16" borderId="13" xfId="3" applyFont="1" applyFill="1" applyBorder="1" applyAlignment="1">
      <alignment horizontal="center" vertical="center" wrapText="1"/>
    </xf>
    <xf numFmtId="0" fontId="0" fillId="10" borderId="20" xfId="0" applyFill="1" applyBorder="1" applyAlignment="1">
      <alignment horizontal="left"/>
    </xf>
    <xf numFmtId="166" fontId="0" fillId="23" borderId="21" xfId="0" applyNumberFormat="1" applyFill="1" applyBorder="1" applyAlignment="1">
      <alignment horizontal="left"/>
    </xf>
    <xf numFmtId="0" fontId="11" fillId="2" borderId="1" xfId="9" applyFont="1" applyFill="1" applyBorder="1" applyAlignment="1">
      <alignment horizontal="center" vertical="center" wrapText="1"/>
    </xf>
    <xf numFmtId="0" fontId="38" fillId="7" borderId="13" xfId="0" applyFont="1" applyFill="1" applyBorder="1" applyAlignment="1">
      <alignment vertical="center"/>
    </xf>
    <xf numFmtId="0" fontId="38" fillId="0" borderId="13" xfId="0" applyFont="1" applyBorder="1" applyAlignment="1">
      <alignment vertical="center" wrapText="1"/>
    </xf>
    <xf numFmtId="0" fontId="38" fillId="0" borderId="13" xfId="0" applyFont="1" applyBorder="1" applyAlignment="1">
      <alignment vertical="center"/>
    </xf>
    <xf numFmtId="0" fontId="34" fillId="0" borderId="5" xfId="0" applyFont="1" applyBorder="1" applyAlignment="1">
      <alignment horizontal="left" vertical="center"/>
    </xf>
    <xf numFmtId="0" fontId="34" fillId="0" borderId="5" xfId="0" applyFont="1" applyBorder="1" applyAlignment="1">
      <alignment horizontal="left" vertical="center" wrapText="1"/>
    </xf>
    <xf numFmtId="0" fontId="34" fillId="0" borderId="9" xfId="0" applyFont="1" applyBorder="1" applyAlignment="1">
      <alignment horizontal="left" vertical="center"/>
    </xf>
    <xf numFmtId="0" fontId="11" fillId="2" borderId="58" xfId="3" applyFont="1" applyFill="1" applyBorder="1" applyAlignment="1">
      <alignment vertical="center"/>
    </xf>
    <xf numFmtId="0" fontId="61" fillId="2" borderId="97" xfId="6" applyFont="1" applyFill="1" applyBorder="1" applyAlignment="1">
      <alignment vertical="center"/>
    </xf>
    <xf numFmtId="0" fontId="11" fillId="2" borderId="30" xfId="3" applyFont="1" applyFill="1" applyBorder="1" applyAlignment="1">
      <alignment vertical="center"/>
    </xf>
    <xf numFmtId="0" fontId="11" fillId="2" borderId="39" xfId="3" applyFont="1" applyFill="1" applyBorder="1" applyAlignment="1">
      <alignment vertical="center"/>
    </xf>
    <xf numFmtId="0" fontId="0" fillId="3" borderId="16" xfId="0" applyFill="1" applyBorder="1"/>
    <xf numFmtId="0" fontId="11" fillId="2" borderId="39" xfId="3" applyFont="1" applyFill="1" applyBorder="1" applyAlignment="1">
      <alignment horizontal="center" vertical="center"/>
    </xf>
    <xf numFmtId="0" fontId="0" fillId="0" borderId="13" xfId="0" applyBorder="1" applyAlignment="1">
      <alignment vertical="center"/>
    </xf>
    <xf numFmtId="0" fontId="0" fillId="7" borderId="13" xfId="0" applyFill="1" applyBorder="1" applyAlignment="1">
      <alignment horizontal="left" vertical="center"/>
    </xf>
    <xf numFmtId="0" fontId="0" fillId="7" borderId="13" xfId="0" applyFill="1" applyBorder="1" applyAlignment="1">
      <alignment horizontal="left" vertical="center" wrapText="1"/>
    </xf>
    <xf numFmtId="0" fontId="0" fillId="7" borderId="13" xfId="0" applyFill="1" applyBorder="1" applyAlignment="1">
      <alignment horizontal="center" vertical="center"/>
    </xf>
    <xf numFmtId="0" fontId="0" fillId="7" borderId="13" xfId="0" applyFill="1" applyBorder="1" applyAlignment="1">
      <alignment horizontal="center" vertical="center" wrapText="1"/>
    </xf>
    <xf numFmtId="0" fontId="34" fillId="0" borderId="9" xfId="0" applyFont="1" applyBorder="1" applyAlignment="1">
      <alignment horizontal="left" vertical="center" wrapText="1"/>
    </xf>
    <xf numFmtId="0" fontId="0" fillId="0" borderId="0" xfId="0" applyAlignment="1">
      <alignment horizontal="left" vertical="center"/>
    </xf>
    <xf numFmtId="0" fontId="3" fillId="2" borderId="4" xfId="1" applyFont="1" applyFill="1" applyBorder="1" applyAlignment="1">
      <alignment horizontal="left" vertical="center"/>
    </xf>
    <xf numFmtId="0" fontId="3" fillId="2" borderId="5" xfId="1" applyFont="1" applyFill="1" applyBorder="1" applyAlignment="1">
      <alignment horizontal="left" vertical="center"/>
    </xf>
    <xf numFmtId="0" fontId="3" fillId="2" borderId="5" xfId="1" applyFont="1" applyFill="1" applyBorder="1" applyAlignment="1">
      <alignment horizontal="center" vertical="center"/>
    </xf>
    <xf numFmtId="49" fontId="3" fillId="2" borderId="5" xfId="1" applyNumberFormat="1" applyFont="1" applyFill="1" applyBorder="1" applyAlignment="1">
      <alignment horizontal="center" vertical="center"/>
    </xf>
    <xf numFmtId="0" fontId="5" fillId="0" borderId="4" xfId="0" applyFont="1" applyBorder="1" applyAlignment="1">
      <alignment horizontal="left" vertical="center"/>
    </xf>
    <xf numFmtId="0" fontId="35" fillId="0" borderId="5" xfId="0" applyFont="1" applyBorder="1" applyAlignment="1">
      <alignment horizontal="left" vertical="center" wrapText="1"/>
    </xf>
    <xf numFmtId="0" fontId="6" fillId="0" borderId="5" xfId="0" applyFont="1" applyBorder="1" applyAlignment="1">
      <alignment horizontal="left" vertical="center" wrapText="1"/>
    </xf>
    <xf numFmtId="0" fontId="0" fillId="0" borderId="6" xfId="0" applyBorder="1" applyAlignment="1">
      <alignment horizontal="left" vertical="center"/>
    </xf>
    <xf numFmtId="0" fontId="6" fillId="0" borderId="5" xfId="0" applyFont="1" applyBorder="1" applyAlignment="1">
      <alignment horizontal="left" vertical="center"/>
    </xf>
    <xf numFmtId="0" fontId="11" fillId="0" borderId="4" xfId="0" applyFont="1" applyBorder="1" applyAlignment="1">
      <alignment horizontal="left" vertical="center"/>
    </xf>
    <xf numFmtId="0" fontId="14" fillId="0" borderId="5" xfId="0" applyFont="1" applyBorder="1" applyAlignment="1">
      <alignment horizontal="left" vertical="center"/>
    </xf>
    <xf numFmtId="0" fontId="42" fillId="0" borderId="4" xfId="0" applyFont="1" applyBorder="1" applyAlignment="1">
      <alignment horizontal="left" vertical="center" wrapText="1"/>
    </xf>
    <xf numFmtId="0" fontId="41" fillId="0" borderId="5" xfId="0" applyFont="1" applyBorder="1" applyAlignment="1">
      <alignment horizontal="left" vertical="center" wrapText="1"/>
    </xf>
    <xf numFmtId="0" fontId="14" fillId="0" borderId="5" xfId="1" applyFont="1" applyBorder="1" applyAlignment="1">
      <alignment horizontal="left" vertical="center" wrapText="1"/>
    </xf>
    <xf numFmtId="0" fontId="0" fillId="0" borderId="8" xfId="0" applyBorder="1" applyAlignment="1">
      <alignment horizontal="left" vertical="center"/>
    </xf>
    <xf numFmtId="0" fontId="0" fillId="0" borderId="10" xfId="0" applyBorder="1" applyAlignment="1">
      <alignment horizontal="left" vertical="center"/>
    </xf>
    <xf numFmtId="0" fontId="11" fillId="0" borderId="7" xfId="0" applyFont="1" applyBorder="1" applyAlignment="1">
      <alignment vertical="center"/>
    </xf>
    <xf numFmtId="0" fontId="14" fillId="0" borderId="0" xfId="0" applyFont="1" applyAlignment="1">
      <alignment vertical="center"/>
    </xf>
    <xf numFmtId="0" fontId="6" fillId="0" borderId="0" xfId="1" applyFont="1" applyAlignment="1">
      <alignment horizontal="left" vertical="center" wrapText="1"/>
    </xf>
    <xf numFmtId="0" fontId="8" fillId="0" borderId="0" xfId="0" applyFont="1" applyAlignment="1">
      <alignment horizontal="left" vertical="center" wrapText="1"/>
    </xf>
    <xf numFmtId="0" fontId="46" fillId="0" borderId="0" xfId="0" applyFont="1" applyAlignment="1">
      <alignment horizontal="left" vertical="center" wrapText="1"/>
    </xf>
    <xf numFmtId="0" fontId="32" fillId="0" borderId="0" xfId="0" applyFont="1" applyAlignment="1">
      <alignment horizontal="left" vertical="center" wrapText="1"/>
    </xf>
    <xf numFmtId="0" fontId="34" fillId="0" borderId="0" xfId="0" applyFont="1" applyAlignment="1">
      <alignment horizontal="left" vertical="center"/>
    </xf>
    <xf numFmtId="0" fontId="0" fillId="7" borderId="13" xfId="0" applyFill="1" applyBorder="1" applyAlignment="1">
      <alignment vertical="center"/>
    </xf>
    <xf numFmtId="0" fontId="51" fillId="0" borderId="85" xfId="9" applyFont="1" applyBorder="1" applyAlignment="1">
      <alignment horizontal="left" vertical="center" wrapText="1"/>
    </xf>
    <xf numFmtId="0" fontId="51" fillId="0" borderId="15" xfId="9" applyFont="1" applyBorder="1" applyAlignment="1">
      <alignment horizontal="left" vertical="center" wrapText="1"/>
    </xf>
    <xf numFmtId="0" fontId="38" fillId="0" borderId="41" xfId="0" applyFont="1" applyBorder="1" applyAlignment="1">
      <alignment horizontal="left" vertical="center" wrapText="1"/>
    </xf>
    <xf numFmtId="166" fontId="38" fillId="0" borderId="41" xfId="0" applyNumberFormat="1" applyFont="1" applyBorder="1" applyAlignment="1">
      <alignment horizontal="left" vertical="center" wrapText="1"/>
    </xf>
    <xf numFmtId="167" fontId="38" fillId="0" borderId="41" xfId="0" applyNumberFormat="1" applyFont="1" applyBorder="1" applyAlignment="1">
      <alignment horizontal="left" vertical="center" wrapText="1"/>
    </xf>
    <xf numFmtId="0" fontId="38" fillId="0" borderId="43" xfId="0" applyFont="1" applyBorder="1" applyAlignment="1">
      <alignment horizontal="left" vertical="center" wrapText="1"/>
    </xf>
    <xf numFmtId="0" fontId="0" fillId="0" borderId="17" xfId="0" applyBorder="1" applyAlignment="1">
      <alignment horizontal="center" vertical="center"/>
    </xf>
    <xf numFmtId="0" fontId="19" fillId="7" borderId="84" xfId="0" applyFont="1" applyFill="1" applyBorder="1" applyAlignment="1">
      <alignment horizontal="center" vertical="center" wrapText="1"/>
    </xf>
    <xf numFmtId="0" fontId="0" fillId="7" borderId="0" xfId="0" applyFill="1"/>
    <xf numFmtId="0" fontId="0" fillId="23" borderId="20" xfId="0" applyFill="1" applyBorder="1" applyAlignment="1">
      <alignment horizontal="left"/>
    </xf>
    <xf numFmtId="166" fontId="38" fillId="0" borderId="0" xfId="0" applyNumberFormat="1" applyFont="1" applyAlignment="1">
      <alignment horizontal="left" wrapText="1"/>
    </xf>
    <xf numFmtId="0" fontId="11" fillId="2" borderId="17" xfId="3" applyFont="1" applyFill="1" applyBorder="1" applyAlignment="1">
      <alignment horizontal="center" vertical="center"/>
    </xf>
    <xf numFmtId="0" fontId="3" fillId="2" borderId="6" xfId="1" applyFont="1" applyFill="1" applyBorder="1" applyAlignment="1">
      <alignment horizontal="center" vertical="center" wrapText="1"/>
    </xf>
    <xf numFmtId="166" fontId="0" fillId="24" borderId="21" xfId="0" applyNumberFormat="1" applyFill="1" applyBorder="1" applyAlignment="1">
      <alignment horizontal="left"/>
    </xf>
    <xf numFmtId="0" fontId="32" fillId="16" borderId="23" xfId="3" applyFont="1" applyFill="1" applyBorder="1" applyAlignment="1">
      <alignment horizontal="center" vertical="center" wrapText="1"/>
    </xf>
    <xf numFmtId="0" fontId="20" fillId="7" borderId="23" xfId="9" applyFont="1" applyFill="1" applyBorder="1" applyAlignment="1">
      <alignment horizontal="center" vertical="center" wrapText="1"/>
    </xf>
    <xf numFmtId="0" fontId="0" fillId="0" borderId="31" xfId="3" applyFont="1" applyBorder="1" applyAlignment="1">
      <alignment horizontal="center" vertical="center"/>
    </xf>
    <xf numFmtId="0" fontId="38" fillId="7" borderId="13" xfId="0" applyFont="1" applyFill="1" applyBorder="1" applyAlignment="1">
      <alignment horizontal="center" vertical="center" wrapText="1"/>
    </xf>
    <xf numFmtId="0" fontId="0" fillId="23" borderId="0" xfId="0" applyFill="1" applyAlignment="1">
      <alignment horizontal="left"/>
    </xf>
    <xf numFmtId="0" fontId="0" fillId="6" borderId="13" xfId="0" applyFill="1" applyBorder="1" applyAlignment="1">
      <alignment horizontal="center" vertical="center"/>
    </xf>
    <xf numFmtId="0" fontId="0" fillId="0" borderId="13" xfId="0" applyBorder="1" applyAlignment="1">
      <alignment horizontal="center"/>
    </xf>
    <xf numFmtId="0" fontId="0" fillId="0" borderId="17" xfId="0" applyBorder="1" applyAlignment="1">
      <alignment horizontal="center"/>
    </xf>
    <xf numFmtId="0" fontId="29" fillId="0" borderId="13" xfId="0" applyFont="1" applyBorder="1" applyAlignment="1">
      <alignment horizontal="center" vertical="center"/>
    </xf>
    <xf numFmtId="0" fontId="52" fillId="0" borderId="13" xfId="0" applyFont="1" applyBorder="1" applyAlignment="1">
      <alignment horizontal="center" vertical="center" wrapText="1"/>
    </xf>
    <xf numFmtId="0" fontId="52" fillId="0" borderId="13" xfId="0" applyFont="1" applyBorder="1" applyAlignment="1">
      <alignment horizontal="center" vertical="center"/>
    </xf>
    <xf numFmtId="0" fontId="38" fillId="0" borderId="14" xfId="0" applyFont="1" applyBorder="1" applyAlignment="1">
      <alignment wrapText="1"/>
    </xf>
    <xf numFmtId="0" fontId="70" fillId="0" borderId="13" xfId="0" applyFont="1" applyBorder="1" applyAlignment="1">
      <alignment horizontal="center"/>
    </xf>
    <xf numFmtId="0" fontId="7" fillId="0" borderId="13" xfId="4" applyFont="1" applyFill="1" applyBorder="1" applyAlignment="1">
      <alignment horizontal="center" vertical="center" wrapText="1"/>
    </xf>
    <xf numFmtId="0" fontId="20" fillId="0" borderId="13" xfId="3" applyFont="1" applyBorder="1" applyAlignment="1">
      <alignment horizontal="center" vertical="center"/>
    </xf>
    <xf numFmtId="0" fontId="11" fillId="2" borderId="53" xfId="3" applyFont="1" applyFill="1" applyBorder="1" applyAlignment="1">
      <alignment vertical="center"/>
    </xf>
    <xf numFmtId="0" fontId="51" fillId="0" borderId="116" xfId="1" applyFont="1" applyBorder="1" applyAlignment="1">
      <alignment horizontal="center" vertical="center" wrapText="1"/>
    </xf>
    <xf numFmtId="0" fontId="14" fillId="0" borderId="117" xfId="0" applyFont="1" applyBorder="1" applyAlignment="1">
      <alignment horizontal="center" vertical="center" wrapText="1"/>
    </xf>
    <xf numFmtId="0" fontId="14" fillId="0" borderId="118" xfId="0" applyFont="1" applyBorder="1" applyAlignment="1">
      <alignment horizontal="center" vertical="center" wrapText="1"/>
    </xf>
    <xf numFmtId="0" fontId="11" fillId="2" borderId="120" xfId="3" applyFont="1" applyFill="1" applyBorder="1" applyAlignment="1">
      <alignment vertical="center"/>
    </xf>
    <xf numFmtId="0" fontId="14" fillId="0" borderId="122" xfId="0" applyFont="1" applyBorder="1" applyAlignment="1">
      <alignment horizontal="center" vertical="center" wrapText="1"/>
    </xf>
    <xf numFmtId="0" fontId="14" fillId="0" borderId="123" xfId="0" applyFont="1" applyBorder="1" applyAlignment="1">
      <alignment horizontal="center" vertical="center" wrapText="1"/>
    </xf>
    <xf numFmtId="0" fontId="14" fillId="0" borderId="124" xfId="0" applyFont="1" applyBorder="1" applyAlignment="1">
      <alignment horizontal="center" vertical="center" wrapText="1"/>
    </xf>
    <xf numFmtId="0" fontId="14" fillId="0" borderId="125" xfId="0" applyFont="1" applyBorder="1" applyAlignment="1">
      <alignment horizontal="center" vertical="center" wrapText="1"/>
    </xf>
    <xf numFmtId="0" fontId="14" fillId="0" borderId="126" xfId="0" applyFont="1" applyBorder="1" applyAlignment="1">
      <alignment horizontal="center" vertical="center" wrapText="1"/>
    </xf>
    <xf numFmtId="0" fontId="14" fillId="0" borderId="8" xfId="0" applyFont="1" applyBorder="1" applyAlignment="1">
      <alignment horizontal="center" vertical="center" wrapText="1"/>
    </xf>
    <xf numFmtId="0" fontId="14" fillId="0" borderId="10" xfId="0" applyFont="1" applyBorder="1" applyAlignment="1">
      <alignment horizontal="center" vertical="center" wrapText="1"/>
    </xf>
    <xf numFmtId="0" fontId="2" fillId="2" borderId="121" xfId="1" applyFont="1" applyFill="1" applyBorder="1" applyAlignment="1">
      <alignment horizontal="center" vertical="center" wrapText="1"/>
    </xf>
    <xf numFmtId="0" fontId="18" fillId="0" borderId="119" xfId="1" applyFont="1" applyBorder="1" applyAlignment="1">
      <alignment horizontal="left" vertical="center" wrapText="1"/>
    </xf>
    <xf numFmtId="0" fontId="18" fillId="0" borderId="15" xfId="1" applyFont="1" applyBorder="1" applyAlignment="1">
      <alignment horizontal="left" vertical="center" wrapText="1"/>
    </xf>
    <xf numFmtId="0" fontId="18" fillId="0" borderId="16" xfId="1" applyFont="1" applyBorder="1" applyAlignment="1">
      <alignment horizontal="left" vertical="center" wrapText="1"/>
    </xf>
    <xf numFmtId="0" fontId="14" fillId="0" borderId="109" xfId="0" applyFont="1" applyBorder="1" applyAlignment="1">
      <alignment horizontal="left" vertical="center" wrapText="1"/>
    </xf>
    <xf numFmtId="0" fontId="11" fillId="2" borderId="0" xfId="3" applyFont="1" applyFill="1" applyAlignment="1">
      <alignment vertical="center"/>
    </xf>
    <xf numFmtId="0" fontId="3" fillId="2" borderId="8" xfId="1" applyFont="1" applyFill="1" applyBorder="1" applyAlignment="1">
      <alignment horizontal="center" vertical="center" wrapText="1"/>
    </xf>
    <xf numFmtId="0" fontId="11" fillId="2" borderId="0" xfId="3" applyFont="1" applyFill="1" applyAlignment="1">
      <alignment horizontal="center" vertical="center"/>
    </xf>
    <xf numFmtId="0" fontId="52" fillId="0" borderId="0" xfId="0" applyFont="1" applyAlignment="1">
      <alignment horizontal="center" vertical="center" wrapText="1"/>
    </xf>
    <xf numFmtId="0" fontId="11" fillId="2" borderId="13" xfId="3" applyFont="1" applyFill="1" applyBorder="1" applyAlignment="1">
      <alignment vertical="center"/>
    </xf>
    <xf numFmtId="0" fontId="11" fillId="2" borderId="11" xfId="3" applyFont="1" applyFill="1" applyBorder="1" applyAlignment="1">
      <alignment vertical="center"/>
    </xf>
    <xf numFmtId="0" fontId="11" fillId="2" borderId="12" xfId="3" applyFont="1" applyFill="1" applyBorder="1" applyAlignment="1">
      <alignment horizontal="left" vertical="center"/>
    </xf>
    <xf numFmtId="0" fontId="11" fillId="2" borderId="99" xfId="3" applyFont="1" applyFill="1" applyBorder="1" applyAlignment="1">
      <alignment vertical="center"/>
    </xf>
    <xf numFmtId="0" fontId="61" fillId="2" borderId="91" xfId="6" applyFont="1" applyFill="1" applyBorder="1" applyAlignment="1">
      <alignment vertical="center"/>
    </xf>
    <xf numFmtId="0" fontId="11" fillId="2" borderId="70" xfId="3" applyFont="1" applyFill="1" applyBorder="1" applyAlignment="1">
      <alignment vertical="center"/>
    </xf>
    <xf numFmtId="0" fontId="11" fillId="2" borderId="7" xfId="3" applyFont="1" applyFill="1" applyBorder="1" applyAlignment="1">
      <alignment vertical="center"/>
    </xf>
    <xf numFmtId="0" fontId="11" fillId="2" borderId="8" xfId="3" applyFont="1" applyFill="1" applyBorder="1" applyAlignment="1">
      <alignment vertical="center"/>
    </xf>
    <xf numFmtId="0" fontId="35" fillId="0" borderId="5" xfId="0" applyFont="1" applyBorder="1" applyAlignment="1">
      <alignment horizontal="left" vertical="top" wrapText="1"/>
    </xf>
    <xf numFmtId="0" fontId="35" fillId="0" borderId="5" xfId="0" applyFont="1" applyBorder="1" applyAlignment="1">
      <alignment vertical="top" wrapText="1"/>
    </xf>
    <xf numFmtId="0" fontId="35" fillId="0" borderId="5" xfId="0" applyFont="1" applyBorder="1" applyAlignment="1">
      <alignment horizontal="center" vertical="center" wrapText="1"/>
    </xf>
    <xf numFmtId="0" fontId="52" fillId="0" borderId="5" xfId="0" applyFont="1" applyBorder="1" applyAlignment="1">
      <alignment horizontal="center" vertical="center" wrapText="1"/>
    </xf>
    <xf numFmtId="0" fontId="2" fillId="2" borderId="93" xfId="1" applyFont="1" applyFill="1" applyBorder="1" applyAlignment="1">
      <alignment horizontal="left" vertical="center"/>
    </xf>
    <xf numFmtId="0" fontId="2" fillId="2" borderId="80" xfId="1" applyFont="1" applyFill="1" applyBorder="1" applyAlignment="1">
      <alignment horizontal="left" vertical="center"/>
    </xf>
    <xf numFmtId="0" fontId="2" fillId="2" borderId="80" xfId="1" applyFont="1" applyFill="1" applyBorder="1" applyAlignment="1">
      <alignment horizontal="center" vertical="center"/>
    </xf>
    <xf numFmtId="0" fontId="2" fillId="2" borderId="80" xfId="1" applyFont="1" applyFill="1" applyBorder="1" applyAlignment="1">
      <alignment horizontal="left" vertical="top"/>
    </xf>
    <xf numFmtId="49" fontId="2" fillId="2" borderId="80" xfId="1" applyNumberFormat="1" applyFont="1" applyFill="1" applyBorder="1" applyAlignment="1">
      <alignment horizontal="center" vertical="center"/>
    </xf>
    <xf numFmtId="0" fontId="2" fillId="2" borderId="135" xfId="1" applyFont="1" applyFill="1" applyBorder="1" applyAlignment="1">
      <alignment horizontal="center" vertical="center"/>
    </xf>
    <xf numFmtId="0" fontId="3" fillId="2" borderId="100" xfId="1" applyFont="1" applyFill="1" applyBorder="1" applyAlignment="1">
      <alignment horizontal="center" vertical="center" wrapText="1"/>
    </xf>
    <xf numFmtId="0" fontId="2" fillId="0" borderId="111" xfId="0" applyFont="1" applyBorder="1" applyAlignment="1">
      <alignment horizontal="left" vertical="center"/>
    </xf>
    <xf numFmtId="0" fontId="35" fillId="0" borderId="112" xfId="0" applyFont="1" applyBorder="1" applyAlignment="1">
      <alignment horizontal="left" vertical="top" wrapText="1"/>
    </xf>
    <xf numFmtId="0" fontId="0" fillId="0" borderId="112" xfId="0" applyBorder="1" applyAlignment="1">
      <alignment wrapText="1"/>
    </xf>
    <xf numFmtId="0" fontId="35" fillId="0" borderId="112" xfId="0" applyFont="1" applyBorder="1" applyAlignment="1">
      <alignment horizontal="center" vertical="center" wrapText="1"/>
    </xf>
    <xf numFmtId="0" fontId="52" fillId="0" borderId="112" xfId="0" applyFont="1" applyBorder="1" applyAlignment="1">
      <alignment horizontal="center" vertical="center" wrapText="1"/>
    </xf>
    <xf numFmtId="0" fontId="14" fillId="0" borderId="6" xfId="0" applyFont="1" applyBorder="1" applyAlignment="1">
      <alignment horizontal="center" vertical="center"/>
    </xf>
    <xf numFmtId="0" fontId="14" fillId="0" borderId="8" xfId="0" applyFont="1" applyBorder="1" applyAlignment="1">
      <alignment horizontal="center" vertical="center"/>
    </xf>
    <xf numFmtId="0" fontId="35" fillId="0" borderId="126" xfId="0" applyFont="1" applyBorder="1" applyAlignment="1">
      <alignment horizontal="center" vertical="center" wrapText="1"/>
    </xf>
    <xf numFmtId="0" fontId="3" fillId="2" borderId="2" xfId="1" applyFont="1" applyFill="1" applyBorder="1" applyAlignment="1">
      <alignment horizontal="center" vertical="center"/>
    </xf>
    <xf numFmtId="0" fontId="41" fillId="0" borderId="0" xfId="0" applyFont="1" applyAlignment="1">
      <alignment horizontal="center" vertical="center" wrapText="1"/>
    </xf>
    <xf numFmtId="0" fontId="11" fillId="2" borderId="25" xfId="3" applyFont="1" applyFill="1" applyBorder="1" applyAlignment="1">
      <alignment vertical="center"/>
    </xf>
    <xf numFmtId="0" fontId="11" fillId="2" borderId="86" xfId="3" applyFont="1" applyFill="1" applyBorder="1" applyAlignment="1">
      <alignment horizontal="left" vertical="center"/>
    </xf>
    <xf numFmtId="0" fontId="62" fillId="2" borderId="86" xfId="6" applyFont="1" applyFill="1" applyBorder="1" applyAlignment="1">
      <alignment vertical="center"/>
    </xf>
    <xf numFmtId="0" fontId="62" fillId="2" borderId="86" xfId="6" applyFont="1" applyFill="1" applyBorder="1" applyAlignment="1">
      <alignment horizontal="left" vertical="center"/>
    </xf>
    <xf numFmtId="0" fontId="62" fillId="2" borderId="137" xfId="6" applyFont="1" applyFill="1" applyBorder="1" applyAlignment="1">
      <alignment vertical="center"/>
    </xf>
    <xf numFmtId="0" fontId="62" fillId="2" borderId="136" xfId="6" applyFont="1" applyFill="1" applyBorder="1" applyAlignment="1">
      <alignment vertical="center"/>
    </xf>
    <xf numFmtId="0" fontId="11" fillId="2" borderId="31" xfId="3" applyFont="1" applyFill="1" applyBorder="1" applyAlignment="1">
      <alignment vertical="center"/>
    </xf>
    <xf numFmtId="0" fontId="11" fillId="2" borderId="33" xfId="3" applyFont="1" applyFill="1" applyBorder="1" applyAlignment="1">
      <alignment vertical="center"/>
    </xf>
    <xf numFmtId="0" fontId="11" fillId="2" borderId="33" xfId="3" applyFont="1" applyFill="1" applyBorder="1" applyAlignment="1">
      <alignment horizontal="center" vertical="center"/>
    </xf>
    <xf numFmtId="0" fontId="11" fillId="2" borderId="29" xfId="3" applyFont="1" applyFill="1" applyBorder="1" applyAlignment="1">
      <alignment vertical="center"/>
    </xf>
    <xf numFmtId="0" fontId="35" fillId="0" borderId="39" xfId="0" applyFont="1" applyBorder="1" applyAlignment="1">
      <alignment horizontal="left" vertical="top" wrapText="1"/>
    </xf>
    <xf numFmtId="0" fontId="35" fillId="0" borderId="39" xfId="0" applyFont="1" applyBorder="1" applyAlignment="1">
      <alignment vertical="top" wrapText="1"/>
    </xf>
    <xf numFmtId="0" fontId="35" fillId="0" borderId="39" xfId="0" applyFont="1" applyBorder="1" applyAlignment="1">
      <alignment horizontal="center" vertical="center" wrapText="1"/>
    </xf>
    <xf numFmtId="0" fontId="35" fillId="0" borderId="39" xfId="0" applyFont="1" applyBorder="1" applyAlignment="1">
      <alignment horizontal="center" vertical="top" wrapText="1"/>
    </xf>
    <xf numFmtId="0" fontId="14" fillId="0" borderId="16" xfId="0" applyFont="1" applyBorder="1" applyAlignment="1">
      <alignment horizontal="center" vertical="center"/>
    </xf>
    <xf numFmtId="0" fontId="41" fillId="0" borderId="0" xfId="0" applyFont="1" applyAlignment="1">
      <alignment horizontal="center" vertical="top" wrapText="1"/>
    </xf>
    <xf numFmtId="0" fontId="14" fillId="0" borderId="28" xfId="0" applyFont="1" applyBorder="1" applyAlignment="1">
      <alignment horizontal="center" vertical="center"/>
    </xf>
    <xf numFmtId="0" fontId="8" fillId="0" borderId="0" xfId="1" applyFont="1" applyAlignment="1">
      <alignment horizontal="left" vertical="center" wrapText="1"/>
    </xf>
    <xf numFmtId="0" fontId="3" fillId="2" borderId="35" xfId="1" applyFont="1" applyFill="1" applyBorder="1" applyAlignment="1">
      <alignment horizontal="center" vertical="center"/>
    </xf>
    <xf numFmtId="0" fontId="41" fillId="0" borderId="39" xfId="0" applyFont="1" applyBorder="1" applyAlignment="1">
      <alignment vertical="top" wrapText="1"/>
    </xf>
    <xf numFmtId="0" fontId="41" fillId="0" borderId="39" xfId="0" applyFont="1" applyBorder="1" applyAlignment="1">
      <alignment horizontal="center" vertical="center" wrapText="1"/>
    </xf>
    <xf numFmtId="0" fontId="41" fillId="0" borderId="0" xfId="0" applyFont="1" applyAlignment="1">
      <alignment horizontal="left" vertical="top" wrapText="1"/>
    </xf>
    <xf numFmtId="0" fontId="14" fillId="0" borderId="28" xfId="0" applyFont="1" applyBorder="1" applyAlignment="1">
      <alignment horizontal="center" vertical="center" wrapText="1"/>
    </xf>
    <xf numFmtId="0" fontId="41" fillId="0" borderId="39" xfId="0" applyFont="1" applyBorder="1" applyAlignment="1">
      <alignment horizontal="left" vertical="top" wrapText="1"/>
    </xf>
    <xf numFmtId="0" fontId="64" fillId="0" borderId="28" xfId="0" applyFont="1" applyBorder="1" applyAlignment="1">
      <alignment horizontal="center" vertical="center" wrapText="1"/>
    </xf>
    <xf numFmtId="0" fontId="41" fillId="0" borderId="39" xfId="0" applyFont="1" applyBorder="1" applyAlignment="1">
      <alignment horizontal="center" vertical="top" wrapText="1"/>
    </xf>
    <xf numFmtId="0" fontId="35" fillId="0" borderId="33" xfId="0" applyFont="1" applyBorder="1" applyAlignment="1">
      <alignment horizontal="center" vertical="top" wrapText="1"/>
    </xf>
    <xf numFmtId="0" fontId="35" fillId="0" borderId="33" xfId="0" applyFont="1" applyBorder="1" applyAlignment="1">
      <alignment horizontal="left" vertical="center" wrapText="1"/>
    </xf>
    <xf numFmtId="0" fontId="35" fillId="0" borderId="33" xfId="0" applyFont="1" applyBorder="1" applyAlignment="1">
      <alignment vertical="center" wrapText="1"/>
    </xf>
    <xf numFmtId="0" fontId="14" fillId="0" borderId="133" xfId="0" applyFont="1" applyBorder="1" applyAlignment="1">
      <alignment horizontal="center" vertical="center" wrapText="1"/>
    </xf>
    <xf numFmtId="0" fontId="14" fillId="0" borderId="138" xfId="0" applyFont="1" applyBorder="1" applyAlignment="1">
      <alignment horizontal="center" vertical="center" wrapText="1"/>
    </xf>
    <xf numFmtId="0" fontId="14" fillId="0" borderId="134" xfId="0" applyFont="1" applyBorder="1" applyAlignment="1">
      <alignment horizontal="center" vertical="center" wrapText="1"/>
    </xf>
    <xf numFmtId="0" fontId="0" fillId="0" borderId="28" xfId="0" applyBorder="1" applyAlignment="1">
      <alignment horizontal="center" vertical="center"/>
    </xf>
    <xf numFmtId="0" fontId="62" fillId="2" borderId="13" xfId="6" applyFont="1" applyFill="1" applyBorder="1" applyAlignment="1">
      <alignment vertical="center" wrapText="1"/>
    </xf>
    <xf numFmtId="0" fontId="62" fillId="2" borderId="23" xfId="6" applyFont="1" applyFill="1" applyBorder="1" applyAlignment="1">
      <alignment vertical="center" wrapText="1"/>
    </xf>
    <xf numFmtId="166" fontId="0" fillId="23" borderId="0" xfId="0" applyNumberFormat="1" applyFill="1" applyAlignment="1">
      <alignment horizontal="left"/>
    </xf>
    <xf numFmtId="0" fontId="40" fillId="13" borderId="13" xfId="0" applyFont="1" applyFill="1" applyBorder="1" applyAlignment="1">
      <alignment horizontal="center" vertical="center" wrapText="1"/>
    </xf>
    <xf numFmtId="0" fontId="40" fillId="13" borderId="83" xfId="0" applyFont="1" applyFill="1" applyBorder="1" applyAlignment="1">
      <alignment horizontal="center" vertical="center"/>
    </xf>
    <xf numFmtId="0" fontId="40" fillId="13" borderId="16" xfId="0" applyFont="1" applyFill="1" applyBorder="1" applyAlignment="1">
      <alignment horizontal="center" vertical="center"/>
    </xf>
    <xf numFmtId="166" fontId="0" fillId="10" borderId="20" xfId="0" applyNumberFormat="1" applyFill="1" applyBorder="1" applyAlignment="1">
      <alignment horizontal="left"/>
    </xf>
    <xf numFmtId="0" fontId="3" fillId="2" borderId="28" xfId="1" applyFont="1" applyFill="1" applyBorder="1" applyAlignment="1">
      <alignment horizontal="center" vertical="center" wrapText="1"/>
    </xf>
    <xf numFmtId="0" fontId="2" fillId="2" borderId="97" xfId="1" applyFont="1" applyFill="1" applyBorder="1" applyAlignment="1">
      <alignment horizontal="center" vertical="center"/>
    </xf>
    <xf numFmtId="0" fontId="11" fillId="2" borderId="49" xfId="3" applyFont="1" applyFill="1" applyBorder="1" applyAlignment="1">
      <alignment horizontal="center" vertical="center"/>
    </xf>
    <xf numFmtId="0" fontId="2" fillId="2" borderId="100" xfId="1" applyFont="1" applyFill="1" applyBorder="1" applyAlignment="1">
      <alignment horizontal="center" vertical="center" wrapText="1"/>
    </xf>
    <xf numFmtId="0" fontId="11" fillId="2" borderId="139" xfId="3" applyFont="1" applyFill="1" applyBorder="1" applyAlignment="1">
      <alignment vertical="center" wrapText="1"/>
    </xf>
    <xf numFmtId="0" fontId="11" fillId="2" borderId="12" xfId="3" applyFont="1" applyFill="1" applyBorder="1" applyAlignment="1">
      <alignment vertical="center"/>
    </xf>
    <xf numFmtId="0" fontId="62" fillId="2" borderId="12" xfId="6" applyFont="1" applyFill="1" applyBorder="1" applyAlignment="1">
      <alignment vertical="center"/>
    </xf>
    <xf numFmtId="0" fontId="62" fillId="2" borderId="91" xfId="6" applyFont="1" applyFill="1" applyBorder="1" applyAlignment="1">
      <alignment vertical="center"/>
    </xf>
    <xf numFmtId="0" fontId="0" fillId="0" borderId="14" xfId="0" applyBorder="1" applyAlignment="1">
      <alignment horizontal="left" vertical="center"/>
    </xf>
    <xf numFmtId="0" fontId="0" fillId="0" borderId="30" xfId="0" applyBorder="1" applyAlignment="1">
      <alignment horizontal="left" vertical="center"/>
    </xf>
    <xf numFmtId="0" fontId="0" fillId="0" borderId="103" xfId="0" applyBorder="1" applyAlignment="1">
      <alignment horizontal="left" vertical="center"/>
    </xf>
    <xf numFmtId="0" fontId="0" fillId="0" borderId="141" xfId="0" applyBorder="1" applyAlignment="1">
      <alignment horizontal="center" vertical="center" wrapText="1"/>
    </xf>
    <xf numFmtId="0" fontId="0" fillId="0" borderId="92" xfId="0" applyBorder="1" applyAlignment="1">
      <alignment horizontal="left" vertical="center"/>
    </xf>
    <xf numFmtId="0" fontId="0" fillId="0" borderId="92" xfId="0" applyBorder="1" applyAlignment="1">
      <alignment horizontal="left" vertical="center" wrapText="1"/>
    </xf>
    <xf numFmtId="0" fontId="52" fillId="0" borderId="92" xfId="0" applyFont="1" applyBorder="1" applyAlignment="1">
      <alignment horizontal="left" vertical="center"/>
    </xf>
    <xf numFmtId="0" fontId="0" fillId="0" borderId="142" xfId="0" applyBorder="1" applyAlignment="1">
      <alignment horizontal="left" vertical="center"/>
    </xf>
    <xf numFmtId="0" fontId="0" fillId="0" borderId="134" xfId="0" applyBorder="1" applyAlignment="1">
      <alignment horizontal="left" vertical="center"/>
    </xf>
    <xf numFmtId="0" fontId="0" fillId="0" borderId="95" xfId="0" applyBorder="1" applyAlignment="1">
      <alignment horizontal="left" vertical="center"/>
    </xf>
    <xf numFmtId="0" fontId="0" fillId="0" borderId="79" xfId="0" applyBorder="1" applyAlignment="1">
      <alignment horizontal="left" vertical="center"/>
    </xf>
    <xf numFmtId="0" fontId="0" fillId="0" borderId="70" xfId="0" applyBorder="1" applyAlignment="1">
      <alignment horizontal="left" vertical="center"/>
    </xf>
    <xf numFmtId="0" fontId="61" fillId="2" borderId="12" xfId="6" applyFont="1" applyFill="1" applyBorder="1" applyAlignment="1">
      <alignment vertical="center"/>
    </xf>
    <xf numFmtId="0" fontId="35" fillId="0" borderId="9" xfId="0" applyFont="1" applyBorder="1" applyAlignment="1">
      <alignment horizontal="left" vertical="top" wrapText="1"/>
    </xf>
    <xf numFmtId="0" fontId="35" fillId="0" borderId="9" xfId="0" applyFont="1" applyBorder="1" applyAlignment="1">
      <alignment horizontal="center" vertical="center" wrapText="1"/>
    </xf>
    <xf numFmtId="0" fontId="14" fillId="0" borderId="10" xfId="0" applyFont="1" applyBorder="1" applyAlignment="1">
      <alignment horizontal="center" vertical="center"/>
    </xf>
    <xf numFmtId="0" fontId="2" fillId="2" borderId="80" xfId="1" applyFont="1" applyFill="1" applyBorder="1" applyAlignment="1">
      <alignment horizontal="left" vertical="center" wrapText="1"/>
    </xf>
    <xf numFmtId="0" fontId="2" fillId="0" borderId="4" xfId="0" applyFont="1" applyBorder="1" applyAlignment="1">
      <alignment vertical="center"/>
    </xf>
    <xf numFmtId="0" fontId="14" fillId="0" borderId="5" xfId="0" applyFont="1" applyBorder="1" applyAlignment="1">
      <alignment horizontal="center" vertical="center"/>
    </xf>
    <xf numFmtId="0" fontId="14" fillId="0" borderId="5" xfId="0" applyFont="1" applyBorder="1" applyAlignment="1">
      <alignment wrapText="1"/>
    </xf>
    <xf numFmtId="0" fontId="0" fillId="0" borderId="5" xfId="0" applyBorder="1" applyAlignment="1">
      <alignment wrapText="1"/>
    </xf>
    <xf numFmtId="0" fontId="0" fillId="0" borderId="9" xfId="0" applyBorder="1"/>
    <xf numFmtId="0" fontId="0" fillId="0" borderId="9" xfId="0" applyBorder="1" applyAlignment="1">
      <alignment wrapText="1"/>
    </xf>
    <xf numFmtId="0" fontId="3" fillId="0" borderId="4" xfId="0" applyFont="1" applyBorder="1" applyAlignment="1">
      <alignment vertical="center"/>
    </xf>
    <xf numFmtId="0" fontId="0" fillId="0" borderId="75" xfId="0" applyBorder="1" applyAlignment="1">
      <alignment horizontal="center" vertical="center"/>
    </xf>
    <xf numFmtId="0" fontId="0" fillId="0" borderId="14" xfId="0" applyBorder="1" applyAlignment="1">
      <alignment horizontal="left" vertical="center" wrapText="1"/>
    </xf>
    <xf numFmtId="0" fontId="0" fillId="0" borderId="14" xfId="0" applyBorder="1" applyAlignment="1">
      <alignment horizontal="center" vertical="center"/>
    </xf>
    <xf numFmtId="166" fontId="0" fillId="0" borderId="0" xfId="0" applyNumberFormat="1" applyAlignment="1">
      <alignment horizontal="center"/>
    </xf>
    <xf numFmtId="0" fontId="2" fillId="2" borderId="143" xfId="1" applyFont="1" applyFill="1" applyBorder="1" applyAlignment="1">
      <alignment horizontal="left" vertical="center" wrapText="1"/>
    </xf>
    <xf numFmtId="0" fontId="2" fillId="2" borderId="76" xfId="1" applyFont="1" applyFill="1" applyBorder="1" applyAlignment="1">
      <alignment horizontal="left" vertical="center"/>
    </xf>
    <xf numFmtId="0" fontId="2" fillId="2" borderId="76" xfId="1" applyFont="1" applyFill="1" applyBorder="1" applyAlignment="1">
      <alignment horizontal="center" vertical="center"/>
    </xf>
    <xf numFmtId="0" fontId="2" fillId="2" borderId="76" xfId="1" applyFont="1" applyFill="1" applyBorder="1" applyAlignment="1">
      <alignment horizontal="left" vertical="top"/>
    </xf>
    <xf numFmtId="49" fontId="2" fillId="2" borderId="76" xfId="1" applyNumberFormat="1" applyFont="1" applyFill="1" applyBorder="1" applyAlignment="1">
      <alignment horizontal="center" vertical="center"/>
    </xf>
    <xf numFmtId="0" fontId="2" fillId="2" borderId="133" xfId="1" applyFont="1" applyFill="1" applyBorder="1" applyAlignment="1">
      <alignment horizontal="center" vertical="center"/>
    </xf>
    <xf numFmtId="0" fontId="2" fillId="2" borderId="126" xfId="1" applyFont="1" applyFill="1" applyBorder="1" applyAlignment="1">
      <alignment horizontal="center" vertical="center" wrapText="1"/>
    </xf>
    <xf numFmtId="0" fontId="11" fillId="2" borderId="7" xfId="3" applyFont="1" applyFill="1" applyBorder="1" applyAlignment="1">
      <alignment vertical="center" wrapText="1"/>
    </xf>
    <xf numFmtId="0" fontId="0" fillId="0" borderId="23" xfId="0" applyBorder="1" applyAlignment="1">
      <alignment horizontal="left" vertical="center"/>
    </xf>
    <xf numFmtId="0" fontId="0" fillId="0" borderId="23" xfId="0" applyBorder="1" applyAlignment="1">
      <alignment horizontal="left" vertical="center" wrapText="1"/>
    </xf>
    <xf numFmtId="0" fontId="0" fillId="0" borderId="31" xfId="0" applyBorder="1" applyAlignment="1">
      <alignment horizontal="left" vertical="center"/>
    </xf>
    <xf numFmtId="0" fontId="0" fillId="0" borderId="145" xfId="0" applyBorder="1" applyAlignment="1">
      <alignment horizontal="left" vertical="center"/>
    </xf>
    <xf numFmtId="0" fontId="62" fillId="2" borderId="39" xfId="6" applyFont="1" applyFill="1" applyBorder="1" applyAlignment="1">
      <alignment horizontal="left"/>
    </xf>
    <xf numFmtId="0" fontId="35" fillId="0" borderId="11" xfId="11" applyFont="1" applyBorder="1" applyAlignment="1">
      <alignment horizontal="left" vertical="center" wrapText="1"/>
    </xf>
    <xf numFmtId="0" fontId="8" fillId="0" borderId="12" xfId="9" applyFont="1" applyBorder="1" applyAlignment="1">
      <alignment horizontal="left" vertical="center" wrapText="1"/>
    </xf>
    <xf numFmtId="0" fontId="35" fillId="0" borderId="12" xfId="11" applyFont="1" applyBorder="1" applyAlignment="1">
      <alignment horizontal="center" vertical="center" wrapText="1"/>
    </xf>
    <xf numFmtId="0" fontId="35" fillId="0" borderId="78" xfId="11" applyFont="1" applyBorder="1" applyAlignment="1">
      <alignment horizontal="left" vertical="center" wrapText="1"/>
    </xf>
    <xf numFmtId="0" fontId="35" fillId="0" borderId="40" xfId="11" applyFont="1" applyBorder="1" applyAlignment="1">
      <alignment horizontal="left" vertical="center" wrapText="1"/>
    </xf>
    <xf numFmtId="0" fontId="62" fillId="2" borderId="96" xfId="6" applyFont="1" applyFill="1" applyBorder="1" applyAlignment="1">
      <alignment horizontal="left" vertical="center"/>
    </xf>
    <xf numFmtId="166" fontId="0" fillId="10" borderId="21" xfId="0" applyNumberFormat="1" applyFill="1" applyBorder="1" applyAlignment="1">
      <alignment horizontal="left"/>
    </xf>
    <xf numFmtId="0" fontId="0" fillId="0" borderId="0" xfId="0" applyAlignment="1">
      <alignment horizontal="left" wrapText="1"/>
    </xf>
    <xf numFmtId="0" fontId="38" fillId="0" borderId="0" xfId="0" applyFont="1" applyAlignment="1">
      <alignment horizontal="left"/>
    </xf>
    <xf numFmtId="166" fontId="20" fillId="0" borderId="21" xfId="0" applyNumberFormat="1" applyFont="1" applyBorder="1" applyAlignment="1">
      <alignment horizontal="left"/>
    </xf>
    <xf numFmtId="0" fontId="20" fillId="0" borderId="21" xfId="0" applyFont="1" applyBorder="1" applyAlignment="1">
      <alignment horizontal="left" wrapText="1"/>
    </xf>
    <xf numFmtId="0" fontId="20" fillId="0" borderId="21" xfId="0" applyFont="1" applyBorder="1" applyAlignment="1">
      <alignment horizontal="left"/>
    </xf>
    <xf numFmtId="0" fontId="20" fillId="0" borderId="22" xfId="0" applyFont="1" applyBorder="1" applyAlignment="1">
      <alignment horizontal="left"/>
    </xf>
    <xf numFmtId="0" fontId="38" fillId="0" borderId="0" xfId="0" applyFont="1" applyAlignment="1">
      <alignment horizontal="left" wrapText="1"/>
    </xf>
    <xf numFmtId="0" fontId="32" fillId="0" borderId="0" xfId="6" applyFont="1" applyAlignment="1">
      <alignment horizontal="left" wrapText="1"/>
    </xf>
    <xf numFmtId="0" fontId="0" fillId="0" borderId="21" xfId="0" applyBorder="1" applyAlignment="1">
      <alignment horizontal="left" wrapText="1"/>
    </xf>
    <xf numFmtId="0" fontId="0" fillId="0" borderId="21" xfId="0" applyBorder="1" applyAlignment="1">
      <alignment horizontal="left"/>
    </xf>
    <xf numFmtId="0" fontId="0" fillId="0" borderId="22" xfId="0" applyBorder="1" applyAlignment="1">
      <alignment horizontal="left"/>
    </xf>
    <xf numFmtId="0" fontId="38" fillId="0" borderId="45" xfId="0" applyFont="1" applyBorder="1" applyAlignment="1">
      <alignment horizontal="left" wrapText="1"/>
    </xf>
    <xf numFmtId="0" fontId="29" fillId="0" borderId="0" xfId="0" applyFont="1" applyAlignment="1">
      <alignment horizontal="left"/>
    </xf>
    <xf numFmtId="0" fontId="0" fillId="10" borderId="21" xfId="0" applyFill="1" applyBorder="1" applyAlignment="1">
      <alignment horizontal="left" wrapText="1"/>
    </xf>
    <xf numFmtId="0" fontId="0" fillId="10" borderId="21" xfId="0" applyFill="1" applyBorder="1" applyAlignment="1">
      <alignment horizontal="left"/>
    </xf>
    <xf numFmtId="0" fontId="0" fillId="10" borderId="22" xfId="0" applyFill="1" applyBorder="1" applyAlignment="1">
      <alignment horizontal="left"/>
    </xf>
    <xf numFmtId="0" fontId="32" fillId="0" borderId="0" xfId="6" applyFont="1" applyFill="1" applyBorder="1" applyAlignment="1">
      <alignment horizontal="left" wrapText="1"/>
    </xf>
    <xf numFmtId="0" fontId="69" fillId="0" borderId="0" xfId="0" applyFont="1" applyAlignment="1">
      <alignment horizontal="left"/>
    </xf>
    <xf numFmtId="0" fontId="0" fillId="0" borderId="87" xfId="0" applyBorder="1" applyAlignment="1">
      <alignment horizontal="left" wrapText="1"/>
    </xf>
    <xf numFmtId="0" fontId="0" fillId="0" borderId="87" xfId="0" applyBorder="1" applyAlignment="1">
      <alignment horizontal="left"/>
    </xf>
    <xf numFmtId="0" fontId="0" fillId="0" borderId="90" xfId="0" applyBorder="1" applyAlignment="1">
      <alignment horizontal="left"/>
    </xf>
    <xf numFmtId="0" fontId="32" fillId="0" borderId="21" xfId="6" applyFont="1" applyFill="1" applyBorder="1" applyAlignment="1">
      <alignment horizontal="left" wrapText="1"/>
    </xf>
    <xf numFmtId="0" fontId="0" fillId="0" borderId="46" xfId="0" applyBorder="1" applyAlignment="1">
      <alignment horizontal="left"/>
    </xf>
    <xf numFmtId="166" fontId="38" fillId="0" borderId="41" xfId="0" applyNumberFormat="1" applyFont="1" applyBorder="1" applyAlignment="1">
      <alignment horizontal="left" wrapText="1"/>
    </xf>
    <xf numFmtId="167" fontId="38" fillId="0" borderId="41" xfId="0" applyNumberFormat="1" applyFont="1" applyBorder="1" applyAlignment="1">
      <alignment horizontal="left" vertical="top" wrapText="1"/>
    </xf>
    <xf numFmtId="0" fontId="38" fillId="0" borderId="43" xfId="0" applyFont="1" applyBorder="1" applyAlignment="1">
      <alignment horizontal="left" wrapText="1"/>
    </xf>
    <xf numFmtId="169" fontId="38" fillId="0" borderId="0" xfId="0" applyNumberFormat="1" applyFont="1" applyAlignment="1">
      <alignment horizontal="left" wrapText="1"/>
    </xf>
    <xf numFmtId="169" fontId="38" fillId="0" borderId="41" xfId="0" applyNumberFormat="1" applyFont="1" applyBorder="1" applyAlignment="1">
      <alignment horizontal="left" wrapText="1"/>
    </xf>
    <xf numFmtId="169" fontId="38" fillId="0" borderId="43" xfId="0" applyNumberFormat="1" applyFont="1" applyBorder="1" applyAlignment="1">
      <alignment horizontal="left" wrapText="1"/>
    </xf>
    <xf numFmtId="0" fontId="38" fillId="0" borderId="42" xfId="0" applyFont="1" applyBorder="1" applyAlignment="1">
      <alignment horizontal="left" wrapText="1"/>
    </xf>
    <xf numFmtId="169" fontId="38" fillId="0" borderId="42" xfId="0" applyNumberFormat="1" applyFont="1" applyBorder="1" applyAlignment="1">
      <alignment horizontal="left" wrapText="1"/>
    </xf>
    <xf numFmtId="0" fontId="69" fillId="0" borderId="21" xfId="0" applyFont="1" applyBorder="1" applyAlignment="1">
      <alignment horizontal="left"/>
    </xf>
    <xf numFmtId="169" fontId="0" fillId="0" borderId="0" xfId="0" applyNumberFormat="1" applyAlignment="1">
      <alignment horizontal="left"/>
    </xf>
    <xf numFmtId="169" fontId="38" fillId="0" borderId="41" xfId="0" applyNumberFormat="1" applyFont="1" applyBorder="1" applyAlignment="1">
      <alignment horizontal="left" vertical="top" wrapText="1"/>
    </xf>
    <xf numFmtId="0" fontId="68" fillId="0" borderId="0" xfId="0" applyFont="1" applyAlignment="1">
      <alignment horizontal="left"/>
    </xf>
    <xf numFmtId="0" fontId="0" fillId="23" borderId="0" xfId="0" applyFill="1" applyAlignment="1">
      <alignment horizontal="left" wrapText="1"/>
    </xf>
    <xf numFmtId="0" fontId="32" fillId="0" borderId="21" xfId="6" quotePrefix="1" applyFont="1" applyFill="1" applyBorder="1" applyAlignment="1">
      <alignment horizontal="left" wrapText="1"/>
    </xf>
    <xf numFmtId="0" fontId="0" fillId="0" borderId="0" xfId="0" quotePrefix="1" applyAlignment="1">
      <alignment horizontal="left" wrapText="1"/>
    </xf>
    <xf numFmtId="0" fontId="32" fillId="0" borderId="21" xfId="6" quotePrefix="1" applyFont="1" applyBorder="1" applyAlignment="1">
      <alignment horizontal="left" wrapText="1"/>
    </xf>
    <xf numFmtId="0" fontId="52" fillId="0" borderId="0" xfId="0" applyFont="1" applyAlignment="1">
      <alignment horizontal="left"/>
    </xf>
    <xf numFmtId="0" fontId="0" fillId="23" borderId="21" xfId="0" applyFill="1" applyBorder="1" applyAlignment="1">
      <alignment horizontal="left"/>
    </xf>
    <xf numFmtId="166" fontId="0" fillId="0" borderId="20" xfId="0" applyNumberFormat="1" applyBorder="1" applyAlignment="1">
      <alignment horizontal="left"/>
    </xf>
    <xf numFmtId="0" fontId="0" fillId="0" borderId="20" xfId="0" applyBorder="1" applyAlignment="1">
      <alignment horizontal="left" wrapText="1"/>
    </xf>
    <xf numFmtId="0" fontId="42" fillId="0" borderId="111" xfId="0" applyFont="1" applyBorder="1" applyAlignment="1">
      <alignment horizontal="left" vertical="center" wrapText="1"/>
    </xf>
    <xf numFmtId="0" fontId="35" fillId="0" borderId="112" xfId="0" applyFont="1" applyBorder="1" applyAlignment="1">
      <alignment horizontal="left" vertical="center" wrapText="1"/>
    </xf>
    <xf numFmtId="0" fontId="14" fillId="0" borderId="112" xfId="1" applyFont="1" applyBorder="1" applyAlignment="1">
      <alignment horizontal="left" vertical="center" wrapText="1"/>
    </xf>
    <xf numFmtId="0" fontId="0" fillId="0" borderId="112" xfId="0" applyBorder="1" applyAlignment="1">
      <alignment horizontal="left" vertical="center"/>
    </xf>
    <xf numFmtId="0" fontId="42" fillId="0" borderId="7" xfId="0" applyFont="1" applyBorder="1" applyAlignment="1">
      <alignment horizontal="left" vertical="center" wrapText="1"/>
    </xf>
    <xf numFmtId="0" fontId="69" fillId="0" borderId="87" xfId="0" applyFont="1" applyBorder="1" applyAlignment="1">
      <alignment horizontal="left"/>
    </xf>
    <xf numFmtId="0" fontId="0" fillId="23" borderId="21" xfId="0" applyFill="1" applyBorder="1" applyAlignment="1">
      <alignment horizontal="left" wrapText="1"/>
    </xf>
    <xf numFmtId="0" fontId="0" fillId="23" borderId="22" xfId="0" applyFill="1" applyBorder="1" applyAlignment="1">
      <alignment horizontal="left"/>
    </xf>
    <xf numFmtId="0" fontId="69" fillId="0" borderId="87" xfId="0" applyFont="1" applyBorder="1" applyAlignment="1">
      <alignment horizontal="left" wrapText="1"/>
    </xf>
    <xf numFmtId="49" fontId="0" fillId="10" borderId="20" xfId="0" applyNumberFormat="1" applyFill="1" applyBorder="1" applyAlignment="1">
      <alignment horizontal="left"/>
    </xf>
    <xf numFmtId="49" fontId="0" fillId="0" borderId="20" xfId="0" applyNumberFormat="1" applyBorder="1" applyAlignment="1">
      <alignment horizontal="left"/>
    </xf>
    <xf numFmtId="166" fontId="52" fillId="10" borderId="21" xfId="0" applyNumberFormat="1" applyFont="1" applyFill="1" applyBorder="1" applyAlignment="1">
      <alignment horizontal="left"/>
    </xf>
    <xf numFmtId="49" fontId="0" fillId="0" borderId="20" xfId="0" quotePrefix="1" applyNumberFormat="1" applyBorder="1" applyAlignment="1">
      <alignment horizontal="left"/>
    </xf>
    <xf numFmtId="0" fontId="32" fillId="10" borderId="21" xfId="6" applyFont="1" applyFill="1" applyBorder="1" applyAlignment="1">
      <alignment horizontal="left" wrapText="1"/>
    </xf>
    <xf numFmtId="0" fontId="0" fillId="24" borderId="21" xfId="0" applyFill="1" applyBorder="1" applyAlignment="1">
      <alignment horizontal="left" wrapText="1"/>
    </xf>
    <xf numFmtId="0" fontId="0" fillId="24" borderId="21" xfId="0" applyFill="1" applyBorder="1" applyAlignment="1">
      <alignment horizontal="left"/>
    </xf>
    <xf numFmtId="0" fontId="0" fillId="24" borderId="22" xfId="0" applyFill="1" applyBorder="1" applyAlignment="1">
      <alignment horizontal="left"/>
    </xf>
    <xf numFmtId="166" fontId="0" fillId="24" borderId="0" xfId="0" applyNumberFormat="1" applyFill="1" applyAlignment="1">
      <alignment horizontal="left"/>
    </xf>
    <xf numFmtId="0" fontId="34" fillId="0" borderId="0" xfId="0" applyFont="1" applyAlignment="1">
      <alignment horizontal="left" wrapText="1"/>
    </xf>
    <xf numFmtId="166" fontId="0" fillId="24" borderId="87" xfId="0" applyNumberFormat="1" applyFill="1" applyBorder="1" applyAlignment="1">
      <alignment horizontal="left"/>
    </xf>
    <xf numFmtId="0" fontId="0" fillId="24" borderId="87" xfId="0" applyFill="1" applyBorder="1" applyAlignment="1">
      <alignment horizontal="left" wrapText="1"/>
    </xf>
    <xf numFmtId="0" fontId="0" fillId="24" borderId="87" xfId="0" applyFill="1" applyBorder="1" applyAlignment="1">
      <alignment horizontal="left"/>
    </xf>
    <xf numFmtId="0" fontId="0" fillId="24" borderId="90" xfId="0" applyFill="1" applyBorder="1" applyAlignment="1">
      <alignment horizontal="left"/>
    </xf>
    <xf numFmtId="166" fontId="28" fillId="12" borderId="148" xfId="0" applyNumberFormat="1" applyFont="1" applyFill="1" applyBorder="1" applyAlignment="1">
      <alignment horizontal="left"/>
    </xf>
    <xf numFmtId="0" fontId="28" fillId="12" borderId="148" xfId="0" applyFont="1" applyFill="1" applyBorder="1"/>
    <xf numFmtId="0" fontId="28" fillId="12" borderId="149" xfId="0" applyFont="1" applyFill="1" applyBorder="1"/>
    <xf numFmtId="166" fontId="0" fillId="0" borderId="0" xfId="0" applyNumberFormat="1" applyAlignment="1">
      <alignment horizontal="left" wrapText="1"/>
    </xf>
    <xf numFmtId="0" fontId="52" fillId="0" borderId="0" xfId="0" applyFont="1" applyAlignment="1">
      <alignment horizontal="left" wrapText="1"/>
    </xf>
    <xf numFmtId="0" fontId="16" fillId="0" borderId="0" xfId="3" applyAlignment="1">
      <alignment horizontal="left"/>
    </xf>
    <xf numFmtId="0" fontId="7" fillId="0" borderId="0" xfId="0" applyFont="1" applyAlignment="1">
      <alignment horizontal="left"/>
    </xf>
    <xf numFmtId="166" fontId="7" fillId="0" borderId="0" xfId="0" applyNumberFormat="1" applyFont="1" applyAlignment="1">
      <alignment horizontal="left" vertical="center"/>
    </xf>
    <xf numFmtId="0" fontId="7" fillId="0" borderId="0" xfId="0" applyFont="1" applyAlignment="1">
      <alignment horizontal="left" wrapText="1"/>
    </xf>
    <xf numFmtId="166" fontId="29" fillId="0" borderId="0" xfId="0" applyNumberFormat="1" applyFont="1" applyAlignment="1">
      <alignment horizontal="left"/>
    </xf>
    <xf numFmtId="166" fontId="52" fillId="0" borderId="0" xfId="0" applyNumberFormat="1" applyFont="1" applyAlignment="1">
      <alignment horizontal="left"/>
    </xf>
    <xf numFmtId="0" fontId="0" fillId="0" borderId="0" xfId="3" applyFont="1" applyAlignment="1">
      <alignment horizontal="left"/>
    </xf>
    <xf numFmtId="166" fontId="20" fillId="0" borderId="0" xfId="0" applyNumberFormat="1" applyFont="1" applyAlignment="1">
      <alignment horizontal="left"/>
    </xf>
    <xf numFmtId="1" fontId="3" fillId="2" borderId="14" xfId="3" applyNumberFormat="1" applyFont="1" applyFill="1" applyBorder="1" applyAlignment="1">
      <alignment horizontal="left"/>
    </xf>
    <xf numFmtId="166" fontId="28" fillId="12" borderId="148" xfId="0" applyNumberFormat="1" applyFont="1" applyFill="1" applyBorder="1" applyAlignment="1">
      <alignment horizontal="left" vertical="top"/>
    </xf>
    <xf numFmtId="0" fontId="28" fillId="12" borderId="148" xfId="0" applyFont="1" applyFill="1" applyBorder="1" applyAlignment="1">
      <alignment horizontal="left" vertical="top" wrapText="1"/>
    </xf>
    <xf numFmtId="0" fontId="28" fillId="12" borderId="148" xfId="0" applyFont="1" applyFill="1" applyBorder="1" applyAlignment="1">
      <alignment horizontal="left" vertical="top"/>
    </xf>
    <xf numFmtId="0" fontId="28" fillId="12" borderId="149" xfId="0" applyFont="1" applyFill="1" applyBorder="1" applyAlignment="1">
      <alignment horizontal="left" vertical="top"/>
    </xf>
    <xf numFmtId="166" fontId="28" fillId="12" borderId="148" xfId="0" applyNumberFormat="1" applyFont="1" applyFill="1" applyBorder="1"/>
    <xf numFmtId="0" fontId="28" fillId="12" borderId="148" xfId="0" applyFont="1" applyFill="1" applyBorder="1" applyAlignment="1">
      <alignment wrapText="1"/>
    </xf>
    <xf numFmtId="166" fontId="54" fillId="20" borderId="41" xfId="0" applyNumberFormat="1" applyFont="1" applyFill="1" applyBorder="1" applyAlignment="1">
      <alignment wrapText="1"/>
    </xf>
    <xf numFmtId="0" fontId="54" fillId="20" borderId="41" xfId="0" applyFont="1" applyFill="1" applyBorder="1" applyAlignment="1">
      <alignment wrapText="1"/>
    </xf>
    <xf numFmtId="0" fontId="54" fillId="20" borderId="43" xfId="0" applyFont="1" applyFill="1" applyBorder="1" applyAlignment="1">
      <alignment wrapText="1"/>
    </xf>
    <xf numFmtId="169" fontId="54" fillId="20" borderId="41" xfId="0" applyNumberFormat="1" applyFont="1" applyFill="1" applyBorder="1" applyAlignment="1">
      <alignment wrapText="1"/>
    </xf>
    <xf numFmtId="169" fontId="54" fillId="20" borderId="43" xfId="0" applyNumberFormat="1" applyFont="1" applyFill="1" applyBorder="1" applyAlignment="1">
      <alignment wrapText="1"/>
    </xf>
    <xf numFmtId="0" fontId="67" fillId="20" borderId="41" xfId="0" applyFont="1" applyFill="1" applyBorder="1"/>
    <xf numFmtId="0" fontId="67" fillId="20" borderId="41" xfId="0" applyFont="1" applyFill="1" applyBorder="1" applyAlignment="1">
      <alignment wrapText="1"/>
    </xf>
    <xf numFmtId="0" fontId="67" fillId="20" borderId="43" xfId="0" applyFont="1" applyFill="1" applyBorder="1"/>
    <xf numFmtId="49" fontId="28" fillId="12" borderId="147" xfId="0" applyNumberFormat="1" applyFont="1" applyFill="1" applyBorder="1" applyAlignment="1">
      <alignment horizontal="left"/>
    </xf>
    <xf numFmtId="0" fontId="28" fillId="12" borderId="148" xfId="0" applyFont="1" applyFill="1" applyBorder="1" applyAlignment="1">
      <alignment horizontal="left"/>
    </xf>
    <xf numFmtId="166" fontId="0" fillId="23" borderId="87" xfId="0" applyNumberFormat="1" applyFill="1" applyBorder="1" applyAlignment="1">
      <alignment horizontal="left"/>
    </xf>
    <xf numFmtId="0" fontId="0" fillId="23" borderId="87" xfId="0" applyFill="1" applyBorder="1" applyAlignment="1">
      <alignment horizontal="left" wrapText="1"/>
    </xf>
    <xf numFmtId="0" fontId="0" fillId="23" borderId="87" xfId="0" applyFill="1" applyBorder="1" applyAlignment="1">
      <alignment horizontal="left"/>
    </xf>
    <xf numFmtId="0" fontId="0" fillId="23" borderId="90" xfId="0" applyFill="1" applyBorder="1" applyAlignment="1">
      <alignment horizontal="left"/>
    </xf>
    <xf numFmtId="0" fontId="3" fillId="2" borderId="2" xfId="1" applyFont="1" applyFill="1" applyBorder="1" applyAlignment="1">
      <alignment horizontal="center" vertical="center" wrapText="1"/>
    </xf>
    <xf numFmtId="166" fontId="28" fillId="12" borderId="148" xfId="0" applyNumberFormat="1" applyFont="1" applyFill="1" applyBorder="1" applyAlignment="1">
      <alignment vertical="center"/>
    </xf>
    <xf numFmtId="166" fontId="0" fillId="0" borderId="87" xfId="0" applyNumberFormat="1" applyBorder="1" applyAlignment="1">
      <alignment horizontal="left" vertical="top"/>
    </xf>
    <xf numFmtId="0" fontId="52" fillId="0" borderId="92" xfId="0" applyFont="1" applyBorder="1" applyAlignment="1">
      <alignment horizontal="left" vertical="center" wrapText="1"/>
    </xf>
    <xf numFmtId="0" fontId="51" fillId="0" borderId="92" xfId="1" applyFont="1" applyBorder="1" applyAlignment="1">
      <alignment horizontal="left" vertical="center" wrapText="1"/>
    </xf>
    <xf numFmtId="0" fontId="41" fillId="0" borderId="92" xfId="0" applyFont="1" applyBorder="1" applyAlignment="1">
      <alignment horizontal="left" vertical="center" wrapText="1"/>
    </xf>
    <xf numFmtId="0" fontId="0" fillId="0" borderId="140" xfId="0" applyBorder="1" applyAlignment="1">
      <alignment horizontal="center" vertical="center" wrapText="1"/>
    </xf>
    <xf numFmtId="0" fontId="0" fillId="0" borderId="66" xfId="0" applyBorder="1" applyAlignment="1">
      <alignment horizontal="left" vertical="center"/>
    </xf>
    <xf numFmtId="0" fontId="0" fillId="0" borderId="66" xfId="0" applyBorder="1" applyAlignment="1">
      <alignment horizontal="left" vertical="center" wrapText="1"/>
    </xf>
    <xf numFmtId="0" fontId="51" fillId="0" borderId="66" xfId="1" applyFont="1" applyBorder="1" applyAlignment="1">
      <alignment horizontal="left" vertical="center" wrapText="1"/>
    </xf>
    <xf numFmtId="0" fontId="0" fillId="0" borderId="138" xfId="0" applyBorder="1" applyAlignment="1">
      <alignment horizontal="left" vertical="center"/>
    </xf>
    <xf numFmtId="0" fontId="41" fillId="0" borderId="0" xfId="0" applyFont="1" applyAlignment="1">
      <alignment horizontal="center" vertical="center"/>
    </xf>
    <xf numFmtId="0" fontId="31" fillId="0" borderId="0" xfId="0" applyFont="1" applyAlignment="1">
      <alignment horizontal="left"/>
    </xf>
    <xf numFmtId="0" fontId="41" fillId="0" borderId="0" xfId="0" applyFont="1" applyAlignment="1">
      <alignment horizontal="left" wrapText="1"/>
    </xf>
    <xf numFmtId="0" fontId="35" fillId="0" borderId="146" xfId="11" applyFont="1" applyBorder="1" applyAlignment="1">
      <alignment horizontal="left" vertical="center" wrapText="1"/>
    </xf>
    <xf numFmtId="0" fontId="35" fillId="0" borderId="13" xfId="0" applyFont="1" applyBorder="1" applyAlignment="1">
      <alignment horizontal="left" vertical="center" wrapText="1"/>
    </xf>
    <xf numFmtId="0" fontId="35" fillId="0" borderId="29" xfId="11" applyFont="1" applyBorder="1" applyAlignment="1">
      <alignment horizontal="center" vertical="center" wrapText="1"/>
    </xf>
    <xf numFmtId="0" fontId="35" fillId="0" borderId="17" xfId="0" applyFont="1" applyBorder="1" applyAlignment="1">
      <alignment horizontal="left" vertical="center" wrapText="1"/>
    </xf>
    <xf numFmtId="0" fontId="35" fillId="0" borderId="17" xfId="0" applyFont="1" applyBorder="1" applyAlignment="1">
      <alignment horizontal="center" vertical="center" wrapText="1"/>
    </xf>
    <xf numFmtId="0" fontId="35" fillId="0" borderId="14" xfId="11" applyFont="1" applyBorder="1" applyAlignment="1">
      <alignment horizontal="left" vertical="center" wrapText="1"/>
    </xf>
    <xf numFmtId="0" fontId="35" fillId="0" borderId="65" xfId="11" applyFont="1" applyBorder="1" applyAlignment="1">
      <alignment horizontal="left" vertical="center" wrapText="1"/>
    </xf>
    <xf numFmtId="0" fontId="35" fillId="0" borderId="83" xfId="0" applyFont="1" applyBorder="1" applyAlignment="1">
      <alignment horizontal="center" vertical="center" wrapText="1"/>
    </xf>
    <xf numFmtId="0" fontId="35" fillId="0" borderId="24" xfId="11" applyFont="1" applyBorder="1" applyAlignment="1">
      <alignment horizontal="left" vertical="center" wrapText="1"/>
    </xf>
    <xf numFmtId="0" fontId="35" fillId="0" borderId="13" xfId="11" applyFont="1" applyBorder="1" applyAlignment="1">
      <alignment horizontal="left" vertical="center" wrapText="1"/>
    </xf>
    <xf numFmtId="0" fontId="35" fillId="0" borderId="23" xfId="11" applyFont="1" applyBorder="1" applyAlignment="1">
      <alignment horizontal="left" vertical="center" wrapText="1"/>
    </xf>
    <xf numFmtId="0" fontId="38" fillId="0" borderId="13" xfId="0" applyFont="1" applyBorder="1" applyAlignment="1">
      <alignment horizontal="center"/>
    </xf>
    <xf numFmtId="0" fontId="38" fillId="0" borderId="13" xfId="0" applyFont="1" applyBorder="1" applyAlignment="1">
      <alignment horizontal="center" vertical="center"/>
    </xf>
    <xf numFmtId="0" fontId="38" fillId="0" borderId="13" xfId="0" applyFont="1" applyBorder="1" applyAlignment="1">
      <alignment horizontal="left" vertical="center"/>
    </xf>
    <xf numFmtId="0" fontId="38" fillId="7" borderId="13" xfId="0" applyFont="1" applyFill="1" applyBorder="1" applyAlignment="1">
      <alignment horizontal="left" vertical="center"/>
    </xf>
    <xf numFmtId="0" fontId="38" fillId="7" borderId="13" xfId="0" applyFont="1" applyFill="1" applyBorder="1" applyAlignment="1">
      <alignment horizontal="center" vertical="center"/>
    </xf>
    <xf numFmtId="0" fontId="38" fillId="0" borderId="23" xfId="0" applyFont="1" applyBorder="1" applyAlignment="1">
      <alignment horizontal="center" vertical="center" wrapText="1"/>
    </xf>
    <xf numFmtId="0" fontId="35" fillId="0" borderId="98" xfId="4" applyFont="1" applyBorder="1" applyAlignment="1">
      <alignment horizontal="center" vertical="center" wrapText="1"/>
    </xf>
    <xf numFmtId="0" fontId="35" fillId="0" borderId="69" xfId="4" applyFont="1" applyBorder="1" applyAlignment="1">
      <alignment horizontal="center" vertical="center" wrapText="1"/>
    </xf>
    <xf numFmtId="0" fontId="35" fillId="0" borderId="13" xfId="4" applyFont="1" applyBorder="1" applyAlignment="1">
      <alignment horizontal="center" vertical="center" wrapText="1"/>
    </xf>
    <xf numFmtId="0" fontId="41" fillId="18" borderId="66" xfId="0" applyFont="1" applyFill="1" applyBorder="1" applyAlignment="1">
      <alignment horizontal="center" vertical="center" wrapText="1"/>
    </xf>
    <xf numFmtId="0" fontId="38" fillId="24" borderId="87" xfId="0" quotePrefix="1" applyFont="1" applyFill="1" applyBorder="1" applyAlignment="1">
      <alignment horizontal="left" wrapText="1"/>
    </xf>
    <xf numFmtId="0" fontId="41" fillId="0" borderId="0" xfId="0" applyFont="1" applyAlignment="1">
      <alignment vertical="center" wrapText="1"/>
    </xf>
    <xf numFmtId="0" fontId="38" fillId="0" borderId="0" xfId="0" applyFont="1" applyAlignment="1">
      <alignment horizontal="left" vertical="center"/>
    </xf>
    <xf numFmtId="0" fontId="52" fillId="0" borderId="66" xfId="0" applyFont="1" applyBorder="1" applyAlignment="1">
      <alignment horizontal="left" vertical="center" wrapText="1"/>
    </xf>
    <xf numFmtId="0" fontId="41" fillId="0" borderId="66" xfId="0" applyFont="1" applyBorder="1" applyAlignment="1">
      <alignment horizontal="left" vertical="center" wrapText="1"/>
    </xf>
    <xf numFmtId="0" fontId="2" fillId="0" borderId="150" xfId="0" applyFont="1" applyBorder="1"/>
    <xf numFmtId="0" fontId="35" fillId="0" borderId="18" xfId="0" applyFont="1" applyBorder="1" applyAlignment="1">
      <alignment horizontal="left" vertical="center" wrapText="1"/>
    </xf>
    <xf numFmtId="0" fontId="41" fillId="0" borderId="84" xfId="0" applyFont="1" applyBorder="1" applyAlignment="1">
      <alignment horizontal="center" vertical="center"/>
    </xf>
    <xf numFmtId="0" fontId="41" fillId="0" borderId="32" xfId="0" applyFont="1" applyBorder="1" applyAlignment="1">
      <alignment horizontal="center" vertical="center"/>
    </xf>
    <xf numFmtId="0" fontId="41" fillId="0" borderId="85" xfId="0" applyFont="1" applyBorder="1" applyAlignment="1">
      <alignment horizontal="center" vertical="center"/>
    </xf>
    <xf numFmtId="0" fontId="41" fillId="0" borderId="1" xfId="0" applyFont="1" applyBorder="1" applyAlignment="1">
      <alignment horizontal="left" vertical="center" wrapText="1"/>
    </xf>
    <xf numFmtId="0" fontId="41" fillId="0" borderId="3" xfId="0" applyFont="1" applyBorder="1" applyAlignment="1">
      <alignment horizontal="center" vertical="center"/>
    </xf>
    <xf numFmtId="0" fontId="41" fillId="0" borderId="1" xfId="0" applyFont="1" applyBorder="1" applyAlignment="1">
      <alignment horizontal="center" vertical="center"/>
    </xf>
    <xf numFmtId="0" fontId="41" fillId="0" borderId="85" xfId="0" applyFont="1" applyBorder="1" applyAlignment="1">
      <alignment horizontal="left" vertical="center"/>
    </xf>
    <xf numFmtId="0" fontId="41" fillId="0" borderId="3" xfId="0" applyFont="1" applyBorder="1" applyAlignment="1">
      <alignment horizontal="center" vertical="center" wrapText="1"/>
    </xf>
    <xf numFmtId="0" fontId="29" fillId="0" borderId="0" xfId="0" applyFont="1"/>
    <xf numFmtId="0" fontId="5" fillId="2" borderId="83" xfId="9" applyFont="1" applyFill="1" applyBorder="1" applyAlignment="1">
      <alignment horizontal="center" vertical="center"/>
    </xf>
    <xf numFmtId="0" fontId="41" fillId="0" borderId="32" xfId="0" applyFont="1" applyBorder="1" applyAlignment="1">
      <alignment horizontal="center" vertical="center" wrapText="1"/>
    </xf>
    <xf numFmtId="0" fontId="0" fillId="0" borderId="84" xfId="3" applyFont="1" applyBorder="1" applyAlignment="1">
      <alignment horizontal="left" vertical="center" wrapText="1"/>
    </xf>
    <xf numFmtId="0" fontId="5" fillId="2" borderId="84" xfId="1" applyFont="1" applyFill="1" applyBorder="1" applyAlignment="1">
      <alignment horizontal="center"/>
    </xf>
    <xf numFmtId="0" fontId="5" fillId="2" borderId="85" xfId="1" applyFont="1" applyFill="1" applyBorder="1" applyAlignment="1">
      <alignment horizontal="center"/>
    </xf>
    <xf numFmtId="0" fontId="11" fillId="2" borderId="85" xfId="1" applyFont="1" applyFill="1" applyBorder="1" applyAlignment="1">
      <alignment horizontal="center"/>
    </xf>
    <xf numFmtId="0" fontId="5" fillId="2" borderId="83" xfId="1" applyFont="1" applyFill="1" applyBorder="1" applyAlignment="1">
      <alignment horizontal="center"/>
    </xf>
    <xf numFmtId="0" fontId="5" fillId="2" borderId="1" xfId="1" applyFont="1" applyFill="1" applyBorder="1" applyAlignment="1">
      <alignment horizontal="center"/>
    </xf>
    <xf numFmtId="0" fontId="38" fillId="0" borderId="84" xfId="0" applyFont="1" applyBorder="1" applyAlignment="1">
      <alignment wrapText="1"/>
    </xf>
    <xf numFmtId="0" fontId="38" fillId="0" borderId="85" xfId="0" applyFont="1" applyBorder="1" applyAlignment="1">
      <alignment wrapText="1"/>
    </xf>
    <xf numFmtId="0" fontId="0" fillId="0" borderId="83" xfId="0" applyBorder="1"/>
    <xf numFmtId="1" fontId="40" fillId="13" borderId="34" xfId="0" applyNumberFormat="1" applyFont="1" applyFill="1" applyBorder="1" applyAlignment="1">
      <alignment horizontal="left" vertical="center"/>
    </xf>
    <xf numFmtId="0" fontId="0" fillId="10" borderId="21" xfId="0" applyFill="1" applyBorder="1" applyAlignment="1">
      <alignment wrapText="1"/>
    </xf>
    <xf numFmtId="0" fontId="0" fillId="10" borderId="21" xfId="0" applyFill="1" applyBorder="1"/>
    <xf numFmtId="0" fontId="0" fillId="10" borderId="22" xfId="0" applyFill="1" applyBorder="1"/>
    <xf numFmtId="166" fontId="0" fillId="10" borderId="87" xfId="0" applyNumberFormat="1" applyFill="1" applyBorder="1" applyAlignment="1">
      <alignment horizontal="left"/>
    </xf>
    <xf numFmtId="166" fontId="0" fillId="0" borderId="0" xfId="0" quotePrefix="1" applyNumberFormat="1" applyAlignment="1">
      <alignment horizontal="left"/>
    </xf>
    <xf numFmtId="0" fontId="0" fillId="0" borderId="21" xfId="0" applyBorder="1" applyAlignment="1">
      <alignment wrapText="1"/>
    </xf>
    <xf numFmtId="169" fontId="38" fillId="0" borderId="0" xfId="0" applyNumberFormat="1" applyFont="1" applyAlignment="1">
      <alignment horizontal="left"/>
    </xf>
    <xf numFmtId="16" fontId="0" fillId="0" borderId="0" xfId="0" quotePrefix="1" applyNumberFormat="1" applyAlignment="1">
      <alignment horizontal="left"/>
    </xf>
    <xf numFmtId="0" fontId="12" fillId="0" borderId="62" xfId="0" quotePrefix="1" applyFont="1" applyBorder="1" applyAlignment="1">
      <alignment horizontal="left"/>
    </xf>
    <xf numFmtId="166" fontId="38" fillId="0" borderId="154" xfId="0" applyNumberFormat="1" applyFont="1" applyBorder="1" applyAlignment="1">
      <alignment horizontal="left"/>
    </xf>
    <xf numFmtId="0" fontId="38" fillId="0" borderId="154" xfId="0" applyFont="1" applyBorder="1" applyAlignment="1">
      <alignment horizontal="left"/>
    </xf>
    <xf numFmtId="0" fontId="38" fillId="0" borderId="155" xfId="0" applyFont="1" applyBorder="1" applyAlignment="1">
      <alignment horizontal="left"/>
    </xf>
    <xf numFmtId="0" fontId="14" fillId="0" borderId="13" xfId="1" applyFont="1" applyBorder="1" applyAlignment="1">
      <alignment horizontal="left" vertical="center" wrapText="1"/>
    </xf>
    <xf numFmtId="0" fontId="71" fillId="0" borderId="13" xfId="0" applyFont="1" applyBorder="1" applyAlignment="1">
      <alignment wrapText="1"/>
    </xf>
    <xf numFmtId="0" fontId="41" fillId="0" borderId="68" xfId="0" applyFont="1" applyBorder="1" applyAlignment="1">
      <alignment horizontal="left" vertical="center" wrapText="1"/>
    </xf>
    <xf numFmtId="0" fontId="41" fillId="0" borderId="69" xfId="3" applyFont="1" applyBorder="1" applyAlignment="1">
      <alignment horizontal="left" vertical="center" wrapText="1"/>
    </xf>
    <xf numFmtId="0" fontId="41" fillId="0" borderId="69" xfId="0" applyFont="1" applyBorder="1" applyAlignment="1">
      <alignment horizontal="center" vertical="center" wrapText="1"/>
    </xf>
    <xf numFmtId="0" fontId="41" fillId="0" borderId="69" xfId="3" applyFont="1" applyBorder="1" applyAlignment="1">
      <alignment horizontal="center" vertical="center" wrapText="1"/>
    </xf>
    <xf numFmtId="0" fontId="35" fillId="0" borderId="78" xfId="0" applyFont="1" applyBorder="1" applyAlignment="1">
      <alignment horizontal="left" vertical="center" wrapText="1"/>
    </xf>
    <xf numFmtId="0" fontId="14" fillId="0" borderId="78" xfId="1" applyFont="1" applyBorder="1" applyAlignment="1">
      <alignment horizontal="left" vertical="center" wrapText="1"/>
    </xf>
    <xf numFmtId="0" fontId="71" fillId="0" borderId="78" xfId="0" applyFont="1" applyBorder="1" applyAlignment="1">
      <alignment horizontal="left" vertical="center" wrapText="1"/>
    </xf>
    <xf numFmtId="0" fontId="41" fillId="5" borderId="0" xfId="0" applyFont="1" applyFill="1" applyAlignment="1">
      <alignment horizontal="center" vertical="center" wrapText="1"/>
    </xf>
    <xf numFmtId="0" fontId="46" fillId="7" borderId="13" xfId="0" applyFont="1" applyFill="1" applyBorder="1" applyAlignment="1">
      <alignment horizontal="center" vertical="center" wrapText="1"/>
    </xf>
    <xf numFmtId="0" fontId="6" fillId="7" borderId="14" xfId="0" applyFont="1" applyFill="1" applyBorder="1" applyAlignment="1">
      <alignment horizontal="center" vertical="center"/>
    </xf>
    <xf numFmtId="0" fontId="41" fillId="5" borderId="13" xfId="0" applyFont="1" applyFill="1" applyBorder="1" applyAlignment="1">
      <alignment horizontal="center" vertical="center" wrapText="1"/>
    </xf>
    <xf numFmtId="0" fontId="18" fillId="0" borderId="156" xfId="1" applyFont="1" applyBorder="1" applyAlignment="1">
      <alignment horizontal="left" vertical="center" wrapText="1"/>
    </xf>
    <xf numFmtId="0" fontId="14" fillId="0" borderId="158" xfId="0" applyFont="1" applyBorder="1" applyAlignment="1">
      <alignment horizontal="left" vertical="center" wrapText="1"/>
    </xf>
    <xf numFmtId="0" fontId="18" fillId="0" borderId="158" xfId="0" applyFont="1" applyBorder="1" applyAlignment="1">
      <alignment horizontal="left" vertical="center" wrapText="1"/>
    </xf>
    <xf numFmtId="0" fontId="72" fillId="14" borderId="15" xfId="0" applyFont="1" applyFill="1" applyBorder="1" applyAlignment="1">
      <alignment horizontal="center" vertical="center" wrapText="1"/>
    </xf>
    <xf numFmtId="0" fontId="72" fillId="14" borderId="13" xfId="0" applyFont="1" applyFill="1" applyBorder="1" applyAlignment="1">
      <alignment horizontal="center" vertical="center" wrapText="1"/>
    </xf>
    <xf numFmtId="0" fontId="72" fillId="0" borderId="29" xfId="0" applyFont="1" applyBorder="1" applyAlignment="1">
      <alignment horizontal="center" vertical="center" wrapText="1"/>
    </xf>
    <xf numFmtId="0" fontId="72" fillId="0" borderId="28" xfId="0" applyFont="1" applyBorder="1" applyAlignment="1">
      <alignment horizontal="center" vertical="center" wrapText="1"/>
    </xf>
    <xf numFmtId="0" fontId="71" fillId="14" borderId="13" xfId="0" applyFont="1" applyFill="1" applyBorder="1" applyAlignment="1">
      <alignment horizontal="center" vertical="center" wrapText="1"/>
    </xf>
    <xf numFmtId="0" fontId="71" fillId="0" borderId="29" xfId="0" applyFont="1" applyBorder="1" applyAlignment="1">
      <alignment horizontal="center" vertical="center" wrapText="1"/>
    </xf>
    <xf numFmtId="0" fontId="71" fillId="0" borderId="157" xfId="0" applyFont="1" applyBorder="1" applyAlignment="1">
      <alignment horizontal="center" vertical="center" wrapText="1"/>
    </xf>
    <xf numFmtId="0" fontId="71" fillId="0" borderId="28" xfId="0" applyFont="1" applyBorder="1" applyAlignment="1">
      <alignment horizontal="center" vertical="center" wrapText="1"/>
    </xf>
    <xf numFmtId="0" fontId="71" fillId="14" borderId="15" xfId="0" applyFont="1" applyFill="1" applyBorder="1" applyAlignment="1">
      <alignment vertical="center" wrapText="1"/>
    </xf>
    <xf numFmtId="0" fontId="72" fillId="14" borderId="15" xfId="0" applyFont="1" applyFill="1" applyBorder="1" applyAlignment="1">
      <alignment vertical="center" wrapText="1"/>
    </xf>
    <xf numFmtId="0" fontId="71" fillId="0" borderId="15" xfId="0" applyFont="1" applyBorder="1" applyAlignment="1">
      <alignment vertical="center" wrapText="1"/>
    </xf>
    <xf numFmtId="0" fontId="72" fillId="0" borderId="15" xfId="0" applyFont="1" applyBorder="1" applyAlignment="1">
      <alignment vertical="center" wrapText="1"/>
    </xf>
    <xf numFmtId="0" fontId="71" fillId="14" borderId="16" xfId="0" applyFont="1" applyFill="1" applyBorder="1" applyAlignment="1">
      <alignment vertical="center" wrapText="1"/>
    </xf>
    <xf numFmtId="0" fontId="71" fillId="0" borderId="16" xfId="0" applyFont="1" applyBorder="1" applyAlignment="1">
      <alignment vertical="center" wrapText="1"/>
    </xf>
    <xf numFmtId="0" fontId="71" fillId="14" borderId="17" xfId="0" applyFont="1" applyFill="1" applyBorder="1" applyAlignment="1">
      <alignment vertical="center" wrapText="1"/>
    </xf>
    <xf numFmtId="166" fontId="14" fillId="0" borderId="0" xfId="0" applyNumberFormat="1" applyFont="1" applyAlignment="1">
      <alignment horizontal="left" wrapText="1"/>
    </xf>
    <xf numFmtId="0" fontId="5" fillId="2" borderId="15" xfId="0" applyFont="1" applyFill="1" applyBorder="1" applyAlignment="1">
      <alignment horizontal="center" vertical="center" wrapText="1"/>
    </xf>
    <xf numFmtId="0" fontId="29" fillId="0" borderId="0" xfId="0" applyFont="1" applyAlignment="1">
      <alignment horizontal="center" vertical="center"/>
    </xf>
    <xf numFmtId="0" fontId="5" fillId="2" borderId="54" xfId="3" applyFont="1" applyFill="1" applyBorder="1" applyAlignment="1">
      <alignment vertical="center" wrapText="1"/>
    </xf>
    <xf numFmtId="0" fontId="75" fillId="2" borderId="23" xfId="6" applyFont="1" applyFill="1" applyBorder="1" applyAlignment="1">
      <alignment vertical="center" wrapText="1"/>
    </xf>
    <xf numFmtId="0" fontId="14" fillId="0" borderId="0" xfId="0" applyFont="1"/>
    <xf numFmtId="0" fontId="0" fillId="10" borderId="21" xfId="0" quotePrefix="1" applyFill="1" applyBorder="1" applyAlignment="1">
      <alignment wrapText="1"/>
    </xf>
    <xf numFmtId="0" fontId="41" fillId="15" borderId="13" xfId="0" applyFont="1" applyFill="1" applyBorder="1" applyAlignment="1">
      <alignment horizontal="left" vertical="center" wrapText="1"/>
    </xf>
    <xf numFmtId="0" fontId="0" fillId="6" borderId="0" xfId="0" applyFill="1" applyAlignment="1">
      <alignment horizontal="center" vertical="center"/>
    </xf>
    <xf numFmtId="0" fontId="0" fillId="6" borderId="0" xfId="0" applyFill="1" applyAlignment="1">
      <alignment horizontal="left" vertical="center"/>
    </xf>
    <xf numFmtId="0" fontId="7" fillId="0" borderId="13" xfId="3" applyFont="1" applyBorder="1" applyAlignment="1">
      <alignment horizontal="center" vertical="center"/>
    </xf>
    <xf numFmtId="164" fontId="7" fillId="0" borderId="13" xfId="3" applyNumberFormat="1" applyFont="1" applyBorder="1" applyAlignment="1">
      <alignment horizontal="center" vertical="center"/>
    </xf>
    <xf numFmtId="0" fontId="22" fillId="0" borderId="13" xfId="3" applyFont="1" applyBorder="1" applyAlignment="1">
      <alignment horizontal="center" vertical="center"/>
    </xf>
    <xf numFmtId="0" fontId="7" fillId="0" borderId="13" xfId="3" applyFont="1" applyBorder="1" applyAlignment="1">
      <alignment horizontal="center" vertical="center" wrapText="1"/>
    </xf>
    <xf numFmtId="0" fontId="20" fillId="0" borderId="13" xfId="3" applyFont="1" applyBorder="1" applyAlignment="1">
      <alignment horizontal="center" vertical="center" wrapText="1"/>
    </xf>
    <xf numFmtId="164" fontId="20" fillId="0" borderId="13" xfId="3" applyNumberFormat="1" applyFont="1" applyBorder="1" applyAlignment="1">
      <alignment horizontal="center" vertical="center"/>
    </xf>
    <xf numFmtId="164" fontId="0" fillId="0" borderId="13" xfId="0" applyNumberFormat="1" applyBorder="1" applyAlignment="1">
      <alignment horizontal="center" vertical="center"/>
    </xf>
    <xf numFmtId="0" fontId="16" fillId="0" borderId="13" xfId="3" applyBorder="1" applyAlignment="1">
      <alignment horizontal="center" vertical="center"/>
    </xf>
    <xf numFmtId="0" fontId="16" fillId="0" borderId="13" xfId="3" applyBorder="1" applyAlignment="1">
      <alignment horizontal="left" vertical="center" wrapText="1"/>
    </xf>
    <xf numFmtId="164" fontId="16" fillId="0" borderId="13" xfId="3" applyNumberFormat="1" applyBorder="1" applyAlignment="1">
      <alignment horizontal="center" vertical="center"/>
    </xf>
    <xf numFmtId="0" fontId="20" fillId="0" borderId="13" xfId="3" applyFont="1" applyBorder="1" applyAlignment="1">
      <alignment horizontal="left" vertical="center" wrapText="1"/>
    </xf>
    <xf numFmtId="0" fontId="7" fillId="0" borderId="13" xfId="3" applyFont="1" applyBorder="1" applyAlignment="1">
      <alignment horizontal="left" vertical="center" wrapText="1"/>
    </xf>
    <xf numFmtId="0" fontId="22" fillId="7" borderId="13" xfId="3" applyFont="1" applyFill="1" applyBorder="1" applyAlignment="1">
      <alignment horizontal="center" vertical="center"/>
    </xf>
    <xf numFmtId="0" fontId="0" fillId="7" borderId="13" xfId="3" applyFont="1" applyFill="1" applyBorder="1" applyAlignment="1">
      <alignment horizontal="center" vertical="center" wrapText="1"/>
    </xf>
    <xf numFmtId="0" fontId="41" fillId="7" borderId="13" xfId="0" applyFont="1" applyFill="1" applyBorder="1" applyAlignment="1">
      <alignment horizontal="center" vertical="center" wrapText="1"/>
    </xf>
    <xf numFmtId="0" fontId="20" fillId="24" borderId="13" xfId="3" applyFont="1" applyFill="1" applyBorder="1" applyAlignment="1">
      <alignment horizontal="center" vertical="center"/>
    </xf>
    <xf numFmtId="0" fontId="22" fillId="24" borderId="13" xfId="3" applyFont="1" applyFill="1" applyBorder="1" applyAlignment="1">
      <alignment horizontal="center" vertical="center"/>
    </xf>
    <xf numFmtId="0" fontId="7" fillId="24" borderId="13" xfId="3" applyFont="1" applyFill="1" applyBorder="1" applyAlignment="1">
      <alignment horizontal="center" vertical="center" wrapText="1"/>
    </xf>
    <xf numFmtId="0" fontId="7" fillId="24" borderId="13" xfId="3" applyFont="1" applyFill="1" applyBorder="1" applyAlignment="1">
      <alignment horizontal="center" vertical="center"/>
    </xf>
    <xf numFmtId="0" fontId="16" fillId="7" borderId="13" xfId="3" applyFill="1" applyBorder="1" applyAlignment="1">
      <alignment horizontal="center" vertical="center"/>
    </xf>
    <xf numFmtId="0" fontId="0" fillId="7" borderId="13" xfId="3" applyFont="1" applyFill="1" applyBorder="1" applyAlignment="1">
      <alignment horizontal="center" vertical="center"/>
    </xf>
    <xf numFmtId="0" fontId="16" fillId="24" borderId="13" xfId="3" applyFill="1" applyBorder="1" applyAlignment="1">
      <alignment horizontal="center" vertical="center"/>
    </xf>
    <xf numFmtId="0" fontId="20" fillId="24" borderId="13" xfId="3" applyFont="1" applyFill="1" applyBorder="1" applyAlignment="1">
      <alignment horizontal="center" vertical="center" wrapText="1"/>
    </xf>
    <xf numFmtId="0" fontId="37" fillId="7" borderId="13" xfId="0" applyFont="1" applyFill="1" applyBorder="1" applyAlignment="1">
      <alignment horizontal="center" vertical="center" wrapText="1"/>
    </xf>
    <xf numFmtId="0" fontId="16" fillId="0" borderId="13" xfId="3" applyBorder="1" applyAlignment="1">
      <alignment horizontal="center" vertical="center" wrapText="1"/>
    </xf>
    <xf numFmtId="0" fontId="7" fillId="0" borderId="83" xfId="3" applyFont="1" applyBorder="1" applyAlignment="1">
      <alignment horizontal="left" vertical="center" wrapText="1"/>
    </xf>
    <xf numFmtId="0" fontId="16" fillId="7" borderId="13" xfId="3" applyFill="1" applyBorder="1" applyAlignment="1">
      <alignment horizontal="center" vertical="center" wrapText="1"/>
    </xf>
    <xf numFmtId="0" fontId="7" fillId="7" borderId="13" xfId="3" applyFont="1" applyFill="1" applyBorder="1" applyAlignment="1">
      <alignment horizontal="center" vertical="center"/>
    </xf>
    <xf numFmtId="0" fontId="37" fillId="7" borderId="23" xfId="0" applyFont="1" applyFill="1" applyBorder="1" applyAlignment="1">
      <alignment horizontal="center" vertical="center" wrapText="1"/>
    </xf>
    <xf numFmtId="0" fontId="9" fillId="7" borderId="85" xfId="10" applyNumberFormat="1" applyFont="1" applyFill="1" applyBorder="1" applyAlignment="1">
      <alignment horizontal="center" vertical="center" wrapText="1"/>
    </xf>
    <xf numFmtId="0" fontId="38" fillId="7" borderId="85" xfId="0" applyFont="1" applyFill="1" applyBorder="1" applyAlignment="1">
      <alignment horizontal="center" vertical="center" wrapText="1"/>
    </xf>
    <xf numFmtId="0" fontId="37" fillId="7" borderId="31" xfId="0" applyFont="1" applyFill="1" applyBorder="1" applyAlignment="1">
      <alignment horizontal="center" vertical="center" wrapText="1"/>
    </xf>
    <xf numFmtId="0" fontId="37" fillId="7" borderId="85" xfId="0" applyFont="1" applyFill="1" applyBorder="1" applyAlignment="1">
      <alignment horizontal="center" vertical="center" wrapText="1"/>
    </xf>
    <xf numFmtId="164" fontId="20" fillId="7" borderId="13" xfId="3" applyNumberFormat="1" applyFont="1" applyFill="1" applyBorder="1" applyAlignment="1">
      <alignment horizontal="center" vertical="center"/>
    </xf>
    <xf numFmtId="164" fontId="22" fillId="7" borderId="13" xfId="3" applyNumberFormat="1" applyFont="1" applyFill="1" applyBorder="1" applyAlignment="1">
      <alignment horizontal="center" vertical="center"/>
    </xf>
    <xf numFmtId="164" fontId="0" fillId="7" borderId="13" xfId="3" applyNumberFormat="1" applyFont="1" applyFill="1" applyBorder="1" applyAlignment="1">
      <alignment horizontal="center" vertical="center"/>
    </xf>
    <xf numFmtId="0" fontId="20" fillId="7" borderId="13" xfId="3" applyFont="1" applyFill="1" applyBorder="1" applyAlignment="1">
      <alignment horizontal="center" vertical="center"/>
    </xf>
    <xf numFmtId="164" fontId="16" fillId="7" borderId="13" xfId="3" applyNumberFormat="1" applyFill="1" applyBorder="1" applyAlignment="1">
      <alignment horizontal="center" vertical="center"/>
    </xf>
    <xf numFmtId="164" fontId="16" fillId="7" borderId="13" xfId="3" applyNumberFormat="1" applyFill="1" applyBorder="1" applyAlignment="1">
      <alignment horizontal="center" vertical="center" wrapText="1"/>
    </xf>
    <xf numFmtId="0" fontId="20" fillId="7" borderId="13" xfId="3" applyFont="1" applyFill="1" applyBorder="1" applyAlignment="1">
      <alignment horizontal="center" vertical="center" wrapText="1"/>
    </xf>
    <xf numFmtId="0" fontId="27" fillId="7" borderId="13" xfId="5" applyFont="1" applyFill="1" applyBorder="1" applyAlignment="1">
      <alignment horizontal="center" vertical="center"/>
    </xf>
    <xf numFmtId="0" fontId="27" fillId="7" borderId="13" xfId="5" applyNumberFormat="1" applyFont="1" applyFill="1" applyBorder="1" applyAlignment="1">
      <alignment horizontal="left" vertical="center" wrapText="1"/>
    </xf>
    <xf numFmtId="0" fontId="26" fillId="7" borderId="13" xfId="5" applyFont="1" applyFill="1" applyBorder="1" applyAlignment="1">
      <alignment horizontal="center" vertical="center"/>
    </xf>
    <xf numFmtId="0" fontId="56" fillId="7" borderId="13" xfId="5" applyFont="1" applyFill="1" applyBorder="1" applyAlignment="1">
      <alignment horizontal="center" vertical="center"/>
    </xf>
    <xf numFmtId="0" fontId="7" fillId="7" borderId="13" xfId="3" applyFont="1" applyFill="1" applyBorder="1" applyAlignment="1">
      <alignment horizontal="left" vertical="center" wrapText="1"/>
    </xf>
    <xf numFmtId="0" fontId="7" fillId="7" borderId="83" xfId="3" applyFont="1" applyFill="1" applyBorder="1" applyAlignment="1">
      <alignment horizontal="left" vertical="center" wrapText="1"/>
    </xf>
    <xf numFmtId="0" fontId="20" fillId="7" borderId="13" xfId="3" applyFont="1" applyFill="1" applyBorder="1" applyAlignment="1">
      <alignment horizontal="left" vertical="center" wrapText="1"/>
    </xf>
    <xf numFmtId="0" fontId="16" fillId="7" borderId="13" xfId="3" applyFill="1" applyBorder="1" applyAlignment="1">
      <alignment horizontal="left" vertical="center" wrapText="1"/>
    </xf>
    <xf numFmtId="0" fontId="0" fillId="6" borderId="0" xfId="0" applyFill="1" applyAlignment="1">
      <alignment horizontal="center" vertical="center" wrapText="1"/>
    </xf>
    <xf numFmtId="0" fontId="16" fillId="0" borderId="13" xfId="3" applyBorder="1" applyAlignment="1">
      <alignment horizontal="left" vertical="center"/>
    </xf>
    <xf numFmtId="0" fontId="20" fillId="0" borderId="15" xfId="3" applyFont="1" applyBorder="1" applyAlignment="1">
      <alignment horizontal="center" vertical="center"/>
    </xf>
    <xf numFmtId="0" fontId="3" fillId="2" borderId="3" xfId="1" applyFont="1" applyFill="1" applyBorder="1" applyAlignment="1">
      <alignment horizontal="left" vertical="center"/>
    </xf>
    <xf numFmtId="0" fontId="3" fillId="2" borderId="1" xfId="1" applyFont="1" applyFill="1" applyBorder="1" applyAlignment="1">
      <alignment horizontal="left" vertical="center"/>
    </xf>
    <xf numFmtId="0" fontId="2" fillId="2" borderId="1" xfId="1" applyFont="1" applyFill="1" applyBorder="1" applyAlignment="1">
      <alignment horizontal="center" vertical="center"/>
    </xf>
    <xf numFmtId="0" fontId="38" fillId="0" borderId="17" xfId="0" applyFont="1" applyBorder="1" applyAlignment="1">
      <alignment horizontal="center" vertical="center" wrapText="1"/>
    </xf>
    <xf numFmtId="0" fontId="0" fillId="0" borderId="30" xfId="3" applyFont="1" applyBorder="1" applyAlignment="1">
      <alignment horizontal="center" vertical="center"/>
    </xf>
    <xf numFmtId="0" fontId="35" fillId="0" borderId="13" xfId="0" applyFont="1" applyBorder="1" applyAlignment="1">
      <alignment horizontal="left" vertical="top" wrapText="1"/>
    </xf>
    <xf numFmtId="0" fontId="35" fillId="0" borderId="13" xfId="0" applyFont="1" applyBorder="1" applyAlignment="1">
      <alignment horizontal="center" vertical="top" wrapText="1"/>
    </xf>
    <xf numFmtId="0" fontId="3" fillId="2" borderId="3" xfId="1" applyFont="1" applyFill="1" applyBorder="1" applyAlignment="1">
      <alignment horizontal="center" vertical="center"/>
    </xf>
    <xf numFmtId="0" fontId="38" fillId="0" borderId="13" xfId="0" applyFont="1" applyBorder="1" applyAlignment="1">
      <alignment horizontal="left" vertical="center" wrapText="1"/>
    </xf>
    <xf numFmtId="0" fontId="35" fillId="7" borderId="13" xfId="0" applyFont="1" applyFill="1" applyBorder="1" applyAlignment="1">
      <alignment horizontal="left" vertical="center" wrapText="1"/>
    </xf>
    <xf numFmtId="0" fontId="35" fillId="5" borderId="13" xfId="0" applyFont="1" applyFill="1" applyBorder="1" applyAlignment="1">
      <alignment horizontal="center" vertical="center" wrapText="1"/>
    </xf>
    <xf numFmtId="0" fontId="41" fillId="0" borderId="13" xfId="0" applyFont="1" applyBorder="1" applyAlignment="1">
      <alignment vertical="center" wrapText="1"/>
    </xf>
    <xf numFmtId="0" fontId="41" fillId="9" borderId="13" xfId="0" applyFont="1" applyFill="1" applyBorder="1" applyAlignment="1">
      <alignment horizontal="left" vertical="center" wrapText="1"/>
    </xf>
    <xf numFmtId="0" fontId="41" fillId="9" borderId="13" xfId="0" applyFont="1" applyFill="1" applyBorder="1" applyAlignment="1">
      <alignment horizontal="center" vertical="center" wrapText="1"/>
    </xf>
    <xf numFmtId="0" fontId="3" fillId="2" borderId="1" xfId="1" applyFont="1" applyFill="1" applyBorder="1" applyAlignment="1">
      <alignment horizontal="left" vertical="top"/>
    </xf>
    <xf numFmtId="0" fontId="35" fillId="0" borderId="17" xfId="0" applyFont="1" applyBorder="1" applyAlignment="1">
      <alignment horizontal="left" vertical="top" wrapText="1"/>
    </xf>
    <xf numFmtId="0" fontId="35" fillId="0" borderId="17" xfId="0" applyFont="1" applyBorder="1" applyAlignment="1">
      <alignment horizontal="center" vertical="top" wrapText="1"/>
    </xf>
    <xf numFmtId="0" fontId="62" fillId="2" borderId="13" xfId="6" applyFont="1" applyFill="1" applyBorder="1" applyAlignment="1">
      <alignment horizontal="left"/>
    </xf>
    <xf numFmtId="0" fontId="40" fillId="13" borderId="18" xfId="0" applyFont="1" applyFill="1" applyBorder="1" applyAlignment="1">
      <alignment wrapText="1"/>
    </xf>
    <xf numFmtId="0" fontId="7" fillId="0" borderId="26" xfId="1" applyFont="1" applyBorder="1" applyAlignment="1">
      <alignment horizontal="left" vertical="center" wrapText="1"/>
    </xf>
    <xf numFmtId="0" fontId="10" fillId="0" borderId="24" xfId="1" applyFont="1" applyBorder="1" applyAlignment="1">
      <alignment horizontal="left" vertical="center" wrapText="1"/>
    </xf>
    <xf numFmtId="0" fontId="37" fillId="7" borderId="84" xfId="0" applyFont="1" applyFill="1" applyBorder="1" applyAlignment="1">
      <alignment horizontal="left" vertical="center" wrapText="1"/>
    </xf>
    <xf numFmtId="0" fontId="11" fillId="2" borderId="16" xfId="3" applyFont="1" applyFill="1" applyBorder="1" applyAlignment="1">
      <alignment horizontal="center" vertical="center"/>
    </xf>
    <xf numFmtId="0" fontId="38" fillId="0" borderId="14" xfId="0" applyFont="1" applyBorder="1" applyAlignment="1">
      <alignment horizontal="left" vertical="center" wrapText="1"/>
    </xf>
    <xf numFmtId="0" fontId="52" fillId="0" borderId="14" xfId="0" applyFont="1" applyBorder="1" applyAlignment="1">
      <alignment horizontal="left" vertical="center" wrapText="1"/>
    </xf>
    <xf numFmtId="0" fontId="43" fillId="2" borderId="18" xfId="3" applyFont="1" applyFill="1" applyBorder="1" applyAlignment="1">
      <alignment horizontal="center" vertical="center"/>
    </xf>
    <xf numFmtId="0" fontId="43" fillId="2" borderId="18" xfId="3" applyFont="1" applyFill="1" applyBorder="1" applyAlignment="1">
      <alignment horizontal="center" vertical="center" wrapText="1"/>
    </xf>
    <xf numFmtId="0" fontId="0" fillId="0" borderId="68" xfId="0" applyBorder="1" applyAlignment="1">
      <alignment horizontal="left" vertical="center"/>
    </xf>
    <xf numFmtId="0" fontId="52" fillId="0" borderId="69" xfId="0" applyFont="1" applyBorder="1" applyAlignment="1">
      <alignment horizontal="left" vertical="center" wrapText="1"/>
    </xf>
    <xf numFmtId="0" fontId="0" fillId="0" borderId="85" xfId="0" applyBorder="1" applyAlignment="1">
      <alignment horizontal="left" vertical="center"/>
    </xf>
    <xf numFmtId="0" fontId="10" fillId="0" borderId="13" xfId="1" applyFont="1" applyBorder="1" applyAlignment="1">
      <alignment horizontal="left" vertical="center" wrapText="1"/>
    </xf>
    <xf numFmtId="0" fontId="8" fillId="0" borderId="13" xfId="4" applyFont="1" applyFill="1" applyBorder="1" applyAlignment="1">
      <alignment horizontal="left" vertical="center" wrapText="1"/>
    </xf>
    <xf numFmtId="0" fontId="8" fillId="0" borderId="13" xfId="1" applyFont="1" applyBorder="1" applyAlignment="1">
      <alignment horizontal="left" vertical="center" wrapText="1"/>
    </xf>
    <xf numFmtId="0" fontId="8" fillId="0" borderId="13" xfId="4" applyFont="1" applyFill="1" applyBorder="1" applyAlignment="1">
      <alignment horizontal="center" vertical="center" wrapText="1"/>
    </xf>
    <xf numFmtId="0" fontId="8" fillId="0" borderId="13" xfId="1" applyFont="1" applyBorder="1" applyAlignment="1">
      <alignment horizontal="center" vertical="center" wrapText="1"/>
    </xf>
    <xf numFmtId="0" fontId="3" fillId="3" borderId="1" xfId="1" applyFont="1" applyFill="1" applyBorder="1" applyAlignment="1">
      <alignment horizontal="center" vertical="center" wrapText="1"/>
    </xf>
    <xf numFmtId="0" fontId="43" fillId="13" borderId="13" xfId="0" applyFont="1" applyFill="1" applyBorder="1" applyAlignment="1">
      <alignment wrapText="1"/>
    </xf>
    <xf numFmtId="0" fontId="43" fillId="13" borderId="14" xfId="0" applyFont="1" applyFill="1" applyBorder="1" applyAlignment="1">
      <alignment wrapText="1"/>
    </xf>
    <xf numFmtId="0" fontId="0" fillId="0" borderId="15" xfId="0" applyBorder="1" applyAlignment="1">
      <alignment horizontal="left"/>
    </xf>
    <xf numFmtId="0" fontId="0" fillId="0" borderId="15" xfId="0" applyBorder="1"/>
    <xf numFmtId="0" fontId="38" fillId="0" borderId="15" xfId="0" applyFont="1" applyBorder="1"/>
    <xf numFmtId="0" fontId="38" fillId="0" borderId="16" xfId="0" applyFont="1" applyBorder="1"/>
    <xf numFmtId="0" fontId="38" fillId="0" borderId="30" xfId="0" applyFont="1" applyBorder="1" applyAlignment="1">
      <alignment wrapText="1"/>
    </xf>
    <xf numFmtId="0" fontId="52" fillId="0" borderId="17" xfId="0" applyFont="1" applyBorder="1" applyAlignment="1">
      <alignment horizontal="center" vertical="center"/>
    </xf>
    <xf numFmtId="0" fontId="43" fillId="2" borderId="28" xfId="3" applyFont="1" applyFill="1" applyBorder="1" applyAlignment="1">
      <alignment horizontal="center" vertical="center"/>
    </xf>
    <xf numFmtId="0" fontId="43" fillId="2" borderId="19" xfId="3" applyFont="1" applyFill="1" applyBorder="1" applyAlignment="1">
      <alignment horizontal="center" vertical="center"/>
    </xf>
    <xf numFmtId="0" fontId="70" fillId="0" borderId="14" xfId="0" applyFont="1" applyBorder="1" applyAlignment="1">
      <alignment wrapText="1"/>
    </xf>
    <xf numFmtId="0" fontId="29" fillId="0" borderId="14" xfId="0" applyFont="1" applyBorder="1" applyAlignment="1">
      <alignment wrapText="1"/>
    </xf>
    <xf numFmtId="0" fontId="0" fillId="0" borderId="14" xfId="0" applyBorder="1" applyAlignment="1">
      <alignment wrapText="1"/>
    </xf>
    <xf numFmtId="0" fontId="52" fillId="0" borderId="0" xfId="0" applyFont="1" applyAlignment="1">
      <alignment horizontal="left" vertical="center" wrapText="1"/>
    </xf>
    <xf numFmtId="0" fontId="18" fillId="0" borderId="13" xfId="1" applyFont="1" applyBorder="1" applyAlignment="1">
      <alignment horizontal="left" vertical="center" wrapText="1"/>
    </xf>
    <xf numFmtId="0" fontId="3" fillId="2" borderId="1" xfId="1" applyFont="1" applyFill="1" applyBorder="1" applyAlignment="1">
      <alignment horizontal="center" vertical="center" wrapText="1"/>
    </xf>
    <xf numFmtId="0" fontId="35" fillId="0" borderId="13" xfId="4" applyFont="1" applyFill="1" applyBorder="1" applyAlignment="1">
      <alignment horizontal="center" vertical="center" wrapText="1"/>
    </xf>
    <xf numFmtId="0" fontId="35" fillId="0" borderId="13" xfId="1" applyFont="1" applyBorder="1" applyAlignment="1">
      <alignment horizontal="center" vertical="center"/>
    </xf>
    <xf numFmtId="0" fontId="32" fillId="0" borderId="13" xfId="8" applyFont="1" applyFill="1" applyBorder="1" applyAlignment="1">
      <alignment horizontal="center" vertical="center"/>
    </xf>
    <xf numFmtId="0" fontId="4" fillId="0" borderId="13" xfId="1" applyBorder="1" applyAlignment="1">
      <alignment horizontal="center" vertical="center"/>
    </xf>
    <xf numFmtId="0" fontId="70" fillId="0" borderId="13" xfId="0" applyFont="1" applyBorder="1" applyAlignment="1">
      <alignment horizontal="left" wrapText="1"/>
    </xf>
    <xf numFmtId="0" fontId="5" fillId="2" borderId="3" xfId="1" applyFont="1" applyFill="1" applyBorder="1" applyAlignment="1">
      <alignment horizontal="center" vertical="center" wrapText="1"/>
    </xf>
    <xf numFmtId="0" fontId="32" fillId="0" borderId="15" xfId="0" applyFont="1" applyBorder="1"/>
    <xf numFmtId="0" fontId="5" fillId="2" borderId="29" xfId="1" applyFont="1" applyFill="1" applyBorder="1" applyAlignment="1">
      <alignment horizontal="center" vertical="center" wrapText="1"/>
    </xf>
    <xf numFmtId="0" fontId="5" fillId="2" borderId="23" xfId="1" applyFont="1" applyFill="1" applyBorder="1" applyAlignment="1">
      <alignment horizontal="center" vertical="center" wrapText="1"/>
    </xf>
    <xf numFmtId="0" fontId="5" fillId="2" borderId="31" xfId="1" applyFont="1" applyFill="1" applyBorder="1" applyAlignment="1">
      <alignment horizontal="center" vertical="center" wrapText="1"/>
    </xf>
    <xf numFmtId="0" fontId="32" fillId="0" borderId="16" xfId="0" applyFont="1" applyBorder="1"/>
    <xf numFmtId="0" fontId="0" fillId="0" borderId="17" xfId="0" applyBorder="1" applyAlignment="1">
      <alignment wrapText="1"/>
    </xf>
    <xf numFmtId="0" fontId="7" fillId="0" borderId="17" xfId="4" applyFont="1" applyFill="1" applyBorder="1" applyAlignment="1">
      <alignment horizontal="center" vertical="center" wrapText="1"/>
    </xf>
    <xf numFmtId="0" fontId="0" fillId="0" borderId="17" xfId="0" applyBorder="1" applyAlignment="1">
      <alignment horizontal="center" vertical="center" wrapText="1"/>
    </xf>
    <xf numFmtId="0" fontId="29" fillId="0" borderId="17" xfId="0" applyFont="1" applyBorder="1" applyAlignment="1">
      <alignment horizontal="center" vertical="center"/>
    </xf>
    <xf numFmtId="0" fontId="0" fillId="0" borderId="15" xfId="0" applyBorder="1" applyAlignment="1">
      <alignment wrapText="1"/>
    </xf>
    <xf numFmtId="0" fontId="38" fillId="0" borderId="29" xfId="0" applyFont="1" applyBorder="1"/>
    <xf numFmtId="0" fontId="0" fillId="0" borderId="94" xfId="0" applyBorder="1" applyAlignment="1">
      <alignment horizontal="left" vertical="center"/>
    </xf>
    <xf numFmtId="0" fontId="52" fillId="0" borderId="17" xfId="0" applyFont="1" applyBorder="1" applyAlignment="1">
      <alignment horizontal="left" vertical="center" wrapText="1"/>
    </xf>
    <xf numFmtId="0" fontId="29" fillId="0" borderId="17" xfId="0" applyFont="1" applyBorder="1" applyAlignment="1">
      <alignment horizontal="left" vertical="center"/>
    </xf>
    <xf numFmtId="0" fontId="9" fillId="0" borderId="68" xfId="1" applyFont="1" applyBorder="1" applyAlignment="1">
      <alignment horizontal="left" vertical="center" wrapText="1"/>
    </xf>
    <xf numFmtId="0" fontId="29" fillId="0" borderId="69" xfId="0" applyFont="1" applyBorder="1" applyAlignment="1">
      <alignment horizontal="left" vertical="center"/>
    </xf>
    <xf numFmtId="0" fontId="38" fillId="0" borderId="78" xfId="0" applyFont="1" applyBorder="1" applyAlignment="1">
      <alignment horizontal="left" vertical="center"/>
    </xf>
    <xf numFmtId="0" fontId="20" fillId="0" borderId="13" xfId="1" applyFont="1" applyBorder="1" applyAlignment="1">
      <alignment horizontal="left" vertical="center" wrapText="1"/>
    </xf>
    <xf numFmtId="0" fontId="29" fillId="0" borderId="13" xfId="0" applyFont="1" applyBorder="1" applyAlignment="1">
      <alignment horizontal="left" vertical="center"/>
    </xf>
    <xf numFmtId="0" fontId="38" fillId="0" borderId="94" xfId="0" applyFont="1" applyBorder="1" applyAlignment="1">
      <alignment horizontal="left" vertical="center"/>
    </xf>
    <xf numFmtId="0" fontId="8" fillId="0" borderId="17" xfId="1" applyFont="1" applyBorder="1" applyAlignment="1">
      <alignment horizontal="left" vertical="center" wrapText="1"/>
    </xf>
    <xf numFmtId="0" fontId="7" fillId="0" borderId="17" xfId="4" applyFont="1" applyFill="1" applyBorder="1" applyAlignment="1">
      <alignment horizontal="left" vertical="center" wrapText="1"/>
    </xf>
    <xf numFmtId="0" fontId="7" fillId="0" borderId="17" xfId="1" applyFont="1" applyBorder="1" applyAlignment="1">
      <alignment horizontal="left" vertical="center" wrapText="1"/>
    </xf>
    <xf numFmtId="0" fontId="6" fillId="0" borderId="24" xfId="1" applyFont="1" applyBorder="1" applyAlignment="1">
      <alignment horizontal="left" vertical="center" wrapText="1"/>
    </xf>
    <xf numFmtId="0" fontId="71" fillId="0" borderId="94" xfId="0" applyFont="1" applyBorder="1" applyAlignment="1">
      <alignment horizontal="left" vertical="center" wrapText="1"/>
    </xf>
    <xf numFmtId="0" fontId="71" fillId="0" borderId="17" xfId="0" applyFont="1" applyBorder="1" applyAlignment="1">
      <alignment horizontal="left" vertical="center" wrapText="1"/>
    </xf>
    <xf numFmtId="0" fontId="14" fillId="5" borderId="88" xfId="0" applyFont="1" applyFill="1" applyBorder="1" applyAlignment="1">
      <alignment horizontal="left" vertical="center"/>
    </xf>
    <xf numFmtId="0" fontId="14" fillId="0" borderId="2" xfId="0" applyFont="1" applyBorder="1" applyAlignment="1">
      <alignment horizontal="left" vertical="center"/>
    </xf>
    <xf numFmtId="0" fontId="14" fillId="5" borderId="13" xfId="0" applyFont="1" applyFill="1" applyBorder="1" applyAlignment="1">
      <alignment horizontal="left" vertical="center"/>
    </xf>
    <xf numFmtId="0" fontId="6" fillId="0" borderId="85" xfId="0" applyFont="1" applyBorder="1" applyAlignment="1">
      <alignment horizontal="left" vertical="center"/>
    </xf>
    <xf numFmtId="0" fontId="14" fillId="0" borderId="13" xfId="0" applyFont="1" applyBorder="1" applyAlignment="1">
      <alignment horizontal="left" vertical="center"/>
    </xf>
    <xf numFmtId="0" fontId="40" fillId="13" borderId="161" xfId="11" applyFont="1" applyFill="1" applyBorder="1" applyAlignment="1">
      <alignment wrapText="1"/>
    </xf>
    <xf numFmtId="0" fontId="6" fillId="0" borderId="160" xfId="1" applyFont="1" applyBorder="1" applyAlignment="1">
      <alignment horizontal="center" vertical="center" wrapText="1"/>
    </xf>
    <xf numFmtId="0" fontId="33" fillId="13" borderId="161" xfId="0" applyFont="1" applyFill="1" applyBorder="1" applyAlignment="1">
      <alignment wrapText="1"/>
    </xf>
    <xf numFmtId="0" fontId="6" fillId="7" borderId="162" xfId="1" applyFont="1" applyFill="1" applyBorder="1" applyAlignment="1">
      <alignment horizontal="left" vertical="center" wrapText="1"/>
    </xf>
    <xf numFmtId="0" fontId="6" fillId="7" borderId="162" xfId="1" applyFont="1" applyFill="1" applyBorder="1" applyAlignment="1">
      <alignment horizontal="center" vertical="center" wrapText="1"/>
    </xf>
    <xf numFmtId="0" fontId="6" fillId="0" borderId="162" xfId="1" applyFont="1" applyBorder="1" applyAlignment="1">
      <alignment horizontal="left" vertical="center" wrapText="1"/>
    </xf>
    <xf numFmtId="0" fontId="6" fillId="0" borderId="162" xfId="1" applyFont="1" applyBorder="1" applyAlignment="1">
      <alignment horizontal="center" vertical="center" wrapText="1"/>
    </xf>
    <xf numFmtId="0" fontId="18" fillId="7" borderId="162" xfId="1" applyFont="1" applyFill="1" applyBorder="1" applyAlignment="1">
      <alignment horizontal="center" vertical="center" wrapText="1"/>
    </xf>
    <xf numFmtId="0" fontId="10" fillId="7" borderId="162" xfId="1" applyFont="1" applyFill="1" applyBorder="1" applyAlignment="1">
      <alignment horizontal="left" vertical="center" wrapText="1"/>
    </xf>
    <xf numFmtId="0" fontId="10" fillId="7" borderId="162" xfId="1" applyFont="1" applyFill="1" applyBorder="1" applyAlignment="1">
      <alignment horizontal="center" vertical="center" wrapText="1"/>
    </xf>
    <xf numFmtId="0" fontId="10" fillId="0" borderId="162" xfId="1" applyFont="1" applyBorder="1" applyAlignment="1">
      <alignment horizontal="left" vertical="center" wrapText="1"/>
    </xf>
    <xf numFmtId="0" fontId="18" fillId="0" borderId="162" xfId="1" applyFont="1" applyBorder="1" applyAlignment="1">
      <alignment horizontal="center" vertical="center" wrapText="1"/>
    </xf>
    <xf numFmtId="0" fontId="10" fillId="0" borderId="162" xfId="1" applyFont="1" applyBorder="1" applyAlignment="1">
      <alignment horizontal="center" vertical="center" wrapText="1"/>
    </xf>
    <xf numFmtId="0" fontId="18" fillId="0" borderId="162" xfId="1" applyFont="1" applyBorder="1" applyAlignment="1">
      <alignment horizontal="left" vertical="center" wrapText="1"/>
    </xf>
    <xf numFmtId="0" fontId="11" fillId="2" borderId="163" xfId="3" applyFont="1" applyFill="1" applyBorder="1" applyAlignment="1">
      <alignment vertical="center"/>
    </xf>
    <xf numFmtId="0" fontId="11" fillId="2" borderId="164" xfId="3" applyFont="1" applyFill="1" applyBorder="1" applyAlignment="1">
      <alignment vertical="center"/>
    </xf>
    <xf numFmtId="0" fontId="11" fillId="2" borderId="165" xfId="3" applyFont="1" applyFill="1" applyBorder="1" applyAlignment="1">
      <alignment vertical="center"/>
    </xf>
    <xf numFmtId="0" fontId="0" fillId="16" borderId="13" xfId="0" applyFill="1" applyBorder="1" applyAlignment="1">
      <alignment horizontal="center" vertical="center"/>
    </xf>
    <xf numFmtId="0" fontId="38" fillId="0" borderId="13" xfId="0" applyFont="1" applyBorder="1" applyAlignment="1">
      <alignment horizontal="center" wrapText="1"/>
    </xf>
    <xf numFmtId="0" fontId="2" fillId="2" borderId="1" xfId="1" applyFont="1" applyFill="1" applyBorder="1" applyAlignment="1">
      <alignment horizontal="center" vertical="center" wrapText="1"/>
    </xf>
    <xf numFmtId="0" fontId="2" fillId="3" borderId="1" xfId="1" applyFont="1" applyFill="1" applyBorder="1" applyAlignment="1">
      <alignment horizontal="center" vertical="center" wrapText="1"/>
    </xf>
    <xf numFmtId="0" fontId="41" fillId="15" borderId="84" xfId="0" applyFont="1" applyFill="1" applyBorder="1" applyAlignment="1">
      <alignment horizontal="left" vertical="center" wrapText="1"/>
    </xf>
    <xf numFmtId="0" fontId="41" fillId="0" borderId="84" xfId="0" applyFont="1" applyBorder="1" applyAlignment="1">
      <alignment horizontal="left" vertical="center" wrapText="1"/>
    </xf>
    <xf numFmtId="0" fontId="41" fillId="5" borderId="84" xfId="0" applyFont="1" applyFill="1" applyBorder="1" applyAlignment="1">
      <alignment horizontal="left" vertical="center" wrapText="1"/>
    </xf>
    <xf numFmtId="0" fontId="41" fillId="7" borderId="84" xfId="0" applyFont="1" applyFill="1" applyBorder="1" applyAlignment="1">
      <alignment horizontal="left" vertical="center" wrapText="1"/>
    </xf>
    <xf numFmtId="0" fontId="38" fillId="7" borderId="17" xfId="0" applyFont="1" applyFill="1" applyBorder="1" applyAlignment="1">
      <alignment vertical="center"/>
    </xf>
    <xf numFmtId="0" fontId="38" fillId="0" borderId="17" xfId="0" applyFont="1" applyBorder="1" applyAlignment="1">
      <alignment vertical="center" wrapText="1"/>
    </xf>
    <xf numFmtId="0" fontId="6" fillId="0" borderId="85" xfId="3" applyFont="1" applyBorder="1" applyAlignment="1">
      <alignment horizontal="left" vertical="center" wrapText="1"/>
    </xf>
    <xf numFmtId="0" fontId="38" fillId="7" borderId="23" xfId="0" applyFont="1" applyFill="1" applyBorder="1" applyAlignment="1">
      <alignment horizontal="left" vertical="center"/>
    </xf>
    <xf numFmtId="0" fontId="38" fillId="18" borderId="23" xfId="0" applyFont="1" applyFill="1" applyBorder="1" applyAlignment="1">
      <alignment vertical="center" wrapText="1"/>
    </xf>
    <xf numFmtId="0" fontId="6" fillId="0" borderId="13" xfId="1" applyFont="1" applyBorder="1" applyAlignment="1">
      <alignment horizontal="left" vertical="center" wrapText="1"/>
    </xf>
    <xf numFmtId="0" fontId="6" fillId="0" borderId="13" xfId="1" applyFont="1" applyBorder="1" applyAlignment="1">
      <alignment horizontal="center" vertical="center" wrapText="1"/>
    </xf>
    <xf numFmtId="0" fontId="14" fillId="0" borderId="1" xfId="1" applyFont="1" applyBorder="1" applyAlignment="1">
      <alignment horizontal="center" vertical="center" wrapText="1"/>
    </xf>
    <xf numFmtId="0" fontId="6" fillId="0" borderId="1" xfId="1" applyFont="1" applyBorder="1" applyAlignment="1">
      <alignment horizontal="center" vertical="center" wrapText="1"/>
    </xf>
    <xf numFmtId="0" fontId="6" fillId="0" borderId="1" xfId="1" applyFont="1" applyBorder="1" applyAlignment="1">
      <alignment horizontal="left" vertical="center" wrapText="1"/>
    </xf>
    <xf numFmtId="0" fontId="14" fillId="0" borderId="85" xfId="1" applyFont="1" applyBorder="1" applyAlignment="1">
      <alignment horizontal="left" vertical="center" wrapText="1"/>
    </xf>
    <xf numFmtId="0" fontId="0" fillId="0" borderId="13" xfId="1" applyFont="1" applyBorder="1" applyAlignment="1">
      <alignment horizontal="left" vertical="center" wrapText="1"/>
    </xf>
    <xf numFmtId="0" fontId="0" fillId="0" borderId="85" xfId="1" applyFont="1" applyBorder="1" applyAlignment="1">
      <alignment horizontal="left" vertical="center" wrapText="1"/>
    </xf>
    <xf numFmtId="0" fontId="6" fillId="0" borderId="85" xfId="1" applyFont="1" applyBorder="1" applyAlignment="1">
      <alignment horizontal="left" vertical="center" wrapText="1"/>
    </xf>
    <xf numFmtId="0" fontId="34" fillId="0" borderId="0" xfId="0" applyFont="1" applyAlignment="1">
      <alignment horizontal="left" vertical="center" wrapText="1"/>
    </xf>
    <xf numFmtId="0" fontId="32" fillId="0" borderId="0" xfId="0" applyFont="1" applyAlignment="1">
      <alignment vertical="center"/>
    </xf>
    <xf numFmtId="0" fontId="7" fillId="7" borderId="168" xfId="1" applyFont="1" applyFill="1" applyBorder="1" applyAlignment="1">
      <alignment horizontal="left" vertical="center" wrapText="1"/>
    </xf>
    <xf numFmtId="0" fontId="9" fillId="7" borderId="168" xfId="1" applyFont="1" applyFill="1" applyBorder="1" applyAlignment="1">
      <alignment horizontal="left" vertical="center" wrapText="1"/>
    </xf>
    <xf numFmtId="0" fontId="7" fillId="0" borderId="168" xfId="1" applyFont="1" applyBorder="1" applyAlignment="1">
      <alignment horizontal="left" vertical="center" wrapText="1"/>
    </xf>
    <xf numFmtId="0" fontId="35" fillId="0" borderId="14" xfId="0" applyFont="1" applyBorder="1" applyAlignment="1">
      <alignment horizontal="center" vertical="top" wrapText="1"/>
    </xf>
    <xf numFmtId="0" fontId="35" fillId="0" borderId="30" xfId="0" applyFont="1" applyBorder="1" applyAlignment="1">
      <alignment horizontal="center" vertical="top" wrapText="1"/>
    </xf>
    <xf numFmtId="0" fontId="35" fillId="0" borderId="14" xfId="0" applyFont="1" applyBorder="1" applyAlignment="1">
      <alignment horizontal="center" vertical="center" wrapText="1"/>
    </xf>
    <xf numFmtId="0" fontId="53" fillId="3" borderId="18" xfId="0" applyFont="1" applyFill="1" applyBorder="1" applyAlignment="1">
      <alignment horizontal="center" vertical="center" wrapText="1"/>
    </xf>
    <xf numFmtId="0" fontId="41" fillId="15" borderId="14" xfId="0" applyFont="1" applyFill="1" applyBorder="1" applyAlignment="1">
      <alignment horizontal="center" vertical="center" wrapText="1"/>
    </xf>
    <xf numFmtId="0" fontId="41" fillId="0" borderId="14" xfId="0" applyFont="1" applyBorder="1" applyAlignment="1">
      <alignment horizontal="center" vertical="center" wrapText="1"/>
    </xf>
    <xf numFmtId="0" fontId="41" fillId="9" borderId="14" xfId="0" applyFont="1" applyFill="1" applyBorder="1" applyAlignment="1">
      <alignment horizontal="center" vertical="center" wrapText="1"/>
    </xf>
    <xf numFmtId="0" fontId="11" fillId="2" borderId="17" xfId="0" applyFont="1" applyFill="1" applyBorder="1" applyAlignment="1">
      <alignment horizontal="left" vertical="center"/>
    </xf>
    <xf numFmtId="0" fontId="5" fillId="2" borderId="1" xfId="1" applyFont="1" applyFill="1" applyBorder="1" applyAlignment="1">
      <alignment horizontal="left" vertical="center" wrapText="1"/>
    </xf>
    <xf numFmtId="0" fontId="14" fillId="0" borderId="1" xfId="1" applyFont="1" applyBorder="1" applyAlignment="1">
      <alignment horizontal="left" vertical="center" wrapText="1"/>
    </xf>
    <xf numFmtId="0" fontId="6" fillId="0" borderId="83" xfId="1" applyFont="1" applyBorder="1" applyAlignment="1">
      <alignment horizontal="center" vertical="center" wrapText="1"/>
    </xf>
    <xf numFmtId="0" fontId="6" fillId="0" borderId="17" xfId="1" applyFont="1" applyBorder="1" applyAlignment="1">
      <alignment horizontal="left" vertical="center" wrapText="1"/>
    </xf>
    <xf numFmtId="0" fontId="6" fillId="0" borderId="17" xfId="1" applyFont="1" applyBorder="1" applyAlignment="1">
      <alignment horizontal="center" vertical="center" wrapText="1"/>
    </xf>
    <xf numFmtId="0" fontId="14" fillId="0" borderId="17" xfId="1" applyFont="1" applyBorder="1" applyAlignment="1">
      <alignment horizontal="left" vertical="center" wrapText="1"/>
    </xf>
    <xf numFmtId="0" fontId="6" fillId="0" borderId="2" xfId="1" applyFont="1" applyBorder="1" applyAlignment="1">
      <alignment horizontal="center" vertical="center" wrapText="1"/>
    </xf>
    <xf numFmtId="0" fontId="6" fillId="0" borderId="23" xfId="1" applyFont="1" applyBorder="1" applyAlignment="1">
      <alignment horizontal="left" vertical="center" wrapText="1"/>
    </xf>
    <xf numFmtId="0" fontId="6" fillId="0" borderId="23" xfId="1" applyFont="1" applyBorder="1" applyAlignment="1">
      <alignment horizontal="center" vertical="center" wrapText="1"/>
    </xf>
    <xf numFmtId="0" fontId="1" fillId="0" borderId="17" xfId="1" applyFont="1" applyBorder="1" applyAlignment="1">
      <alignment horizontal="left" vertical="center" wrapText="1"/>
    </xf>
    <xf numFmtId="0" fontId="11" fillId="3" borderId="15" xfId="0" applyFont="1" applyFill="1" applyBorder="1" applyAlignment="1">
      <alignment horizontal="left"/>
    </xf>
    <xf numFmtId="0" fontId="35" fillId="0" borderId="170" xfId="11" applyFont="1" applyBorder="1" applyAlignment="1">
      <alignment horizontal="left" vertical="center" wrapText="1"/>
    </xf>
    <xf numFmtId="0" fontId="0" fillId="0" borderId="170" xfId="0" applyBorder="1" applyAlignment="1">
      <alignment vertical="center"/>
    </xf>
    <xf numFmtId="0" fontId="35" fillId="0" borderId="171" xfId="11" applyFont="1" applyBorder="1" applyAlignment="1">
      <alignment horizontal="left" vertical="center" wrapText="1"/>
    </xf>
    <xf numFmtId="0" fontId="1" fillId="7" borderId="168" xfId="1" applyFont="1" applyFill="1" applyBorder="1" applyAlignment="1">
      <alignment horizontal="left" vertical="center" wrapText="1"/>
    </xf>
    <xf numFmtId="0" fontId="1" fillId="0" borderId="26" xfId="1" applyFont="1" applyBorder="1" applyAlignment="1">
      <alignment horizontal="left" vertical="center" wrapText="1"/>
    </xf>
    <xf numFmtId="0" fontId="1" fillId="0" borderId="168" xfId="1" applyFont="1" applyBorder="1" applyAlignment="1">
      <alignment horizontal="left" vertical="center" wrapText="1"/>
    </xf>
    <xf numFmtId="0" fontId="1" fillId="7" borderId="13" xfId="1" applyFont="1" applyFill="1" applyBorder="1" applyAlignment="1">
      <alignment horizontal="left" vertical="center" wrapText="1"/>
    </xf>
    <xf numFmtId="0" fontId="1" fillId="0" borderId="0" xfId="0" applyFont="1" applyAlignment="1">
      <alignment horizontal="left" wrapText="1"/>
    </xf>
    <xf numFmtId="0" fontId="1" fillId="7" borderId="13" xfId="3" applyFont="1" applyFill="1" applyBorder="1" applyAlignment="1">
      <alignment horizontal="center" vertical="center"/>
    </xf>
    <xf numFmtId="0" fontId="1" fillId="7" borderId="13" xfId="3" applyFont="1" applyFill="1" applyBorder="1" applyAlignment="1">
      <alignment horizontal="left" vertical="center" wrapText="1"/>
    </xf>
    <xf numFmtId="0" fontId="1" fillId="0" borderId="29" xfId="1" applyFont="1" applyBorder="1" applyAlignment="1">
      <alignment horizontal="left" vertical="center" wrapText="1"/>
    </xf>
    <xf numFmtId="0" fontId="1" fillId="0" borderId="13" xfId="1" applyFont="1" applyBorder="1" applyAlignment="1">
      <alignment horizontal="left" vertical="center" wrapText="1"/>
    </xf>
    <xf numFmtId="0" fontId="1" fillId="0" borderId="1" xfId="1" applyFont="1" applyBorder="1" applyAlignment="1">
      <alignment horizontal="left" vertical="center" wrapText="1"/>
    </xf>
    <xf numFmtId="0" fontId="1" fillId="0" borderId="85" xfId="1" applyFont="1" applyBorder="1" applyAlignment="1">
      <alignment horizontal="left" vertical="center" wrapText="1"/>
    </xf>
    <xf numFmtId="0" fontId="20" fillId="0" borderId="13" xfId="9" applyFont="1" applyBorder="1" applyAlignment="1">
      <alignment horizontal="center" vertical="center" wrapText="1"/>
    </xf>
    <xf numFmtId="49" fontId="0" fillId="0" borderId="0" xfId="0" applyNumberFormat="1" applyAlignment="1">
      <alignment horizontal="left"/>
    </xf>
    <xf numFmtId="49" fontId="0" fillId="23" borderId="0" xfId="0" applyNumberFormat="1" applyFill="1" applyAlignment="1">
      <alignment horizontal="left"/>
    </xf>
    <xf numFmtId="49" fontId="0" fillId="0" borderId="89" xfId="0" applyNumberFormat="1" applyBorder="1" applyAlignment="1">
      <alignment horizontal="left"/>
    </xf>
    <xf numFmtId="49" fontId="20" fillId="0" borderId="0" xfId="0" applyNumberFormat="1" applyFont="1" applyAlignment="1">
      <alignment horizontal="left"/>
    </xf>
    <xf numFmtId="49" fontId="0" fillId="0" borderId="0" xfId="0" applyNumberFormat="1"/>
    <xf numFmtId="49" fontId="0" fillId="0" borderId="0" xfId="0" quotePrefix="1" applyNumberFormat="1" applyAlignment="1">
      <alignment horizontal="left"/>
    </xf>
    <xf numFmtId="49" fontId="0" fillId="0" borderId="89" xfId="0" applyNumberFormat="1" applyBorder="1"/>
    <xf numFmtId="49" fontId="28" fillId="12" borderId="147" xfId="0" applyNumberFormat="1" applyFont="1" applyFill="1" applyBorder="1"/>
    <xf numFmtId="49" fontId="0" fillId="0" borderId="20" xfId="0" applyNumberFormat="1" applyBorder="1" applyAlignment="1">
      <alignment horizontal="left" vertical="top"/>
    </xf>
    <xf numFmtId="49" fontId="11" fillId="2" borderId="13" xfId="0" applyNumberFormat="1" applyFont="1" applyFill="1" applyBorder="1" applyAlignment="1">
      <alignment horizontal="left"/>
    </xf>
    <xf numFmtId="49" fontId="11" fillId="2" borderId="17" xfId="0" applyNumberFormat="1" applyFont="1" applyFill="1" applyBorder="1" applyAlignment="1">
      <alignment horizontal="left" vertical="center"/>
    </xf>
    <xf numFmtId="49" fontId="0" fillId="24" borderId="89" xfId="0" applyNumberFormat="1" applyFill="1" applyBorder="1" applyAlignment="1">
      <alignment horizontal="left"/>
    </xf>
    <xf numFmtId="49" fontId="2" fillId="2" borderId="13" xfId="3" applyNumberFormat="1" applyFont="1" applyFill="1" applyBorder="1" applyAlignment="1">
      <alignment horizontal="left" vertical="center"/>
    </xf>
    <xf numFmtId="49" fontId="11" fillId="3" borderId="97" xfId="3" applyNumberFormat="1" applyFont="1" applyFill="1" applyBorder="1" applyAlignment="1">
      <alignment horizontal="left" vertical="center"/>
    </xf>
    <xf numFmtId="49" fontId="28" fillId="12" borderId="147" xfId="0" applyNumberFormat="1" applyFont="1" applyFill="1" applyBorder="1" applyAlignment="1">
      <alignment vertical="center"/>
    </xf>
    <xf numFmtId="49" fontId="0" fillId="0" borderId="0" xfId="0" applyNumberFormat="1" applyAlignment="1">
      <alignment vertical="center"/>
    </xf>
    <xf numFmtId="49" fontId="0" fillId="23" borderId="20" xfId="0" applyNumberFormat="1" applyFill="1" applyBorder="1" applyAlignment="1">
      <alignment horizontal="left"/>
    </xf>
    <xf numFmtId="49" fontId="0" fillId="23" borderId="89" xfId="0" applyNumberFormat="1" applyFill="1" applyBorder="1" applyAlignment="1">
      <alignment horizontal="left"/>
    </xf>
    <xf numFmtId="49" fontId="0" fillId="0" borderId="0" xfId="0" applyNumberFormat="1" applyAlignment="1">
      <alignment horizontal="center"/>
    </xf>
    <xf numFmtId="49" fontId="0" fillId="24" borderId="20" xfId="0" applyNumberFormat="1" applyFill="1" applyBorder="1" applyAlignment="1">
      <alignment horizontal="left"/>
    </xf>
    <xf numFmtId="49" fontId="0" fillId="24" borderId="0" xfId="0" applyNumberFormat="1" applyFill="1" applyAlignment="1">
      <alignment horizontal="left"/>
    </xf>
    <xf numFmtId="49" fontId="0" fillId="0" borderId="0" xfId="0" applyNumberFormat="1" applyAlignment="1">
      <alignment horizontal="right"/>
    </xf>
    <xf numFmtId="49" fontId="28" fillId="12" borderId="147" xfId="0" applyNumberFormat="1" applyFont="1" applyFill="1" applyBorder="1" applyAlignment="1">
      <alignment horizontal="left" vertical="top"/>
    </xf>
    <xf numFmtId="49" fontId="0" fillId="0" borderId="82" xfId="0" applyNumberFormat="1" applyBorder="1" applyAlignment="1">
      <alignment horizontal="left"/>
    </xf>
    <xf numFmtId="0" fontId="0" fillId="23" borderId="0" xfId="0" applyFill="1"/>
    <xf numFmtId="49" fontId="0" fillId="23" borderId="0" xfId="0" applyNumberFormat="1" applyFill="1"/>
    <xf numFmtId="0" fontId="16" fillId="0" borderId="161" xfId="3" applyBorder="1" applyAlignment="1">
      <alignment horizontal="left" vertical="center"/>
    </xf>
    <xf numFmtId="0" fontId="7" fillId="0" borderId="166" xfId="9" applyFont="1" applyBorder="1" applyAlignment="1">
      <alignment horizontal="left" vertical="center" wrapText="1"/>
    </xf>
    <xf numFmtId="0" fontId="37" fillId="0" borderId="13" xfId="0" applyFont="1" applyBorder="1" applyAlignment="1">
      <alignment horizontal="center" vertical="center" wrapText="1"/>
    </xf>
    <xf numFmtId="1" fontId="3" fillId="3" borderId="15" xfId="3" applyNumberFormat="1" applyFont="1" applyFill="1" applyBorder="1" applyAlignment="1">
      <alignment horizontal="left"/>
    </xf>
    <xf numFmtId="1" fontId="2" fillId="3" borderId="13" xfId="3" applyNumberFormat="1" applyFont="1" applyFill="1" applyBorder="1" applyAlignment="1">
      <alignment horizontal="left"/>
    </xf>
    <xf numFmtId="0" fontId="6" fillId="24" borderId="83" xfId="1" applyFont="1" applyFill="1" applyBorder="1" applyAlignment="1">
      <alignment horizontal="center" vertical="center" wrapText="1"/>
    </xf>
    <xf numFmtId="0" fontId="38" fillId="0" borderId="5" xfId="0" applyFont="1" applyBorder="1" applyAlignment="1">
      <alignment horizontal="left" vertical="center" wrapText="1"/>
    </xf>
    <xf numFmtId="0" fontId="34" fillId="0" borderId="6" xfId="0" applyFont="1" applyBorder="1" applyAlignment="1">
      <alignment horizontal="left" vertical="center"/>
    </xf>
    <xf numFmtId="0" fontId="34" fillId="0" borderId="8" xfId="0" applyFont="1" applyBorder="1" applyAlignment="1">
      <alignment horizontal="left" vertical="center"/>
    </xf>
    <xf numFmtId="0" fontId="38" fillId="0" borderId="9" xfId="0" applyFont="1" applyBorder="1" applyAlignment="1">
      <alignment horizontal="left" vertical="center" wrapText="1"/>
    </xf>
    <xf numFmtId="0" fontId="34" fillId="0" borderId="10" xfId="0" applyFont="1" applyBorder="1" applyAlignment="1">
      <alignment horizontal="left" vertical="center"/>
    </xf>
    <xf numFmtId="0" fontId="38" fillId="0" borderId="169" xfId="0" applyFont="1" applyBorder="1" applyAlignment="1">
      <alignment horizontal="left"/>
    </xf>
    <xf numFmtId="0" fontId="38" fillId="0" borderId="173" xfId="0" applyFont="1" applyBorder="1" applyAlignment="1">
      <alignment horizontal="left"/>
    </xf>
    <xf numFmtId="0" fontId="36" fillId="0" borderId="152" xfId="0" applyFont="1" applyBorder="1" applyAlignment="1">
      <alignment horizontal="left"/>
    </xf>
    <xf numFmtId="49" fontId="38" fillId="0" borderId="44" xfId="0" applyNumberFormat="1" applyFont="1" applyBorder="1" applyAlignment="1">
      <alignment horizontal="left" wrapText="1"/>
    </xf>
    <xf numFmtId="49" fontId="54" fillId="20" borderId="42" xfId="0" applyNumberFormat="1" applyFont="1" applyFill="1" applyBorder="1" applyAlignment="1">
      <alignment wrapText="1"/>
    </xf>
    <xf numFmtId="49" fontId="38" fillId="0" borderId="41" xfId="0" applyNumberFormat="1" applyFont="1" applyBorder="1" applyAlignment="1">
      <alignment horizontal="left" wrapText="1"/>
    </xf>
    <xf numFmtId="0" fontId="52" fillId="0" borderId="0" xfId="0" applyFont="1"/>
    <xf numFmtId="49" fontId="54" fillId="20" borderId="42" xfId="0" applyNumberFormat="1" applyFont="1" applyFill="1" applyBorder="1" applyAlignment="1">
      <alignment horizontal="left" wrapText="1"/>
    </xf>
    <xf numFmtId="49" fontId="38" fillId="0" borderId="41" xfId="0" applyNumberFormat="1" applyFont="1" applyBorder="1" applyAlignment="1">
      <alignment horizontal="left" vertical="center" wrapText="1"/>
    </xf>
    <xf numFmtId="49" fontId="38" fillId="0" borderId="42" xfId="0" applyNumberFormat="1" applyFont="1" applyBorder="1" applyAlignment="1">
      <alignment horizontal="left" wrapText="1"/>
    </xf>
    <xf numFmtId="49" fontId="38" fillId="0" borderId="0" xfId="0" applyNumberFormat="1" applyFont="1" applyAlignment="1">
      <alignment horizontal="left" wrapText="1"/>
    </xf>
    <xf numFmtId="49" fontId="54" fillId="20" borderId="42" xfId="0" applyNumberFormat="1" applyFont="1" applyFill="1" applyBorder="1"/>
    <xf numFmtId="49" fontId="38" fillId="0" borderId="153" xfId="0" applyNumberFormat="1" applyFont="1" applyBorder="1" applyAlignment="1">
      <alignment horizontal="left"/>
    </xf>
    <xf numFmtId="0" fontId="0" fillId="0" borderId="21" xfId="0" applyBorder="1"/>
    <xf numFmtId="49" fontId="0" fillId="10" borderId="89" xfId="0" applyNumberFormat="1" applyFill="1" applyBorder="1" applyAlignment="1">
      <alignment horizontal="left"/>
    </xf>
    <xf numFmtId="0" fontId="0" fillId="10" borderId="87" xfId="0" applyFill="1" applyBorder="1" applyAlignment="1">
      <alignment horizontal="left" wrapText="1"/>
    </xf>
    <xf numFmtId="0" fontId="0" fillId="10" borderId="87" xfId="0" applyFill="1" applyBorder="1" applyAlignment="1">
      <alignment horizontal="left"/>
    </xf>
    <xf numFmtId="0" fontId="0" fillId="10" borderId="90" xfId="0" applyFill="1" applyBorder="1" applyAlignment="1">
      <alignment horizontal="left"/>
    </xf>
    <xf numFmtId="166" fontId="20" fillId="0" borderId="87" xfId="0" applyNumberFormat="1" applyFont="1" applyBorder="1" applyAlignment="1">
      <alignment horizontal="left"/>
    </xf>
    <xf numFmtId="169" fontId="38" fillId="0" borderId="21" xfId="0" applyNumberFormat="1" applyFont="1" applyBorder="1" applyAlignment="1">
      <alignment horizontal="left" wrapText="1"/>
    </xf>
    <xf numFmtId="169" fontId="38" fillId="0" borderId="21" xfId="0" applyNumberFormat="1" applyFont="1" applyBorder="1" applyAlignment="1">
      <alignment horizontal="left"/>
    </xf>
    <xf numFmtId="0" fontId="58" fillId="5" borderId="176" xfId="0" applyFont="1" applyFill="1" applyBorder="1" applyAlignment="1">
      <alignment horizontal="center" vertical="center" wrapText="1"/>
    </xf>
    <xf numFmtId="49" fontId="12" fillId="0" borderId="151" xfId="0" quotePrefix="1" applyNumberFormat="1" applyFont="1" applyBorder="1" applyAlignment="1">
      <alignment horizontal="left"/>
    </xf>
    <xf numFmtId="0" fontId="11" fillId="2" borderId="177" xfId="0" applyFont="1" applyFill="1" applyBorder="1" applyAlignment="1">
      <alignment horizontal="left" vertical="center" wrapText="1"/>
    </xf>
    <xf numFmtId="0" fontId="11" fillId="2" borderId="177" xfId="0" applyFont="1" applyFill="1" applyBorder="1" applyAlignment="1">
      <alignment horizontal="left"/>
    </xf>
    <xf numFmtId="0" fontId="11" fillId="2" borderId="177" xfId="0" applyFont="1" applyFill="1" applyBorder="1"/>
    <xf numFmtId="0" fontId="62" fillId="2" borderId="177" xfId="6" applyFont="1" applyFill="1" applyBorder="1" applyAlignment="1">
      <alignment horizontal="left" wrapText="1"/>
    </xf>
    <xf numFmtId="0" fontId="62" fillId="2" borderId="177" xfId="6" applyFont="1" applyFill="1" applyBorder="1" applyAlignment="1">
      <alignment horizontal="left"/>
    </xf>
    <xf numFmtId="0" fontId="11" fillId="2" borderId="181" xfId="3" applyFont="1" applyFill="1" applyBorder="1" applyAlignment="1">
      <alignment vertical="center" wrapText="1"/>
    </xf>
    <xf numFmtId="0" fontId="11" fillId="2" borderId="179" xfId="0" applyFont="1" applyFill="1" applyBorder="1"/>
    <xf numFmtId="0" fontId="43" fillId="2" borderId="181" xfId="3" applyFont="1" applyFill="1" applyBorder="1" applyAlignment="1">
      <alignment vertical="center" wrapText="1"/>
    </xf>
    <xf numFmtId="0" fontId="6" fillId="0" borderId="177" xfId="1" applyFont="1" applyBorder="1" applyAlignment="1">
      <alignment horizontal="left" vertical="center" wrapText="1"/>
    </xf>
    <xf numFmtId="0" fontId="6" fillId="0" borderId="177" xfId="1" applyFont="1" applyBorder="1" applyAlignment="1">
      <alignment horizontal="center" vertical="center" wrapText="1"/>
    </xf>
    <xf numFmtId="0" fontId="1" fillId="7" borderId="181" xfId="1" applyFont="1" applyFill="1" applyBorder="1" applyAlignment="1">
      <alignment horizontal="left" vertical="center" wrapText="1"/>
    </xf>
    <xf numFmtId="0" fontId="6" fillId="7" borderId="177" xfId="1" applyFont="1" applyFill="1" applyBorder="1" applyAlignment="1">
      <alignment horizontal="left" vertical="center" wrapText="1"/>
    </xf>
    <xf numFmtId="0" fontId="6" fillId="7" borderId="177" xfId="1" applyFont="1" applyFill="1" applyBorder="1" applyAlignment="1">
      <alignment horizontal="center" vertical="center" wrapText="1"/>
    </xf>
    <xf numFmtId="0" fontId="41" fillId="7" borderId="177" xfId="0" applyFont="1" applyFill="1" applyBorder="1" applyAlignment="1">
      <alignment horizontal="center" vertical="center" wrapText="1"/>
    </xf>
    <xf numFmtId="0" fontId="37" fillId="0" borderId="181" xfId="0" applyFont="1" applyBorder="1" applyAlignment="1">
      <alignment horizontal="left" vertical="center" wrapText="1"/>
    </xf>
    <xf numFmtId="0" fontId="41" fillId="0" borderId="177" xfId="0" applyFont="1" applyBorder="1" applyAlignment="1">
      <alignment horizontal="center" vertical="center" wrapText="1"/>
    </xf>
    <xf numFmtId="0" fontId="11" fillId="2" borderId="177" xfId="0" applyFont="1" applyFill="1" applyBorder="1" applyAlignment="1">
      <alignment vertical="center"/>
    </xf>
    <xf numFmtId="0" fontId="11" fillId="2" borderId="177" xfId="0" applyFont="1" applyFill="1" applyBorder="1" applyAlignment="1">
      <alignment horizontal="left" vertical="center"/>
    </xf>
    <xf numFmtId="0" fontId="62" fillId="2" borderId="177" xfId="6" applyFont="1" applyFill="1" applyBorder="1" applyAlignment="1">
      <alignment horizontal="left" vertical="center" wrapText="1"/>
    </xf>
    <xf numFmtId="0" fontId="40" fillId="2" borderId="181" xfId="3" applyFont="1" applyFill="1" applyBorder="1" applyAlignment="1">
      <alignment vertical="center" wrapText="1"/>
    </xf>
    <xf numFmtId="0" fontId="11" fillId="2" borderId="182" xfId="9" applyFont="1" applyFill="1" applyBorder="1" applyAlignment="1">
      <alignment horizontal="center" vertical="center"/>
    </xf>
    <xf numFmtId="0" fontId="11" fillId="2" borderId="182" xfId="9" applyFont="1" applyFill="1" applyBorder="1" applyAlignment="1">
      <alignment horizontal="center" vertical="center" wrapText="1"/>
    </xf>
    <xf numFmtId="0" fontId="61" fillId="2" borderId="177" xfId="6" applyFont="1" applyFill="1" applyBorder="1" applyAlignment="1">
      <alignment horizontal="left" vertical="center" wrapText="1"/>
    </xf>
    <xf numFmtId="0" fontId="14" fillId="0" borderId="183" xfId="0" applyFont="1" applyBorder="1" applyAlignment="1">
      <alignment horizontal="left" vertical="center"/>
    </xf>
    <xf numFmtId="0" fontId="41" fillId="0" borderId="177" xfId="0" applyFont="1" applyBorder="1" applyAlignment="1">
      <alignment horizontal="left" vertical="center" wrapText="1"/>
    </xf>
    <xf numFmtId="0" fontId="41" fillId="0" borderId="178" xfId="0" applyFont="1" applyBorder="1" applyAlignment="1">
      <alignment horizontal="center" vertical="center" wrapText="1"/>
    </xf>
    <xf numFmtId="0" fontId="35" fillId="0" borderId="182" xfId="0" applyFont="1" applyBorder="1" applyAlignment="1">
      <alignment horizontal="center" vertical="center" wrapText="1"/>
    </xf>
    <xf numFmtId="0" fontId="11" fillId="3" borderId="177" xfId="0" applyFont="1" applyFill="1" applyBorder="1" applyAlignment="1">
      <alignment horizontal="left"/>
    </xf>
    <xf numFmtId="0" fontId="61" fillId="2" borderId="177" xfId="6" applyFont="1" applyFill="1" applyBorder="1" applyAlignment="1">
      <alignment horizontal="left" wrapText="1"/>
    </xf>
    <xf numFmtId="0" fontId="61" fillId="2" borderId="177" xfId="6" applyFont="1" applyFill="1" applyBorder="1" applyAlignment="1">
      <alignment horizontal="left"/>
    </xf>
    <xf numFmtId="0" fontId="0" fillId="7" borderId="177" xfId="1" applyFont="1" applyFill="1" applyBorder="1" applyAlignment="1">
      <alignment horizontal="left" vertical="center" wrapText="1"/>
    </xf>
    <xf numFmtId="0" fontId="14" fillId="7" borderId="177" xfId="1" applyFont="1" applyFill="1" applyBorder="1" applyAlignment="1">
      <alignment horizontal="left" vertical="center" wrapText="1"/>
    </xf>
    <xf numFmtId="0" fontId="0" fillId="0" borderId="181" xfId="1" applyFont="1" applyBorder="1" applyAlignment="1">
      <alignment horizontal="left" vertical="center" wrapText="1"/>
    </xf>
    <xf numFmtId="0" fontId="14" fillId="0" borderId="177" xfId="1" applyFont="1" applyBorder="1" applyAlignment="1">
      <alignment horizontal="left" vertical="center" wrapText="1"/>
    </xf>
    <xf numFmtId="0" fontId="11" fillId="2" borderId="181" xfId="3" applyFont="1" applyFill="1" applyBorder="1" applyAlignment="1">
      <alignment horizontal="center" vertical="center"/>
    </xf>
    <xf numFmtId="0" fontId="41" fillId="0" borderId="182" xfId="0" applyFont="1" applyBorder="1" applyAlignment="1">
      <alignment horizontal="center" vertical="center" wrapText="1"/>
    </xf>
    <xf numFmtId="0" fontId="5" fillId="2" borderId="177" xfId="1" applyFont="1" applyFill="1" applyBorder="1" applyAlignment="1">
      <alignment horizontal="center" vertical="center" wrapText="1"/>
    </xf>
    <xf numFmtId="0" fontId="6" fillId="7" borderId="178" xfId="1" applyFont="1" applyFill="1" applyBorder="1" applyAlignment="1">
      <alignment horizontal="center" vertical="center" wrapText="1"/>
    </xf>
    <xf numFmtId="0" fontId="6" fillId="0" borderId="178" xfId="1" applyFont="1" applyBorder="1" applyAlignment="1">
      <alignment horizontal="center" vertical="center" wrapText="1"/>
    </xf>
    <xf numFmtId="0" fontId="5" fillId="2" borderId="182" xfId="1" applyFont="1" applyFill="1" applyBorder="1" applyAlignment="1">
      <alignment horizontal="center" vertical="center" wrapText="1"/>
    </xf>
    <xf numFmtId="0" fontId="6" fillId="0" borderId="182" xfId="1" applyFont="1" applyBorder="1" applyAlignment="1">
      <alignment horizontal="center" vertical="center" wrapText="1"/>
    </xf>
    <xf numFmtId="0" fontId="14" fillId="0" borderId="177" xfId="1" applyFont="1" applyBorder="1" applyAlignment="1">
      <alignment horizontal="center" vertical="center" wrapText="1"/>
    </xf>
    <xf numFmtId="0" fontId="0" fillId="0" borderId="177" xfId="1" applyFont="1" applyBorder="1" applyAlignment="1">
      <alignment horizontal="left" vertical="center" wrapText="1"/>
    </xf>
    <xf numFmtId="0" fontId="51" fillId="0" borderId="177" xfId="1" applyFont="1" applyBorder="1" applyAlignment="1">
      <alignment horizontal="center" vertical="center" wrapText="1"/>
    </xf>
    <xf numFmtId="0" fontId="14" fillId="0" borderId="177" xfId="0" applyFont="1" applyBorder="1" applyAlignment="1">
      <alignment horizontal="center" vertical="center" wrapText="1"/>
    </xf>
    <xf numFmtId="0" fontId="0" fillId="0" borderId="185" xfId="0" applyBorder="1"/>
    <xf numFmtId="0" fontId="0" fillId="0" borderId="177" xfId="0" applyBorder="1" applyAlignment="1">
      <alignment horizontal="left"/>
    </xf>
    <xf numFmtId="0" fontId="0" fillId="0" borderId="178" xfId="0" applyBorder="1" applyAlignment="1">
      <alignment horizontal="left"/>
    </xf>
    <xf numFmtId="0" fontId="5" fillId="2" borderId="177" xfId="1" applyFont="1" applyFill="1" applyBorder="1" applyAlignment="1">
      <alignment horizontal="center"/>
    </xf>
    <xf numFmtId="0" fontId="11" fillId="2" borderId="182" xfId="1" applyFont="1" applyFill="1" applyBorder="1" applyAlignment="1">
      <alignment horizontal="center"/>
    </xf>
    <xf numFmtId="0" fontId="5" fillId="2" borderId="182" xfId="1" applyFont="1" applyFill="1" applyBorder="1" applyAlignment="1">
      <alignment horizontal="center"/>
    </xf>
    <xf numFmtId="0" fontId="38" fillId="0" borderId="181" xfId="0" applyFont="1" applyBorder="1" applyAlignment="1">
      <alignment wrapText="1"/>
    </xf>
    <xf numFmtId="0" fontId="38" fillId="0" borderId="177" xfId="0" applyFont="1" applyBorder="1" applyAlignment="1">
      <alignment wrapText="1"/>
    </xf>
    <xf numFmtId="0" fontId="0" fillId="0" borderId="178" xfId="0" applyBorder="1"/>
    <xf numFmtId="0" fontId="48" fillId="0" borderId="181" xfId="0" applyFont="1" applyBorder="1" applyAlignment="1">
      <alignment wrapText="1"/>
    </xf>
    <xf numFmtId="0" fontId="48" fillId="0" borderId="177" xfId="0" applyFont="1" applyBorder="1" applyAlignment="1">
      <alignment wrapText="1"/>
    </xf>
    <xf numFmtId="0" fontId="37" fillId="0" borderId="177" xfId="0" applyFont="1" applyBorder="1" applyAlignment="1">
      <alignment wrapText="1"/>
    </xf>
    <xf numFmtId="0" fontId="38" fillId="0" borderId="178" xfId="0" applyFont="1" applyBorder="1" applyAlignment="1">
      <alignment wrapText="1"/>
    </xf>
    <xf numFmtId="0" fontId="37" fillId="0" borderId="178" xfId="0" applyFont="1" applyBorder="1" applyAlignment="1">
      <alignment wrapText="1"/>
    </xf>
    <xf numFmtId="0" fontId="48" fillId="0" borderId="178" xfId="0" applyFont="1" applyBorder="1" applyAlignment="1">
      <alignment wrapText="1"/>
    </xf>
    <xf numFmtId="0" fontId="60" fillId="0" borderId="178" xfId="0" applyFont="1" applyBorder="1" applyAlignment="1">
      <alignment wrapText="1"/>
    </xf>
    <xf numFmtId="0" fontId="49" fillId="0" borderId="177" xfId="0" applyFont="1" applyBorder="1" applyAlignment="1">
      <alignment wrapText="1"/>
    </xf>
    <xf numFmtId="0" fontId="49" fillId="0" borderId="182" xfId="0" applyFont="1" applyBorder="1" applyAlignment="1">
      <alignment wrapText="1"/>
    </xf>
    <xf numFmtId="0" fontId="48" fillId="0" borderId="183" xfId="0" applyFont="1" applyBorder="1" applyAlignment="1">
      <alignment wrapText="1"/>
    </xf>
    <xf numFmtId="0" fontId="38" fillId="0" borderId="184" xfId="0" applyFont="1" applyBorder="1" applyAlignment="1">
      <alignment wrapText="1"/>
    </xf>
    <xf numFmtId="0" fontId="48" fillId="0" borderId="182" xfId="0" applyFont="1" applyBorder="1" applyAlignment="1">
      <alignment wrapText="1"/>
    </xf>
    <xf numFmtId="0" fontId="0" fillId="0" borderId="183" xfId="0" applyBorder="1"/>
    <xf numFmtId="0" fontId="37" fillId="0" borderId="181" xfId="0" applyFont="1" applyBorder="1" applyAlignment="1">
      <alignment wrapText="1"/>
    </xf>
    <xf numFmtId="0" fontId="38" fillId="17" borderId="181" xfId="0" applyFont="1" applyFill="1" applyBorder="1" applyAlignment="1">
      <alignment wrapText="1"/>
    </xf>
    <xf numFmtId="0" fontId="38" fillId="0" borderId="182" xfId="0" applyFont="1" applyBorder="1" applyAlignment="1">
      <alignment wrapText="1"/>
    </xf>
    <xf numFmtId="0" fontId="0" fillId="0" borderId="184" xfId="0" applyBorder="1"/>
    <xf numFmtId="0" fontId="0" fillId="0" borderId="182" xfId="0" applyBorder="1"/>
    <xf numFmtId="0" fontId="2" fillId="2" borderId="177" xfId="0" applyFont="1" applyFill="1" applyBorder="1" applyAlignment="1">
      <alignment wrapText="1"/>
    </xf>
    <xf numFmtId="49" fontId="2" fillId="2" borderId="177" xfId="0" applyNumberFormat="1" applyFont="1" applyFill="1" applyBorder="1" applyAlignment="1">
      <alignment horizontal="left" wrapText="1"/>
    </xf>
    <xf numFmtId="0" fontId="53" fillId="2" borderId="177" xfId="0" applyFont="1" applyFill="1" applyBorder="1" applyAlignment="1">
      <alignment horizontal="left" wrapText="1"/>
    </xf>
    <xf numFmtId="0" fontId="53" fillId="13" borderId="182" xfId="0" applyFont="1" applyFill="1" applyBorder="1" applyAlignment="1">
      <alignment horizontal="center" vertical="center" wrapText="1"/>
    </xf>
    <xf numFmtId="0" fontId="2" fillId="2" borderId="182" xfId="1" applyFont="1" applyFill="1" applyBorder="1" applyAlignment="1">
      <alignment horizontal="center" vertical="center" wrapText="1"/>
    </xf>
    <xf numFmtId="49" fontId="40" fillId="13" borderId="177" xfId="11" applyNumberFormat="1" applyFont="1" applyFill="1" applyBorder="1" applyAlignment="1">
      <alignment horizontal="left" wrapText="1"/>
    </xf>
    <xf numFmtId="0" fontId="40" fillId="13" borderId="177" xfId="11" applyFont="1" applyFill="1" applyBorder="1" applyAlignment="1">
      <alignment wrapText="1"/>
    </xf>
    <xf numFmtId="0" fontId="40" fillId="13" borderId="178" xfId="11" applyFont="1" applyFill="1" applyBorder="1" applyAlignment="1">
      <alignment horizontal="left" wrapText="1"/>
    </xf>
    <xf numFmtId="0" fontId="62" fillId="13" borderId="181" xfId="12" applyFont="1" applyFill="1" applyBorder="1" applyAlignment="1">
      <alignment wrapText="1"/>
    </xf>
    <xf numFmtId="0" fontId="62" fillId="13" borderId="177" xfId="12" applyFont="1" applyFill="1" applyBorder="1" applyAlignment="1">
      <alignment wrapText="1"/>
    </xf>
    <xf numFmtId="0" fontId="11" fillId="2" borderId="181" xfId="13" applyFont="1" applyFill="1" applyBorder="1" applyAlignment="1">
      <alignment horizontal="center" vertical="center"/>
    </xf>
    <xf numFmtId="0" fontId="11" fillId="2" borderId="181" xfId="13" applyFont="1" applyFill="1" applyBorder="1" applyAlignment="1">
      <alignment vertical="center" wrapText="1"/>
    </xf>
    <xf numFmtId="0" fontId="51" fillId="0" borderId="177" xfId="9" applyFont="1" applyBorder="1" applyAlignment="1">
      <alignment horizontal="left" vertical="center" wrapText="1"/>
    </xf>
    <xf numFmtId="0" fontId="35" fillId="0" borderId="177" xfId="11" applyFont="1" applyBorder="1" applyAlignment="1">
      <alignment horizontal="center" vertical="center" wrapText="1"/>
    </xf>
    <xf numFmtId="0" fontId="8" fillId="0" borderId="177" xfId="9" applyFont="1" applyBorder="1" applyAlignment="1">
      <alignment horizontal="left" vertical="center" wrapText="1"/>
    </xf>
    <xf numFmtId="0" fontId="35" fillId="0" borderId="177" xfId="0" applyFont="1" applyBorder="1" applyAlignment="1">
      <alignment horizontal="center" vertical="center" wrapText="1"/>
    </xf>
    <xf numFmtId="0" fontId="8" fillId="0" borderId="177" xfId="0" applyFont="1" applyBorder="1" applyAlignment="1">
      <alignment horizontal="center" vertical="center"/>
    </xf>
    <xf numFmtId="0" fontId="14" fillId="0" borderId="177" xfId="0" applyFont="1" applyBorder="1" applyAlignment="1">
      <alignment horizontal="center" vertical="center"/>
    </xf>
    <xf numFmtId="0" fontId="14" fillId="0" borderId="178" xfId="1" applyFont="1" applyBorder="1" applyAlignment="1">
      <alignment horizontal="center" vertical="center" wrapText="1"/>
    </xf>
    <xf numFmtId="0" fontId="51" fillId="0" borderId="177" xfId="0" applyFont="1" applyBorder="1" applyAlignment="1">
      <alignment horizontal="center" vertical="center"/>
    </xf>
    <xf numFmtId="0" fontId="8" fillId="0" borderId="177" xfId="1" applyFont="1" applyBorder="1" applyAlignment="1">
      <alignment horizontal="center" vertical="center" wrapText="1"/>
    </xf>
    <xf numFmtId="0" fontId="35" fillId="0" borderId="187" xfId="11" applyFont="1" applyBorder="1" applyAlignment="1">
      <alignment horizontal="left" vertical="center" wrapText="1"/>
    </xf>
    <xf numFmtId="0" fontId="8" fillId="0" borderId="182" xfId="9" applyFont="1" applyBorder="1" applyAlignment="1">
      <alignment horizontal="left" vertical="center" wrapText="1"/>
    </xf>
    <xf numFmtId="0" fontId="51" fillId="0" borderId="182" xfId="0" applyFont="1" applyBorder="1" applyAlignment="1">
      <alignment horizontal="center" vertical="center"/>
    </xf>
    <xf numFmtId="0" fontId="8" fillId="0" borderId="182" xfId="0" applyFont="1" applyBorder="1" applyAlignment="1">
      <alignment horizontal="center" vertical="center" wrapText="1"/>
    </xf>
    <xf numFmtId="0" fontId="51" fillId="0" borderId="182" xfId="1" applyFont="1" applyBorder="1" applyAlignment="1">
      <alignment horizontal="center" vertical="center" wrapText="1"/>
    </xf>
    <xf numFmtId="0" fontId="35" fillId="0" borderId="182" xfId="11" applyFont="1" applyBorder="1" applyAlignment="1">
      <alignment horizontal="center" vertical="center" wrapText="1"/>
    </xf>
    <xf numFmtId="0" fontId="41" fillId="0" borderId="177" xfId="11" applyFont="1" applyBorder="1" applyAlignment="1">
      <alignment horizontal="center" vertical="center" wrapText="1"/>
    </xf>
    <xf numFmtId="0" fontId="0" fillId="0" borderId="177" xfId="0" applyBorder="1" applyAlignment="1">
      <alignment vertical="center" wrapText="1"/>
    </xf>
    <xf numFmtId="0" fontId="0" fillId="0" borderId="177" xfId="0" applyBorder="1" applyAlignment="1">
      <alignment vertical="center"/>
    </xf>
    <xf numFmtId="0" fontId="0" fillId="0" borderId="187" xfId="0" applyBorder="1" applyAlignment="1">
      <alignment vertical="center"/>
    </xf>
    <xf numFmtId="0" fontId="51" fillId="0" borderId="182" xfId="9" applyFont="1" applyBorder="1" applyAlignment="1">
      <alignment horizontal="left" vertical="center" wrapText="1"/>
    </xf>
    <xf numFmtId="0" fontId="35" fillId="0" borderId="184" xfId="0" applyFont="1" applyBorder="1" applyAlignment="1">
      <alignment horizontal="center" vertical="center" wrapText="1"/>
    </xf>
    <xf numFmtId="0" fontId="11" fillId="2" borderId="181" xfId="3" applyFont="1" applyFill="1" applyBorder="1" applyAlignment="1">
      <alignment horizontal="left" vertical="center" wrapText="1"/>
    </xf>
    <xf numFmtId="0" fontId="6" fillId="0" borderId="177" xfId="0" applyFont="1" applyBorder="1" applyAlignment="1">
      <alignment horizontal="left" vertical="center"/>
    </xf>
    <xf numFmtId="0" fontId="6" fillId="0" borderId="177" xfId="0" applyFont="1" applyBorder="1" applyAlignment="1">
      <alignment horizontal="left" vertical="center" wrapText="1"/>
    </xf>
    <xf numFmtId="0" fontId="6" fillId="0" borderId="177" xfId="0" applyFont="1" applyBorder="1" applyAlignment="1">
      <alignment horizontal="center" vertical="center"/>
    </xf>
    <xf numFmtId="0" fontId="6" fillId="8" borderId="177" xfId="0" applyFont="1" applyFill="1" applyBorder="1" applyAlignment="1">
      <alignment horizontal="left" vertical="center"/>
    </xf>
    <xf numFmtId="0" fontId="6" fillId="8" borderId="177" xfId="0" applyFont="1" applyFill="1" applyBorder="1" applyAlignment="1">
      <alignment horizontal="left" vertical="center" wrapText="1"/>
    </xf>
    <xf numFmtId="0" fontId="6" fillId="0" borderId="178" xfId="0" applyFont="1" applyBorder="1" applyAlignment="1">
      <alignment horizontal="center" vertical="center"/>
    </xf>
    <xf numFmtId="0" fontId="6" fillId="7" borderId="177" xfId="0" applyFont="1" applyFill="1" applyBorder="1" applyAlignment="1">
      <alignment horizontal="left" vertical="center"/>
    </xf>
    <xf numFmtId="0" fontId="6" fillId="7" borderId="177" xfId="0" applyFont="1" applyFill="1" applyBorder="1" applyAlignment="1">
      <alignment horizontal="left" vertical="center" wrapText="1"/>
    </xf>
    <xf numFmtId="0" fontId="6" fillId="7" borderId="178" xfId="0" applyFont="1" applyFill="1" applyBorder="1" applyAlignment="1">
      <alignment horizontal="center" vertical="center"/>
    </xf>
    <xf numFmtId="49" fontId="6" fillId="0" borderId="177" xfId="0" applyNumberFormat="1" applyFont="1" applyBorder="1" applyAlignment="1">
      <alignment horizontal="left" vertical="center" wrapText="1"/>
    </xf>
    <xf numFmtId="0" fontId="46" fillId="0" borderId="178" xfId="0" applyFont="1" applyBorder="1" applyAlignment="1">
      <alignment horizontal="center" vertical="center" wrapText="1"/>
    </xf>
    <xf numFmtId="0" fontId="6" fillId="5" borderId="177" xfId="0" applyFont="1" applyFill="1" applyBorder="1" applyAlignment="1">
      <alignment horizontal="left" vertical="center"/>
    </xf>
    <xf numFmtId="49" fontId="6" fillId="5" borderId="177" xfId="0" applyNumberFormat="1" applyFont="1" applyFill="1" applyBorder="1" applyAlignment="1">
      <alignment horizontal="left" vertical="center" wrapText="1"/>
    </xf>
    <xf numFmtId="0" fontId="41" fillId="5" borderId="182" xfId="0" applyFont="1" applyFill="1" applyBorder="1" applyAlignment="1">
      <alignment horizontal="center" vertical="center" wrapText="1"/>
    </xf>
    <xf numFmtId="0" fontId="41" fillId="5" borderId="177" xfId="0" applyFont="1" applyFill="1" applyBorder="1" applyAlignment="1">
      <alignment horizontal="center" vertical="center" wrapText="1"/>
    </xf>
    <xf numFmtId="0" fontId="41" fillId="5" borderId="178" xfId="0" applyFont="1" applyFill="1" applyBorder="1" applyAlignment="1">
      <alignment horizontal="center" vertical="center" wrapText="1"/>
    </xf>
    <xf numFmtId="0" fontId="46" fillId="5" borderId="178" xfId="0" applyFont="1" applyFill="1" applyBorder="1" applyAlignment="1">
      <alignment horizontal="center" vertical="center" wrapText="1"/>
    </xf>
    <xf numFmtId="0" fontId="6" fillId="5" borderId="177" xfId="0" applyFont="1" applyFill="1" applyBorder="1" applyAlignment="1">
      <alignment horizontal="center" vertical="center"/>
    </xf>
    <xf numFmtId="0" fontId="6" fillId="5" borderId="178" xfId="0" applyFont="1" applyFill="1" applyBorder="1" applyAlignment="1">
      <alignment horizontal="center" vertical="center" wrapText="1"/>
    </xf>
    <xf numFmtId="0" fontId="6" fillId="0" borderId="177" xfId="0" applyFont="1" applyBorder="1" applyAlignment="1">
      <alignment horizontal="center" vertical="center" wrapText="1"/>
    </xf>
    <xf numFmtId="0" fontId="14" fillId="5" borderId="178" xfId="0" applyFont="1" applyFill="1" applyBorder="1" applyAlignment="1">
      <alignment horizontal="center" vertical="center" wrapText="1"/>
    </xf>
    <xf numFmtId="0" fontId="6" fillId="5" borderId="177" xfId="0" applyFont="1" applyFill="1" applyBorder="1" applyAlignment="1">
      <alignment horizontal="center" vertical="center" wrapText="1"/>
    </xf>
    <xf numFmtId="0" fontId="6" fillId="5" borderId="178" xfId="1" applyFont="1" applyFill="1" applyBorder="1" applyAlignment="1">
      <alignment horizontal="center" vertical="center" wrapText="1"/>
    </xf>
    <xf numFmtId="0" fontId="14" fillId="5" borderId="177" xfId="0" applyFont="1" applyFill="1" applyBorder="1" applyAlignment="1">
      <alignment horizontal="center" vertical="center"/>
    </xf>
    <xf numFmtId="0" fontId="14" fillId="0" borderId="183" xfId="0" applyFont="1" applyBorder="1" applyAlignment="1">
      <alignment horizontal="center" vertical="center" wrapText="1"/>
    </xf>
    <xf numFmtId="49" fontId="6" fillId="5" borderId="181" xfId="0" applyNumberFormat="1" applyFont="1" applyFill="1" applyBorder="1" applyAlignment="1">
      <alignment horizontal="left" vertical="center" wrapText="1"/>
    </xf>
    <xf numFmtId="0" fontId="6" fillId="0" borderId="183" xfId="1" applyFont="1" applyBorder="1" applyAlignment="1">
      <alignment horizontal="center" vertical="center" wrapText="1"/>
    </xf>
    <xf numFmtId="0" fontId="6" fillId="0" borderId="177" xfId="1" quotePrefix="1" applyFont="1" applyBorder="1" applyAlignment="1">
      <alignment horizontal="center" vertical="center" wrapText="1"/>
    </xf>
    <xf numFmtId="0" fontId="6" fillId="5" borderId="177" xfId="0" applyFont="1" applyFill="1" applyBorder="1" applyAlignment="1">
      <alignment horizontal="left" vertical="center" wrapText="1"/>
    </xf>
    <xf numFmtId="0" fontId="14" fillId="0" borderId="177" xfId="0" applyFont="1" applyBorder="1" applyAlignment="1">
      <alignment horizontal="left" vertical="center"/>
    </xf>
    <xf numFmtId="0" fontId="14" fillId="0" borderId="177" xfId="0" applyFont="1" applyBorder="1" applyAlignment="1">
      <alignment horizontal="left" vertical="center" wrapText="1"/>
    </xf>
    <xf numFmtId="0" fontId="14" fillId="0" borderId="182" xfId="0" applyFont="1" applyBorder="1" applyAlignment="1">
      <alignment horizontal="center" vertical="center"/>
    </xf>
    <xf numFmtId="0" fontId="14" fillId="0" borderId="183" xfId="0" applyFont="1" applyBorder="1" applyAlignment="1">
      <alignment horizontal="center" vertical="center"/>
    </xf>
    <xf numFmtId="0" fontId="14" fillId="5" borderId="177" xfId="0" applyFont="1" applyFill="1" applyBorder="1" applyAlignment="1">
      <alignment horizontal="left" vertical="center"/>
    </xf>
    <xf numFmtId="0" fontId="14" fillId="5" borderId="178" xfId="0" applyFont="1" applyFill="1" applyBorder="1" applyAlignment="1">
      <alignment horizontal="left" vertical="center" wrapText="1"/>
    </xf>
    <xf numFmtId="0" fontId="41" fillId="5" borderId="177" xfId="0" applyFont="1" applyFill="1" applyBorder="1" applyAlignment="1">
      <alignment horizontal="left" vertical="center" wrapText="1"/>
    </xf>
    <xf numFmtId="0" fontId="14" fillId="5" borderId="177" xfId="1" applyFont="1" applyFill="1" applyBorder="1" applyAlignment="1">
      <alignment horizontal="center" vertical="center" wrapText="1"/>
    </xf>
    <xf numFmtId="0" fontId="14" fillId="5" borderId="177" xfId="0" applyFont="1" applyFill="1" applyBorder="1" applyAlignment="1">
      <alignment horizontal="center" vertical="center" wrapText="1"/>
    </xf>
    <xf numFmtId="0" fontId="14" fillId="0" borderId="178" xfId="0" applyFont="1" applyBorder="1" applyAlignment="1">
      <alignment horizontal="center" vertical="center" wrapText="1"/>
    </xf>
    <xf numFmtId="0" fontId="58" fillId="0" borderId="178" xfId="0" applyFont="1" applyBorder="1" applyAlignment="1">
      <alignment horizontal="center" vertical="center" wrapText="1"/>
    </xf>
    <xf numFmtId="0" fontId="14" fillId="5" borderId="177" xfId="0" applyFont="1" applyFill="1" applyBorder="1" applyAlignment="1">
      <alignment horizontal="left" vertical="center" wrapText="1"/>
    </xf>
    <xf numFmtId="0" fontId="14" fillId="5" borderId="178" xfId="0" applyFont="1" applyFill="1" applyBorder="1" applyAlignment="1">
      <alignment horizontal="center" vertical="center"/>
    </xf>
    <xf numFmtId="0" fontId="58" fillId="7" borderId="178" xfId="0" applyFont="1" applyFill="1" applyBorder="1" applyAlignment="1">
      <alignment horizontal="center" vertical="center" wrapText="1"/>
    </xf>
    <xf numFmtId="0" fontId="6" fillId="5" borderId="177" xfId="1" applyFont="1" applyFill="1" applyBorder="1" applyAlignment="1">
      <alignment horizontal="left" vertical="center" wrapText="1"/>
    </xf>
    <xf numFmtId="0" fontId="6" fillId="5" borderId="177" xfId="1" applyFont="1" applyFill="1" applyBorder="1" applyAlignment="1">
      <alignment horizontal="center" vertical="center" wrapText="1"/>
    </xf>
    <xf numFmtId="0" fontId="14" fillId="7" borderId="177" xfId="1" applyFont="1" applyFill="1" applyBorder="1" applyAlignment="1">
      <alignment horizontal="center" vertical="center" wrapText="1"/>
    </xf>
    <xf numFmtId="0" fontId="51" fillId="7" borderId="177" xfId="0" applyFont="1" applyFill="1" applyBorder="1" applyAlignment="1">
      <alignment horizontal="center" vertical="center" wrapText="1"/>
    </xf>
    <xf numFmtId="0" fontId="14" fillId="7" borderId="178" xfId="1" applyFont="1" applyFill="1" applyBorder="1" applyAlignment="1">
      <alignment horizontal="center" vertical="center" wrapText="1"/>
    </xf>
    <xf numFmtId="0" fontId="8" fillId="0" borderId="177" xfId="0" applyFont="1" applyBorder="1" applyAlignment="1">
      <alignment horizontal="center" vertical="center" wrapText="1"/>
    </xf>
    <xf numFmtId="0" fontId="19" fillId="5" borderId="177" xfId="0" applyFont="1" applyFill="1" applyBorder="1" applyAlignment="1">
      <alignment horizontal="left" vertical="center" wrapText="1"/>
    </xf>
    <xf numFmtId="0" fontId="58" fillId="5" borderId="178" xfId="0" applyFont="1" applyFill="1" applyBorder="1" applyAlignment="1">
      <alignment horizontal="center" vertical="center" wrapText="1"/>
    </xf>
    <xf numFmtId="0" fontId="19" fillId="0" borderId="177" xfId="0" applyFont="1" applyBorder="1" applyAlignment="1">
      <alignment horizontal="left" vertical="center" wrapText="1"/>
    </xf>
    <xf numFmtId="0" fontId="14" fillId="5" borderId="177" xfId="0" applyFont="1" applyFill="1" applyBorder="1" applyAlignment="1">
      <alignment horizontal="left" wrapText="1"/>
    </xf>
    <xf numFmtId="0" fontId="14" fillId="0" borderId="177" xfId="0" applyFont="1" applyBorder="1" applyAlignment="1">
      <alignment horizontal="left" wrapText="1"/>
    </xf>
    <xf numFmtId="0" fontId="41" fillId="5" borderId="183" xfId="0" applyFont="1" applyFill="1" applyBorder="1" applyAlignment="1">
      <alignment horizontal="center" vertical="center" wrapText="1"/>
    </xf>
    <xf numFmtId="49" fontId="14" fillId="0" borderId="177" xfId="0" applyNumberFormat="1" applyFont="1" applyBorder="1" applyAlignment="1">
      <alignment horizontal="left" vertical="center" wrapText="1"/>
    </xf>
    <xf numFmtId="0" fontId="8" fillId="5" borderId="177" xfId="0" applyFont="1" applyFill="1" applyBorder="1" applyAlignment="1">
      <alignment horizontal="left" vertical="center"/>
    </xf>
    <xf numFmtId="0" fontId="8" fillId="5" borderId="177" xfId="0" applyFont="1" applyFill="1" applyBorder="1" applyAlignment="1">
      <alignment horizontal="left" vertical="center" wrapText="1"/>
    </xf>
    <xf numFmtId="0" fontId="8" fillId="5" borderId="177" xfId="0" applyFont="1" applyFill="1" applyBorder="1" applyAlignment="1">
      <alignment horizontal="center" vertical="center"/>
    </xf>
    <xf numFmtId="0" fontId="8" fillId="0" borderId="177" xfId="0" applyFont="1" applyBorder="1" applyAlignment="1">
      <alignment horizontal="left" vertical="center"/>
    </xf>
    <xf numFmtId="0" fontId="8" fillId="0" borderId="177" xfId="0" applyFont="1" applyBorder="1" applyAlignment="1">
      <alignment horizontal="left" vertical="center" wrapText="1"/>
    </xf>
    <xf numFmtId="0" fontId="14" fillId="5" borderId="182" xfId="0" applyFont="1" applyFill="1" applyBorder="1" applyAlignment="1">
      <alignment horizontal="left" vertical="center"/>
    </xf>
    <xf numFmtId="0" fontId="14" fillId="5" borderId="182" xfId="0" applyFont="1" applyFill="1" applyBorder="1" applyAlignment="1">
      <alignment horizontal="left" vertical="center" wrapText="1"/>
    </xf>
    <xf numFmtId="0" fontId="41" fillId="0" borderId="181" xfId="0" applyFont="1" applyBorder="1" applyAlignment="1">
      <alignment horizontal="center" vertical="center" wrapText="1"/>
    </xf>
    <xf numFmtId="0" fontId="33" fillId="13" borderId="177" xfId="0" applyFont="1" applyFill="1" applyBorder="1" applyAlignment="1">
      <alignment horizontal="left" wrapText="1"/>
    </xf>
    <xf numFmtId="0" fontId="33" fillId="13" borderId="177" xfId="0" applyFont="1" applyFill="1" applyBorder="1" applyAlignment="1">
      <alignment wrapText="1"/>
    </xf>
    <xf numFmtId="0" fontId="61" fillId="13" borderId="177" xfId="6" applyFont="1" applyFill="1" applyBorder="1" applyAlignment="1">
      <alignment wrapText="1"/>
    </xf>
    <xf numFmtId="0" fontId="40" fillId="13" borderId="177" xfId="11" applyFont="1" applyFill="1" applyBorder="1" applyAlignment="1">
      <alignment horizontal="left" wrapText="1"/>
    </xf>
    <xf numFmtId="0" fontId="35" fillId="0" borderId="178" xfId="11" applyFont="1" applyBorder="1" applyAlignment="1">
      <alignment horizontal="center" vertical="center" wrapText="1"/>
    </xf>
    <xf numFmtId="0" fontId="35" fillId="0" borderId="185" xfId="11" applyFont="1" applyBorder="1" applyAlignment="1">
      <alignment horizontal="left" vertical="center" wrapText="1"/>
    </xf>
    <xf numFmtId="0" fontId="35" fillId="0" borderId="178" xfId="0" applyFont="1" applyBorder="1" applyAlignment="1">
      <alignment horizontal="center" vertical="center" wrapText="1"/>
    </xf>
    <xf numFmtId="0" fontId="35" fillId="0" borderId="188" xfId="11" applyFont="1" applyBorder="1" applyAlignment="1">
      <alignment horizontal="left" vertical="center" wrapText="1"/>
    </xf>
    <xf numFmtId="0" fontId="51" fillId="0" borderId="181" xfId="9" applyFont="1" applyBorder="1" applyAlignment="1">
      <alignment horizontal="left" vertical="center" wrapText="1"/>
    </xf>
    <xf numFmtId="0" fontId="35" fillId="0" borderId="179" xfId="11" applyFont="1" applyBorder="1" applyAlignment="1">
      <alignment horizontal="center" vertical="center" wrapText="1"/>
    </xf>
    <xf numFmtId="0" fontId="35" fillId="0" borderId="189" xfId="11" applyFont="1" applyBorder="1" applyAlignment="1">
      <alignment horizontal="left" vertical="center" wrapText="1"/>
    </xf>
    <xf numFmtId="0" fontId="35" fillId="0" borderId="183" xfId="11" applyFont="1" applyBorder="1" applyAlignment="1">
      <alignment horizontal="center" vertical="center" wrapText="1"/>
    </xf>
    <xf numFmtId="0" fontId="62" fillId="2" borderId="177" xfId="6" applyFont="1" applyFill="1" applyBorder="1" applyAlignment="1">
      <alignment horizontal="center" wrapText="1"/>
    </xf>
    <xf numFmtId="0" fontId="1" fillId="7" borderId="177" xfId="1" applyFont="1" applyFill="1" applyBorder="1" applyAlignment="1">
      <alignment horizontal="left" vertical="center" wrapText="1"/>
    </xf>
    <xf numFmtId="0" fontId="0" fillId="7" borderId="177" xfId="0" applyFill="1" applyBorder="1" applyAlignment="1">
      <alignment horizontal="center" vertical="center"/>
    </xf>
    <xf numFmtId="0" fontId="1" fillId="0" borderId="181" xfId="1" applyFont="1" applyBorder="1" applyAlignment="1">
      <alignment horizontal="left" vertical="center" wrapText="1"/>
    </xf>
    <xf numFmtId="0" fontId="37" fillId="7" borderId="177" xfId="0" applyFont="1" applyFill="1" applyBorder="1" applyAlignment="1">
      <alignment horizontal="left" vertical="center" wrapText="1"/>
    </xf>
    <xf numFmtId="0" fontId="35" fillId="7" borderId="177" xfId="0" applyFont="1" applyFill="1" applyBorder="1" applyAlignment="1">
      <alignment horizontal="center" vertical="center" wrapText="1"/>
    </xf>
    <xf numFmtId="0" fontId="35" fillId="7" borderId="178" xfId="0" applyFont="1" applyFill="1" applyBorder="1" applyAlignment="1">
      <alignment horizontal="center" vertical="center" wrapText="1"/>
    </xf>
    <xf numFmtId="0" fontId="37" fillId="0" borderId="177" xfId="0" applyFont="1" applyBorder="1" applyAlignment="1">
      <alignment horizontal="left" vertical="center" wrapText="1"/>
    </xf>
    <xf numFmtId="0" fontId="5" fillId="2" borderId="177" xfId="0" applyFont="1" applyFill="1" applyBorder="1" applyAlignment="1">
      <alignment horizontal="left" vertical="center" wrapText="1"/>
    </xf>
    <xf numFmtId="0" fontId="0" fillId="0" borderId="178" xfId="0" applyBorder="1" applyAlignment="1">
      <alignment horizontal="left" vertical="center"/>
    </xf>
    <xf numFmtId="0" fontId="43" fillId="2" borderId="177" xfId="0" applyFont="1" applyFill="1" applyBorder="1" applyAlignment="1">
      <alignment horizontal="left"/>
    </xf>
    <xf numFmtId="0" fontId="53" fillId="3" borderId="177" xfId="0" applyFont="1" applyFill="1" applyBorder="1" applyAlignment="1">
      <alignment horizontal="left" vertical="center" wrapText="1"/>
    </xf>
    <xf numFmtId="0" fontId="4" fillId="19" borderId="191" xfId="1" applyFill="1" applyBorder="1" applyAlignment="1">
      <alignment vertical="top"/>
    </xf>
    <xf numFmtId="0" fontId="11" fillId="2" borderId="177" xfId="0" applyFont="1" applyFill="1" applyBorder="1" applyAlignment="1">
      <alignment vertical="center" wrapText="1"/>
    </xf>
    <xf numFmtId="0" fontId="0" fillId="19" borderId="192" xfId="0" applyFill="1" applyBorder="1" applyAlignment="1">
      <alignment vertical="top"/>
    </xf>
    <xf numFmtId="0" fontId="5" fillId="2" borderId="177" xfId="0" applyFont="1" applyFill="1" applyBorder="1" applyAlignment="1">
      <alignment horizontal="left" wrapText="1"/>
    </xf>
    <xf numFmtId="0" fontId="4" fillId="19" borderId="191" xfId="1" applyFill="1" applyBorder="1"/>
    <xf numFmtId="0" fontId="4" fillId="19" borderId="191" xfId="1" applyFill="1" applyBorder="1" applyAlignment="1">
      <alignment horizontal="center"/>
    </xf>
    <xf numFmtId="0" fontId="5" fillId="2" borderId="190" xfId="0" applyFont="1" applyFill="1" applyBorder="1" applyAlignment="1">
      <alignment vertical="center" wrapText="1"/>
    </xf>
    <xf numFmtId="0" fontId="4" fillId="19" borderId="193" xfId="1" applyFill="1" applyBorder="1"/>
    <xf numFmtId="0" fontId="11" fillId="2" borderId="194" xfId="0" applyFont="1" applyFill="1" applyBorder="1" applyAlignment="1">
      <alignment horizontal="left" vertical="center" wrapText="1"/>
    </xf>
    <xf numFmtId="0" fontId="11" fillId="2" borderId="194" xfId="0" applyFont="1" applyFill="1" applyBorder="1" applyAlignment="1">
      <alignment horizontal="left"/>
    </xf>
    <xf numFmtId="0" fontId="11" fillId="2" borderId="194" xfId="0" applyFont="1" applyFill="1" applyBorder="1"/>
    <xf numFmtId="0" fontId="62" fillId="2" borderId="194" xfId="6" applyFont="1" applyFill="1" applyBorder="1" applyAlignment="1">
      <alignment horizontal="left" wrapText="1"/>
    </xf>
    <xf numFmtId="0" fontId="62" fillId="2" borderId="194" xfId="6" applyFont="1" applyFill="1" applyBorder="1" applyAlignment="1">
      <alignment horizontal="left"/>
    </xf>
    <xf numFmtId="0" fontId="11" fillId="2" borderId="198" xfId="3" applyFont="1" applyFill="1" applyBorder="1" applyAlignment="1">
      <alignment vertical="center" wrapText="1"/>
    </xf>
    <xf numFmtId="0" fontId="38" fillId="0" borderId="194" xfId="0" applyFont="1" applyBorder="1" applyAlignment="1">
      <alignment horizontal="left" vertical="center"/>
    </xf>
    <xf numFmtId="0" fontId="38" fillId="0" borderId="195" xfId="0" applyFont="1" applyBorder="1" applyAlignment="1">
      <alignment horizontal="left" vertical="center" wrapText="1"/>
    </xf>
    <xf numFmtId="0" fontId="11" fillId="2" borderId="196" xfId="0" applyFont="1" applyFill="1" applyBorder="1"/>
    <xf numFmtId="0" fontId="43" fillId="3" borderId="194" xfId="0" applyFont="1" applyFill="1" applyBorder="1" applyAlignment="1">
      <alignment horizontal="left"/>
    </xf>
    <xf numFmtId="0" fontId="43" fillId="2" borderId="198" xfId="3" applyFont="1" applyFill="1" applyBorder="1" applyAlignment="1">
      <alignment vertical="center" wrapText="1"/>
    </xf>
    <xf numFmtId="0" fontId="11" fillId="2" borderId="194" xfId="1" applyFont="1" applyFill="1" applyBorder="1" applyAlignment="1">
      <alignment horizontal="center" vertical="center" wrapText="1"/>
    </xf>
    <xf numFmtId="0" fontId="32" fillId="7" borderId="194" xfId="1" applyFont="1" applyFill="1" applyBorder="1" applyAlignment="1">
      <alignment horizontal="left" vertical="center" wrapText="1"/>
    </xf>
    <xf numFmtId="0" fontId="18" fillId="7" borderId="194" xfId="1" applyFont="1" applyFill="1" applyBorder="1" applyAlignment="1">
      <alignment horizontal="left" vertical="center" wrapText="1"/>
    </xf>
    <xf numFmtId="0" fontId="1" fillId="0" borderId="194" xfId="1" applyFont="1" applyBorder="1" applyAlignment="1">
      <alignment horizontal="left" vertical="center" wrapText="1"/>
    </xf>
    <xf numFmtId="0" fontId="6" fillId="0" borderId="194" xfId="1" applyFont="1" applyBorder="1" applyAlignment="1">
      <alignment horizontal="left" vertical="center" wrapText="1"/>
    </xf>
    <xf numFmtId="0" fontId="6" fillId="0" borderId="194" xfId="1" applyFont="1" applyBorder="1" applyAlignment="1">
      <alignment horizontal="center" vertical="center" wrapText="1"/>
    </xf>
    <xf numFmtId="0" fontId="1" fillId="7" borderId="198" xfId="1" applyFont="1" applyFill="1" applyBorder="1" applyAlignment="1">
      <alignment horizontal="left" vertical="center" wrapText="1"/>
    </xf>
    <xf numFmtId="0" fontId="6" fillId="7" borderId="194" xfId="1" applyFont="1" applyFill="1" applyBorder="1" applyAlignment="1">
      <alignment horizontal="left" vertical="center" wrapText="1"/>
    </xf>
    <xf numFmtId="0" fontId="6" fillId="7" borderId="194" xfId="1" applyFont="1" applyFill="1" applyBorder="1" applyAlignment="1">
      <alignment horizontal="center" vertical="center" wrapText="1"/>
    </xf>
    <xf numFmtId="0" fontId="37" fillId="0" borderId="198" xfId="1" applyFont="1" applyBorder="1" applyAlignment="1">
      <alignment horizontal="left" vertical="center" wrapText="1"/>
    </xf>
    <xf numFmtId="0" fontId="10" fillId="0" borderId="194" xfId="1" applyFont="1" applyBorder="1" applyAlignment="1">
      <alignment horizontal="left" vertical="center" wrapText="1"/>
    </xf>
    <xf numFmtId="0" fontId="18" fillId="0" borderId="194" xfId="1" applyFont="1" applyBorder="1" applyAlignment="1">
      <alignment horizontal="center" vertical="center" wrapText="1"/>
    </xf>
    <xf numFmtId="0" fontId="10" fillId="0" borderId="194" xfId="1" applyFont="1" applyBorder="1" applyAlignment="1">
      <alignment horizontal="center" vertical="center" wrapText="1"/>
    </xf>
    <xf numFmtId="0" fontId="37" fillId="7" borderId="198" xfId="1" applyFont="1" applyFill="1" applyBorder="1" applyAlignment="1">
      <alignment horizontal="left" vertical="center" wrapText="1"/>
    </xf>
    <xf numFmtId="0" fontId="10" fillId="7" borderId="194" xfId="1" applyFont="1" applyFill="1" applyBorder="1" applyAlignment="1">
      <alignment horizontal="left" vertical="center" wrapText="1"/>
    </xf>
    <xf numFmtId="0" fontId="18" fillId="7" borderId="194" xfId="1" applyFont="1" applyFill="1" applyBorder="1" applyAlignment="1">
      <alignment horizontal="center" vertical="center" wrapText="1"/>
    </xf>
    <xf numFmtId="0" fontId="10" fillId="7" borderId="194" xfId="1" applyFont="1" applyFill="1" applyBorder="1" applyAlignment="1">
      <alignment horizontal="center" vertical="center" wrapText="1"/>
    </xf>
    <xf numFmtId="0" fontId="7" fillId="0" borderId="198" xfId="1" applyFont="1" applyBorder="1" applyAlignment="1">
      <alignment horizontal="left" vertical="center" wrapText="1"/>
    </xf>
    <xf numFmtId="0" fontId="7" fillId="7" borderId="198" xfId="1" applyFont="1" applyFill="1" applyBorder="1" applyAlignment="1">
      <alignment horizontal="left" vertical="center" wrapText="1"/>
    </xf>
    <xf numFmtId="0" fontId="9" fillId="0" borderId="198" xfId="1" applyFont="1" applyBorder="1" applyAlignment="1">
      <alignment horizontal="left" vertical="center" wrapText="1"/>
    </xf>
    <xf numFmtId="0" fontId="9" fillId="7" borderId="198" xfId="1" applyFont="1" applyFill="1" applyBorder="1" applyAlignment="1">
      <alignment horizontal="left" vertical="center" wrapText="1"/>
    </xf>
    <xf numFmtId="0" fontId="41" fillId="7" borderId="194" xfId="0" applyFont="1" applyFill="1" applyBorder="1" applyAlignment="1">
      <alignment horizontal="left" vertical="center" wrapText="1"/>
    </xf>
    <xf numFmtId="0" fontId="41" fillId="7" borderId="194" xfId="0" applyFont="1" applyFill="1" applyBorder="1" applyAlignment="1">
      <alignment horizontal="center" vertical="center" wrapText="1"/>
    </xf>
    <xf numFmtId="0" fontId="37" fillId="0" borderId="198" xfId="0" applyFont="1" applyBorder="1" applyAlignment="1">
      <alignment horizontal="left" vertical="center" wrapText="1"/>
    </xf>
    <xf numFmtId="0" fontId="41" fillId="0" borderId="194" xfId="0" applyFont="1" applyBorder="1" applyAlignment="1">
      <alignment horizontal="center" vertical="center" wrapText="1"/>
    </xf>
    <xf numFmtId="0" fontId="11" fillId="2" borderId="194" xfId="0" applyFont="1" applyFill="1" applyBorder="1" applyAlignment="1">
      <alignment vertical="center"/>
    </xf>
    <xf numFmtId="0" fontId="11" fillId="2" borderId="194" xfId="0" applyFont="1" applyFill="1" applyBorder="1" applyAlignment="1">
      <alignment horizontal="left" vertical="center"/>
    </xf>
    <xf numFmtId="0" fontId="62" fillId="2" borderId="194" xfId="6" applyFont="1" applyFill="1" applyBorder="1" applyAlignment="1">
      <alignment horizontal="left" vertical="center" wrapText="1"/>
    </xf>
    <xf numFmtId="0" fontId="40" fillId="2" borderId="198" xfId="3" applyFont="1" applyFill="1" applyBorder="1" applyAlignment="1">
      <alignment vertical="center" wrapText="1"/>
    </xf>
    <xf numFmtId="0" fontId="11" fillId="2" borderId="199" xfId="9" applyFont="1" applyFill="1" applyBorder="1" applyAlignment="1">
      <alignment horizontal="center" vertical="center"/>
    </xf>
    <xf numFmtId="0" fontId="11" fillId="2" borderId="199" xfId="9" applyFont="1" applyFill="1" applyBorder="1" applyAlignment="1">
      <alignment horizontal="center" vertical="center" wrapText="1"/>
    </xf>
    <xf numFmtId="0" fontId="61" fillId="2" borderId="194" xfId="6" applyFont="1" applyFill="1" applyBorder="1" applyAlignment="1">
      <alignment horizontal="left" vertical="center" wrapText="1"/>
    </xf>
    <xf numFmtId="0" fontId="5" fillId="2" borderId="194" xfId="9" applyFont="1" applyFill="1" applyBorder="1" applyAlignment="1">
      <alignment horizontal="center" vertical="center"/>
    </xf>
    <xf numFmtId="0" fontId="5" fillId="2" borderId="194" xfId="9" applyFont="1" applyFill="1" applyBorder="1" applyAlignment="1">
      <alignment horizontal="center" vertical="center" wrapText="1"/>
    </xf>
    <xf numFmtId="0" fontId="11" fillId="2" borderId="199" xfId="1" applyFont="1" applyFill="1" applyBorder="1" applyAlignment="1">
      <alignment horizontal="center" vertical="center" wrapText="1"/>
    </xf>
    <xf numFmtId="0" fontId="41" fillId="15" borderId="194" xfId="0" applyFont="1" applyFill="1" applyBorder="1" applyAlignment="1">
      <alignment horizontal="center" vertical="center" wrapText="1"/>
    </xf>
    <xf numFmtId="0" fontId="6" fillId="0" borderId="194" xfId="3" applyFont="1" applyBorder="1" applyAlignment="1">
      <alignment horizontal="left" vertical="center" wrapText="1"/>
    </xf>
    <xf numFmtId="0" fontId="6" fillId="0" borderId="194" xfId="3" applyFont="1" applyBorder="1" applyAlignment="1">
      <alignment horizontal="center" vertical="center"/>
    </xf>
    <xf numFmtId="0" fontId="6" fillId="0" borderId="195" xfId="3" applyFont="1" applyBorder="1" applyAlignment="1">
      <alignment horizontal="center" vertical="center"/>
    </xf>
    <xf numFmtId="0" fontId="6" fillId="0" borderId="194" xfId="3" applyFont="1" applyBorder="1" applyAlignment="1">
      <alignment horizontal="center" vertical="center" wrapText="1"/>
    </xf>
    <xf numFmtId="0" fontId="6" fillId="0" borderId="195" xfId="3" applyFont="1" applyBorder="1" applyAlignment="1">
      <alignment horizontal="center" vertical="center" wrapText="1"/>
    </xf>
    <xf numFmtId="0" fontId="6" fillId="0" borderId="194" xfId="3" applyFont="1" applyBorder="1" applyAlignment="1">
      <alignment wrapText="1"/>
    </xf>
    <xf numFmtId="0" fontId="6" fillId="18" borderId="194" xfId="3" applyFont="1" applyFill="1" applyBorder="1" applyAlignment="1">
      <alignment horizontal="center" vertical="center" wrapText="1"/>
    </xf>
    <xf numFmtId="0" fontId="8" fillId="18" borderId="199" xfId="9" applyFont="1" applyFill="1" applyBorder="1" applyAlignment="1">
      <alignment horizontal="center" vertical="center" wrapText="1"/>
    </xf>
    <xf numFmtId="0" fontId="6" fillId="18" borderId="195" xfId="3" applyFont="1" applyFill="1" applyBorder="1" applyAlignment="1">
      <alignment horizontal="center" vertical="center" wrapText="1"/>
    </xf>
    <xf numFmtId="0" fontId="6" fillId="5" borderId="195" xfId="3" applyFont="1" applyFill="1" applyBorder="1" applyAlignment="1">
      <alignment horizontal="center" vertical="center"/>
    </xf>
    <xf numFmtId="0" fontId="6" fillId="5" borderId="194" xfId="3" applyFont="1" applyFill="1" applyBorder="1" applyAlignment="1">
      <alignment horizontal="center" vertical="center"/>
    </xf>
    <xf numFmtId="0" fontId="14" fillId="0" borderId="194" xfId="3" applyFont="1" applyBorder="1"/>
    <xf numFmtId="0" fontId="14" fillId="0" borderId="194" xfId="3" applyFont="1" applyBorder="1" applyAlignment="1">
      <alignment wrapText="1"/>
    </xf>
    <xf numFmtId="0" fontId="14" fillId="0" borderId="194" xfId="3" applyFont="1" applyBorder="1" applyAlignment="1">
      <alignment horizontal="center" vertical="center"/>
    </xf>
    <xf numFmtId="0" fontId="51" fillId="0" borderId="194" xfId="0" applyFont="1" applyBorder="1" applyAlignment="1">
      <alignment horizontal="center" vertical="center" wrapText="1"/>
    </xf>
    <xf numFmtId="0" fontId="51" fillId="0" borderId="194" xfId="9" applyFont="1" applyBorder="1" applyAlignment="1">
      <alignment horizontal="center" vertical="center" wrapText="1"/>
    </xf>
    <xf numFmtId="0" fontId="40" fillId="13" borderId="194" xfId="0" applyFont="1" applyFill="1" applyBorder="1" applyAlignment="1">
      <alignment horizontal="left" vertical="center"/>
    </xf>
    <xf numFmtId="0" fontId="40" fillId="13" borderId="198" xfId="0" applyFont="1" applyFill="1" applyBorder="1" applyAlignment="1">
      <alignment horizontal="left" vertical="center"/>
    </xf>
    <xf numFmtId="0" fontId="62" fillId="13" borderId="198" xfId="6" applyFont="1" applyFill="1" applyBorder="1" applyAlignment="1">
      <alignment horizontal="left" vertical="center" wrapText="1"/>
    </xf>
    <xf numFmtId="0" fontId="62" fillId="13" borderId="196" xfId="6" applyFont="1" applyFill="1" applyBorder="1" applyAlignment="1">
      <alignment horizontal="left" vertical="center" wrapText="1"/>
    </xf>
    <xf numFmtId="0" fontId="40" fillId="13" borderId="198" xfId="0" applyFont="1" applyFill="1" applyBorder="1" applyAlignment="1">
      <alignment horizontal="center" vertical="center"/>
    </xf>
    <xf numFmtId="0" fontId="14" fillId="0" borderId="200" xfId="0" applyFont="1" applyBorder="1" applyAlignment="1">
      <alignment horizontal="left" vertical="center"/>
    </xf>
    <xf numFmtId="0" fontId="41" fillId="0" borderId="194" xfId="0" applyFont="1" applyBorder="1" applyAlignment="1">
      <alignment horizontal="left" vertical="center" wrapText="1"/>
    </xf>
    <xf numFmtId="0" fontId="41" fillId="0" borderId="195" xfId="0" applyFont="1" applyBorder="1" applyAlignment="1">
      <alignment horizontal="center" vertical="center" wrapText="1"/>
    </xf>
    <xf numFmtId="0" fontId="41" fillId="0" borderId="194" xfId="0" applyFont="1" applyBorder="1" applyAlignment="1">
      <alignment horizontal="left" vertical="center"/>
    </xf>
    <xf numFmtId="0" fontId="35" fillId="0" borderId="199" xfId="0" applyFont="1" applyBorder="1" applyAlignment="1">
      <alignment horizontal="center" vertical="center" wrapText="1"/>
    </xf>
    <xf numFmtId="0" fontId="41" fillId="0" borderId="198" xfId="0" applyFont="1" applyBorder="1" applyAlignment="1">
      <alignment horizontal="center" vertical="center"/>
    </xf>
    <xf numFmtId="0" fontId="41" fillId="0" borderId="194" xfId="0" applyFont="1" applyBorder="1" applyAlignment="1">
      <alignment horizontal="center" vertical="center"/>
    </xf>
    <xf numFmtId="0" fontId="41" fillId="0" borderId="196" xfId="0" applyFont="1" applyBorder="1" applyAlignment="1">
      <alignment horizontal="center" vertical="center"/>
    </xf>
    <xf numFmtId="0" fontId="41" fillId="0" borderId="199" xfId="0" applyFont="1" applyBorder="1" applyAlignment="1">
      <alignment horizontal="left" vertical="center"/>
    </xf>
    <xf numFmtId="0" fontId="41" fillId="0" borderId="201" xfId="0" applyFont="1" applyBorder="1" applyAlignment="1">
      <alignment horizontal="center" vertical="center"/>
    </xf>
    <xf numFmtId="0" fontId="41" fillId="0" borderId="199" xfId="0" applyFont="1" applyBorder="1" applyAlignment="1">
      <alignment horizontal="left" vertical="center" wrapText="1"/>
    </xf>
    <xf numFmtId="0" fontId="11" fillId="3" borderId="194" xfId="3" applyFont="1" applyFill="1" applyBorder="1" applyAlignment="1">
      <alignment horizontal="left" vertical="center"/>
    </xf>
    <xf numFmtId="0" fontId="11" fillId="2" borderId="194" xfId="3" applyFont="1" applyFill="1" applyBorder="1" applyAlignment="1">
      <alignment vertical="center"/>
    </xf>
    <xf numFmtId="0" fontId="11" fillId="3" borderId="195" xfId="3" applyFont="1" applyFill="1" applyBorder="1" applyAlignment="1">
      <alignment horizontal="left" vertical="center"/>
    </xf>
    <xf numFmtId="0" fontId="62" fillId="2" borderId="198" xfId="6" applyFont="1" applyFill="1" applyBorder="1" applyAlignment="1">
      <alignment horizontal="left" vertical="center" wrapText="1"/>
    </xf>
    <xf numFmtId="0" fontId="3" fillId="2" borderId="199" xfId="1" applyFont="1" applyFill="1" applyBorder="1" applyAlignment="1">
      <alignment horizontal="center" vertical="center"/>
    </xf>
    <xf numFmtId="0" fontId="62" fillId="2" borderId="194" xfId="6" applyFont="1" applyFill="1" applyBorder="1" applyAlignment="1">
      <alignment horizontal="left" vertical="center"/>
    </xf>
    <xf numFmtId="0" fontId="11" fillId="2" borderId="194" xfId="3" applyFont="1" applyFill="1" applyBorder="1" applyAlignment="1">
      <alignment horizontal="left" vertical="center"/>
    </xf>
    <xf numFmtId="0" fontId="3" fillId="2" borderId="199" xfId="1" applyFont="1" applyFill="1" applyBorder="1" applyAlignment="1">
      <alignment horizontal="left" vertical="top"/>
    </xf>
    <xf numFmtId="0" fontId="3" fillId="2" borderId="199" xfId="1" applyFont="1" applyFill="1" applyBorder="1" applyAlignment="1">
      <alignment horizontal="center" vertical="top"/>
    </xf>
    <xf numFmtId="49" fontId="3" fillId="2" borderId="199" xfId="1" applyNumberFormat="1" applyFont="1" applyFill="1" applyBorder="1" applyAlignment="1">
      <alignment horizontal="center" vertical="center"/>
    </xf>
    <xf numFmtId="0" fontId="3" fillId="2" borderId="199" xfId="1" applyFont="1" applyFill="1" applyBorder="1" applyAlignment="1">
      <alignment horizontal="center" vertical="center" wrapText="1"/>
    </xf>
    <xf numFmtId="0" fontId="11" fillId="3" borderId="194" xfId="0" applyFont="1" applyFill="1" applyBorder="1" applyAlignment="1">
      <alignment horizontal="left"/>
    </xf>
    <xf numFmtId="0" fontId="61" fillId="2" borderId="194" xfId="6" applyFont="1" applyFill="1" applyBorder="1" applyAlignment="1">
      <alignment horizontal="left" wrapText="1"/>
    </xf>
    <xf numFmtId="0" fontId="61" fillId="2" borderId="194" xfId="6" applyFont="1" applyFill="1" applyBorder="1" applyAlignment="1">
      <alignment horizontal="left"/>
    </xf>
    <xf numFmtId="0" fontId="0" fillId="7" borderId="194" xfId="1" applyFont="1" applyFill="1" applyBorder="1" applyAlignment="1">
      <alignment horizontal="left" vertical="center" wrapText="1"/>
    </xf>
    <xf numFmtId="0" fontId="14" fillId="7" borderId="194" xfId="1" applyFont="1" applyFill="1" applyBorder="1" applyAlignment="1">
      <alignment horizontal="left" vertical="center" wrapText="1"/>
    </xf>
    <xf numFmtId="0" fontId="38" fillId="15" borderId="194" xfId="0" applyFont="1" applyFill="1" applyBorder="1" applyAlignment="1">
      <alignment horizontal="center" vertical="center" wrapText="1"/>
    </xf>
    <xf numFmtId="0" fontId="20" fillId="0" borderId="194" xfId="9" applyFont="1" applyBorder="1" applyAlignment="1">
      <alignment horizontal="left" vertical="center" wrapText="1"/>
    </xf>
    <xf numFmtId="0" fontId="20" fillId="0" borderId="194" xfId="9" applyFont="1" applyBorder="1" applyAlignment="1">
      <alignment horizontal="center" vertical="center" wrapText="1"/>
    </xf>
    <xf numFmtId="0" fontId="7" fillId="0" borderId="194" xfId="9" applyFont="1" applyBorder="1" applyAlignment="1">
      <alignment horizontal="center" vertical="center" wrapText="1"/>
    </xf>
    <xf numFmtId="0" fontId="7" fillId="0" borderId="194" xfId="9" applyFont="1" applyBorder="1" applyAlignment="1">
      <alignment horizontal="left" vertical="center" wrapText="1"/>
    </xf>
    <xf numFmtId="0" fontId="20" fillId="0" borderId="195" xfId="9" applyFont="1" applyBorder="1" applyAlignment="1">
      <alignment horizontal="center" vertical="center" wrapText="1"/>
    </xf>
    <xf numFmtId="0" fontId="11" fillId="2" borderId="198" xfId="9" applyFont="1" applyFill="1" applyBorder="1" applyAlignment="1">
      <alignment horizontal="center" vertical="center"/>
    </xf>
    <xf numFmtId="0" fontId="11" fillId="2" borderId="194" xfId="9" applyFont="1" applyFill="1" applyBorder="1" applyAlignment="1">
      <alignment horizontal="center" vertical="center"/>
    </xf>
    <xf numFmtId="0" fontId="0" fillId="0" borderId="198" xfId="1" applyFont="1" applyBorder="1" applyAlignment="1">
      <alignment horizontal="left" vertical="center" wrapText="1"/>
    </xf>
    <xf numFmtId="0" fontId="14" fillId="0" borderId="194" xfId="1" applyFont="1" applyBorder="1" applyAlignment="1">
      <alignment horizontal="left" vertical="center" wrapText="1"/>
    </xf>
    <xf numFmtId="0" fontId="38" fillId="0" borderId="195" xfId="0" applyFont="1" applyBorder="1" applyAlignment="1">
      <alignment horizontal="center" vertical="center" wrapText="1"/>
    </xf>
    <xf numFmtId="0" fontId="0" fillId="0" borderId="195" xfId="3" applyFont="1" applyBorder="1" applyAlignment="1">
      <alignment horizontal="center" vertical="center"/>
    </xf>
    <xf numFmtId="0" fontId="0" fillId="0" borderId="194" xfId="3" applyFont="1" applyBorder="1" applyAlignment="1">
      <alignment horizontal="left" vertical="center" wrapText="1"/>
    </xf>
    <xf numFmtId="0" fontId="0" fillId="0" borderId="198" xfId="3" applyFont="1" applyBorder="1" applyAlignment="1">
      <alignment horizontal="left" vertical="center" wrapText="1"/>
    </xf>
    <xf numFmtId="0" fontId="20" fillId="0" borderId="199" xfId="3" applyFont="1" applyBorder="1" applyAlignment="1">
      <alignment horizontal="left" vertical="center" wrapText="1"/>
    </xf>
    <xf numFmtId="0" fontId="13" fillId="0" borderId="195" xfId="9" applyFont="1" applyBorder="1" applyAlignment="1">
      <alignment horizontal="center" vertical="center" wrapText="1"/>
    </xf>
    <xf numFmtId="0" fontId="0" fillId="0" borderId="195" xfId="9" applyFont="1" applyBorder="1" applyAlignment="1">
      <alignment horizontal="center" vertical="center" wrapText="1"/>
    </xf>
    <xf numFmtId="0" fontId="32" fillId="0" borderId="194" xfId="3" applyFont="1" applyBorder="1" applyAlignment="1">
      <alignment horizontal="left" vertical="center" wrapText="1"/>
    </xf>
    <xf numFmtId="0" fontId="32" fillId="0" borderId="195" xfId="3" applyFont="1" applyBorder="1" applyAlignment="1">
      <alignment horizontal="center" vertical="center" wrapText="1"/>
    </xf>
    <xf numFmtId="0" fontId="14" fillId="0" borderId="194" xfId="9" applyFont="1" applyBorder="1" applyAlignment="1">
      <alignment horizontal="center" vertical="center" wrapText="1"/>
    </xf>
    <xf numFmtId="0" fontId="11" fillId="2" borderId="194" xfId="1" applyFont="1" applyFill="1" applyBorder="1" applyAlignment="1">
      <alignment horizontal="left" vertical="center" wrapText="1"/>
    </xf>
    <xf numFmtId="0" fontId="11" fillId="3" borderId="194" xfId="1" applyFont="1" applyFill="1" applyBorder="1" applyAlignment="1">
      <alignment horizontal="left" vertical="center" wrapText="1"/>
    </xf>
    <xf numFmtId="0" fontId="11" fillId="2" borderId="194" xfId="1" applyFont="1" applyFill="1" applyBorder="1" applyAlignment="1">
      <alignment vertical="center" wrapText="1"/>
    </xf>
    <xf numFmtId="0" fontId="11" fillId="2" borderId="198" xfId="3" applyFont="1" applyFill="1" applyBorder="1" applyAlignment="1">
      <alignment horizontal="center" vertical="center"/>
    </xf>
    <xf numFmtId="0" fontId="25" fillId="3" borderId="194" xfId="3" applyFont="1" applyFill="1" applyBorder="1" applyAlignment="1">
      <alignment horizontal="center" vertical="center" wrapText="1"/>
    </xf>
    <xf numFmtId="0" fontId="24" fillId="3" borderId="194" xfId="3" applyFont="1" applyFill="1" applyBorder="1" applyAlignment="1">
      <alignment horizontal="center" vertical="center" wrapText="1"/>
    </xf>
    <xf numFmtId="0" fontId="25" fillId="3" borderId="194" xfId="3" applyFont="1" applyFill="1" applyBorder="1" applyAlignment="1">
      <alignment horizontal="left" vertical="center" wrapText="1"/>
    </xf>
    <xf numFmtId="0" fontId="2" fillId="2" borderId="194" xfId="1" applyFont="1" applyFill="1" applyBorder="1" applyAlignment="1">
      <alignment horizontal="center" vertical="center"/>
    </xf>
    <xf numFmtId="164" fontId="20" fillId="0" borderId="194" xfId="3" applyNumberFormat="1" applyFont="1" applyBorder="1" applyAlignment="1">
      <alignment horizontal="left" vertical="center"/>
    </xf>
    <xf numFmtId="164" fontId="20" fillId="0" borderId="194" xfId="3" applyNumberFormat="1" applyFont="1" applyBorder="1" applyAlignment="1">
      <alignment horizontal="left" vertical="center" wrapText="1"/>
    </xf>
    <xf numFmtId="164" fontId="16" fillId="0" borderId="194" xfId="3" applyNumberFormat="1" applyBorder="1" applyAlignment="1">
      <alignment horizontal="center" vertical="center"/>
    </xf>
    <xf numFmtId="0" fontId="16" fillId="0" borderId="194" xfId="3" applyBorder="1" applyAlignment="1">
      <alignment horizontal="center" vertical="center"/>
    </xf>
    <xf numFmtId="0" fontId="20" fillId="0" borderId="194" xfId="3" applyFont="1" applyBorder="1" applyAlignment="1">
      <alignment horizontal="center" vertical="center" wrapText="1"/>
    </xf>
    <xf numFmtId="0" fontId="38" fillId="0" borderId="194" xfId="0" applyFont="1" applyBorder="1" applyAlignment="1">
      <alignment horizontal="center" vertical="center" wrapText="1"/>
    </xf>
    <xf numFmtId="164" fontId="16" fillId="0" borderId="195" xfId="3" applyNumberFormat="1" applyBorder="1" applyAlignment="1">
      <alignment horizontal="center" vertical="center"/>
    </xf>
    <xf numFmtId="164" fontId="0" fillId="6" borderId="194" xfId="0" applyNumberFormat="1" applyFill="1" applyBorder="1" applyAlignment="1">
      <alignment horizontal="center" vertical="center"/>
    </xf>
    <xf numFmtId="164" fontId="20" fillId="7" borderId="194" xfId="3" applyNumberFormat="1" applyFont="1" applyFill="1" applyBorder="1" applyAlignment="1">
      <alignment horizontal="left" vertical="center" wrapText="1"/>
    </xf>
    <xf numFmtId="164" fontId="7" fillId="7" borderId="194" xfId="3" applyNumberFormat="1" applyFont="1" applyFill="1" applyBorder="1" applyAlignment="1">
      <alignment horizontal="left" vertical="center" wrapText="1"/>
    </xf>
    <xf numFmtId="164" fontId="7" fillId="7" borderId="194" xfId="3" applyNumberFormat="1" applyFont="1" applyFill="1" applyBorder="1" applyAlignment="1">
      <alignment horizontal="center" vertical="center"/>
    </xf>
    <xf numFmtId="0" fontId="22" fillId="7" borderId="194" xfId="3" applyFont="1" applyFill="1" applyBorder="1" applyAlignment="1">
      <alignment horizontal="center" vertical="center"/>
    </xf>
    <xf numFmtId="0" fontId="9" fillId="7" borderId="194" xfId="10" applyNumberFormat="1" applyFont="1" applyFill="1" applyBorder="1" applyAlignment="1">
      <alignment horizontal="center" vertical="center" wrapText="1"/>
    </xf>
    <xf numFmtId="0" fontId="16" fillId="7" borderId="194" xfId="3" applyFill="1" applyBorder="1" applyAlignment="1">
      <alignment horizontal="center" vertical="center"/>
    </xf>
    <xf numFmtId="0" fontId="20" fillId="7" borderId="194" xfId="3" applyFont="1" applyFill="1" applyBorder="1" applyAlignment="1">
      <alignment horizontal="center" vertical="center"/>
    </xf>
    <xf numFmtId="164" fontId="7" fillId="7" borderId="195" xfId="3" applyNumberFormat="1" applyFont="1" applyFill="1" applyBorder="1" applyAlignment="1">
      <alignment horizontal="center" vertical="center"/>
    </xf>
    <xf numFmtId="0" fontId="37" fillId="7" borderId="194" xfId="0" applyFont="1" applyFill="1" applyBorder="1" applyAlignment="1">
      <alignment horizontal="center" vertical="center" wrapText="1"/>
    </xf>
    <xf numFmtId="164" fontId="9" fillId="7" borderId="194" xfId="10" applyNumberFormat="1" applyFont="1" applyFill="1" applyBorder="1" applyAlignment="1">
      <alignment horizontal="left" vertical="center" wrapText="1"/>
    </xf>
    <xf numFmtId="164" fontId="9" fillId="7" borderId="194" xfId="10" applyNumberFormat="1" applyFont="1" applyFill="1" applyBorder="1" applyAlignment="1">
      <alignment horizontal="center" vertical="center"/>
    </xf>
    <xf numFmtId="0" fontId="9" fillId="7" borderId="194" xfId="10" applyNumberFormat="1" applyFont="1" applyFill="1" applyBorder="1" applyAlignment="1">
      <alignment horizontal="center" vertical="center"/>
    </xf>
    <xf numFmtId="0" fontId="9" fillId="7" borderId="194" xfId="10" applyFont="1" applyFill="1" applyBorder="1" applyAlignment="1">
      <alignment horizontal="center" vertical="center"/>
    </xf>
    <xf numFmtId="0" fontId="32" fillId="7" borderId="194" xfId="3" applyFont="1" applyFill="1" applyBorder="1" applyAlignment="1">
      <alignment horizontal="center" vertical="center"/>
    </xf>
    <xf numFmtId="164" fontId="9" fillId="7" borderId="195" xfId="10" applyNumberFormat="1" applyFont="1" applyFill="1" applyBorder="1" applyAlignment="1">
      <alignment horizontal="center" vertical="center"/>
    </xf>
    <xf numFmtId="164" fontId="7" fillId="0" borderId="194" xfId="3" applyNumberFormat="1" applyFont="1" applyBorder="1" applyAlignment="1">
      <alignment horizontal="left" vertical="center"/>
    </xf>
    <xf numFmtId="164" fontId="7" fillId="0" borderId="194" xfId="3" applyNumberFormat="1" applyFont="1" applyBorder="1" applyAlignment="1">
      <alignment horizontal="left" vertical="center" wrapText="1"/>
    </xf>
    <xf numFmtId="0" fontId="20" fillId="0" borderId="194" xfId="3" applyFont="1" applyBorder="1" applyAlignment="1">
      <alignment horizontal="center" vertical="center"/>
    </xf>
    <xf numFmtId="164" fontId="7" fillId="0" borderId="195" xfId="3" applyNumberFormat="1" applyFont="1" applyBorder="1" applyAlignment="1">
      <alignment horizontal="center" vertical="center"/>
    </xf>
    <xf numFmtId="164" fontId="16" fillId="7" borderId="194" xfId="3" applyNumberFormat="1" applyFill="1" applyBorder="1" applyAlignment="1">
      <alignment horizontal="left" vertical="center" wrapText="1"/>
    </xf>
    <xf numFmtId="164" fontId="16" fillId="7" borderId="194" xfId="3" applyNumberFormat="1" applyFill="1" applyBorder="1" applyAlignment="1">
      <alignment horizontal="center" vertical="center"/>
    </xf>
    <xf numFmtId="164" fontId="16" fillId="7" borderId="195" xfId="3" applyNumberFormat="1" applyFill="1" applyBorder="1" applyAlignment="1">
      <alignment horizontal="center" vertical="center"/>
    </xf>
    <xf numFmtId="0" fontId="37" fillId="7" borderId="194" xfId="0" applyFont="1" applyFill="1" applyBorder="1" applyAlignment="1">
      <alignment vertical="center" wrapText="1"/>
    </xf>
    <xf numFmtId="0" fontId="0" fillId="7" borderId="194" xfId="3" applyFont="1" applyFill="1" applyBorder="1" applyAlignment="1">
      <alignment horizontal="left" vertical="center" wrapText="1"/>
    </xf>
    <xf numFmtId="0" fontId="37" fillId="0" borderId="194" xfId="0" applyFont="1" applyBorder="1" applyAlignment="1">
      <alignment vertical="center" wrapText="1"/>
    </xf>
    <xf numFmtId="0" fontId="0" fillId="6" borderId="194" xfId="0" applyFill="1" applyBorder="1" applyAlignment="1">
      <alignment horizontal="center" vertical="center"/>
    </xf>
    <xf numFmtId="0" fontId="22" fillId="0" borderId="194" xfId="3" applyFont="1" applyBorder="1" applyAlignment="1">
      <alignment horizontal="center" vertical="center"/>
    </xf>
    <xf numFmtId="0" fontId="7" fillId="0" borderId="194" xfId="3" applyFont="1" applyBorder="1" applyAlignment="1">
      <alignment horizontal="left" vertical="center" wrapText="1"/>
    </xf>
    <xf numFmtId="0" fontId="7" fillId="0" borderId="194" xfId="3" applyFont="1" applyBorder="1" applyAlignment="1">
      <alignment horizontal="center" vertical="center"/>
    </xf>
    <xf numFmtId="164" fontId="16" fillId="7" borderId="194" xfId="3" applyNumberFormat="1" applyFill="1" applyBorder="1" applyAlignment="1">
      <alignment horizontal="left" vertical="center"/>
    </xf>
    <xf numFmtId="0" fontId="20" fillId="7" borderId="194" xfId="3" applyFont="1" applyFill="1" applyBorder="1" applyAlignment="1">
      <alignment horizontal="left" vertical="center" wrapText="1"/>
    </xf>
    <xf numFmtId="164" fontId="7" fillId="0" borderId="199" xfId="3" applyNumberFormat="1" applyFont="1" applyBorder="1" applyAlignment="1">
      <alignment horizontal="center" vertical="center"/>
    </xf>
    <xf numFmtId="0" fontId="22" fillId="0" borderId="199" xfId="3" applyFont="1" applyBorder="1" applyAlignment="1">
      <alignment horizontal="center" vertical="center"/>
    </xf>
    <xf numFmtId="0" fontId="0" fillId="0" borderId="199" xfId="3" applyFont="1" applyBorder="1" applyAlignment="1">
      <alignment horizontal="left" vertical="center" wrapText="1"/>
    </xf>
    <xf numFmtId="0" fontId="7" fillId="0" borderId="199" xfId="3" applyFont="1" applyBorder="1" applyAlignment="1">
      <alignment horizontal="center" vertical="center"/>
    </xf>
    <xf numFmtId="0" fontId="41" fillId="0" borderId="199" xfId="0" applyFont="1" applyBorder="1" applyAlignment="1">
      <alignment horizontal="center" vertical="center" wrapText="1"/>
    </xf>
    <xf numFmtId="164" fontId="20" fillId="0" borderId="200" xfId="3" applyNumberFormat="1" applyFont="1" applyBorder="1" applyAlignment="1">
      <alignment horizontal="center" vertical="center"/>
    </xf>
    <xf numFmtId="164" fontId="0" fillId="6" borderId="199" xfId="0" applyNumberFormat="1" applyFill="1" applyBorder="1" applyAlignment="1">
      <alignment horizontal="center" vertical="center"/>
    </xf>
    <xf numFmtId="164" fontId="16" fillId="7" borderId="195" xfId="3" applyNumberFormat="1" applyFill="1" applyBorder="1" applyAlignment="1">
      <alignment horizontal="left" vertical="center" wrapText="1"/>
    </xf>
    <xf numFmtId="164" fontId="7" fillId="0" borderId="195" xfId="3" applyNumberFormat="1" applyFont="1" applyBorder="1" applyAlignment="1">
      <alignment horizontal="left" vertical="center" wrapText="1"/>
    </xf>
    <xf numFmtId="0" fontId="20" fillId="7" borderId="194" xfId="3" applyFont="1" applyFill="1" applyBorder="1" applyAlignment="1">
      <alignment horizontal="left" vertical="center"/>
    </xf>
    <xf numFmtId="0" fontId="20" fillId="7" borderId="195" xfId="3" applyFont="1" applyFill="1" applyBorder="1" applyAlignment="1">
      <alignment horizontal="left" vertical="center" wrapText="1"/>
    </xf>
    <xf numFmtId="164" fontId="20" fillId="0" borderId="195" xfId="3" applyNumberFormat="1" applyFont="1" applyBorder="1" applyAlignment="1">
      <alignment horizontal="left" vertical="center" wrapText="1"/>
    </xf>
    <xf numFmtId="0" fontId="26" fillId="7" borderId="194" xfId="5" applyFont="1" applyFill="1" applyBorder="1" applyAlignment="1">
      <alignment horizontal="left" vertical="center"/>
    </xf>
    <xf numFmtId="0" fontId="16" fillId="7" borderId="195" xfId="3" applyFill="1" applyBorder="1" applyAlignment="1">
      <alignment horizontal="left" vertical="center" wrapText="1"/>
    </xf>
    <xf numFmtId="0" fontId="7" fillId="0" borderId="194" xfId="3" applyFont="1" applyBorder="1" applyAlignment="1">
      <alignment horizontal="left" vertical="center"/>
    </xf>
    <xf numFmtId="0" fontId="7" fillId="0" borderId="195" xfId="3" applyFont="1" applyBorder="1" applyAlignment="1">
      <alignment horizontal="left" vertical="center" wrapText="1"/>
    </xf>
    <xf numFmtId="0" fontId="22" fillId="7" borderId="194" xfId="3" applyFont="1" applyFill="1" applyBorder="1" applyAlignment="1">
      <alignment horizontal="left" vertical="center"/>
    </xf>
    <xf numFmtId="0" fontId="22" fillId="7" borderId="195" xfId="3" applyFont="1" applyFill="1" applyBorder="1" applyAlignment="1">
      <alignment horizontal="left" vertical="center" wrapText="1"/>
    </xf>
    <xf numFmtId="0" fontId="16" fillId="0" borderId="194" xfId="3" applyBorder="1" applyAlignment="1">
      <alignment horizontal="left" vertical="center"/>
    </xf>
    <xf numFmtId="0" fontId="16" fillId="0" borderId="195" xfId="3" applyBorder="1" applyAlignment="1">
      <alignment horizontal="left" vertical="center" wrapText="1"/>
    </xf>
    <xf numFmtId="0" fontId="7" fillId="7" borderId="194" xfId="3" applyFont="1" applyFill="1" applyBorder="1" applyAlignment="1">
      <alignment horizontal="left" vertical="center"/>
    </xf>
    <xf numFmtId="0" fontId="16" fillId="7" borderId="194" xfId="3" applyFill="1" applyBorder="1" applyAlignment="1">
      <alignment horizontal="left" vertical="center"/>
    </xf>
    <xf numFmtId="0" fontId="7" fillId="0" borderId="200" xfId="3" applyFont="1" applyBorder="1" applyAlignment="1">
      <alignment horizontal="left" vertical="center" wrapText="1"/>
    </xf>
    <xf numFmtId="0" fontId="7" fillId="7" borderId="195" xfId="3" applyFont="1" applyFill="1" applyBorder="1" applyAlignment="1">
      <alignment horizontal="left" vertical="center" wrapText="1"/>
    </xf>
    <xf numFmtId="0" fontId="20" fillId="0" borderId="194" xfId="3" applyFont="1" applyBorder="1" applyAlignment="1">
      <alignment horizontal="left" vertical="center"/>
    </xf>
    <xf numFmtId="0" fontId="16" fillId="0" borderId="199" xfId="3" applyBorder="1" applyAlignment="1">
      <alignment horizontal="left" vertical="center"/>
    </xf>
    <xf numFmtId="0" fontId="16" fillId="0" borderId="200" xfId="3" applyBorder="1" applyAlignment="1">
      <alignment horizontal="left" vertical="center" wrapText="1"/>
    </xf>
    <xf numFmtId="0" fontId="22" fillId="7" borderId="194" xfId="3" applyFont="1" applyFill="1" applyBorder="1" applyAlignment="1">
      <alignment horizontal="left" vertical="center" wrapText="1"/>
    </xf>
    <xf numFmtId="0" fontId="7" fillId="7" borderId="195" xfId="9" applyFont="1" applyFill="1" applyBorder="1" applyAlignment="1">
      <alignment horizontal="left" vertical="center" wrapText="1"/>
    </xf>
    <xf numFmtId="0" fontId="7" fillId="0" borderId="195" xfId="9" applyFont="1" applyBorder="1" applyAlignment="1">
      <alignment horizontal="left" vertical="center" wrapText="1"/>
    </xf>
    <xf numFmtId="0" fontId="16" fillId="7" borderId="199" xfId="3" applyFill="1" applyBorder="1" applyAlignment="1">
      <alignment horizontal="left" vertical="center"/>
    </xf>
    <xf numFmtId="0" fontId="7" fillId="7" borderId="200" xfId="9" applyFont="1" applyFill="1" applyBorder="1" applyAlignment="1">
      <alignment horizontal="left" vertical="center" wrapText="1"/>
    </xf>
    <xf numFmtId="0" fontId="11" fillId="2" borderId="194" xfId="0" applyFont="1" applyFill="1" applyBorder="1" applyAlignment="1">
      <alignment wrapText="1"/>
    </xf>
    <xf numFmtId="0" fontId="5" fillId="2" borderId="194" xfId="1" applyFont="1" applyFill="1" applyBorder="1" applyAlignment="1">
      <alignment horizontal="center" vertical="center" wrapText="1"/>
    </xf>
    <xf numFmtId="0" fontId="6" fillId="7" borderId="195" xfId="1" applyFont="1" applyFill="1" applyBorder="1" applyAlignment="1">
      <alignment horizontal="center" vertical="center" wrapText="1"/>
    </xf>
    <xf numFmtId="0" fontId="6" fillId="0" borderId="195" xfId="1" applyFont="1" applyBorder="1" applyAlignment="1">
      <alignment horizontal="center" vertical="center" wrapText="1"/>
    </xf>
    <xf numFmtId="0" fontId="6" fillId="24" borderId="194" xfId="1" applyFont="1" applyFill="1" applyBorder="1" applyAlignment="1">
      <alignment horizontal="center" vertical="center" wrapText="1"/>
    </xf>
    <xf numFmtId="0" fontId="6" fillId="24" borderId="195" xfId="1" applyFont="1" applyFill="1" applyBorder="1" applyAlignment="1">
      <alignment horizontal="center" vertical="center" wrapText="1"/>
    </xf>
    <xf numFmtId="0" fontId="1" fillId="7" borderId="201" xfId="1" applyFont="1" applyFill="1" applyBorder="1" applyAlignment="1">
      <alignment horizontal="left" vertical="center" wrapText="1"/>
    </xf>
    <xf numFmtId="0" fontId="6" fillId="7" borderId="199" xfId="1" applyFont="1" applyFill="1" applyBorder="1" applyAlignment="1">
      <alignment horizontal="left" vertical="center" wrapText="1"/>
    </xf>
    <xf numFmtId="0" fontId="6" fillId="7" borderId="199" xfId="1" applyFont="1" applyFill="1" applyBorder="1" applyAlignment="1">
      <alignment horizontal="center" vertical="center" wrapText="1"/>
    </xf>
    <xf numFmtId="0" fontId="6" fillId="7" borderId="200" xfId="1" applyFont="1" applyFill="1" applyBorder="1" applyAlignment="1">
      <alignment horizontal="center" vertical="center" wrapText="1"/>
    </xf>
    <xf numFmtId="0" fontId="1" fillId="24" borderId="198" xfId="1" applyFont="1" applyFill="1" applyBorder="1" applyAlignment="1">
      <alignment horizontal="left" vertical="center" wrapText="1"/>
    </xf>
    <xf numFmtId="0" fontId="6" fillId="24" borderId="194" xfId="1" applyFont="1" applyFill="1" applyBorder="1" applyAlignment="1">
      <alignment horizontal="left" vertical="center" wrapText="1"/>
    </xf>
    <xf numFmtId="0" fontId="11" fillId="2" borderId="196" xfId="0" applyFont="1" applyFill="1" applyBorder="1" applyAlignment="1">
      <alignment horizontal="left"/>
    </xf>
    <xf numFmtId="0" fontId="5" fillId="2" borderId="199" xfId="1" applyFont="1" applyFill="1" applyBorder="1" applyAlignment="1">
      <alignment horizontal="center" vertical="center" wrapText="1"/>
    </xf>
    <xf numFmtId="0" fontId="5" fillId="2" borderId="199" xfId="1" applyFont="1" applyFill="1" applyBorder="1" applyAlignment="1">
      <alignment horizontal="left" vertical="center" wrapText="1"/>
    </xf>
    <xf numFmtId="0" fontId="1" fillId="0" borderId="199" xfId="1" applyFont="1" applyBorder="1" applyAlignment="1">
      <alignment horizontal="left" vertical="center" wrapText="1"/>
    </xf>
    <xf numFmtId="0" fontId="6" fillId="0" borderId="199" xfId="1" applyFont="1" applyBorder="1" applyAlignment="1">
      <alignment horizontal="left" vertical="center" wrapText="1"/>
    </xf>
    <xf numFmtId="0" fontId="14" fillId="0" borderId="199" xfId="1" applyFont="1" applyBorder="1" applyAlignment="1">
      <alignment horizontal="center" vertical="center" wrapText="1"/>
    </xf>
    <xf numFmtId="0" fontId="14" fillId="0" borderId="199" xfId="1" applyFont="1" applyBorder="1" applyAlignment="1">
      <alignment horizontal="left" vertical="center" wrapText="1"/>
    </xf>
    <xf numFmtId="0" fontId="6" fillId="0" borderId="199" xfId="1" applyFont="1" applyBorder="1" applyAlignment="1">
      <alignment horizontal="center" vertical="center" wrapText="1"/>
    </xf>
    <xf numFmtId="0" fontId="0" fillId="0" borderId="199" xfId="1" applyFont="1" applyBorder="1" applyAlignment="1">
      <alignment horizontal="left" vertical="center" wrapText="1"/>
    </xf>
    <xf numFmtId="0" fontId="14" fillId="0" borderId="194" xfId="1" applyFont="1" applyBorder="1" applyAlignment="1">
      <alignment horizontal="center" vertical="center" wrapText="1"/>
    </xf>
    <xf numFmtId="0" fontId="0" fillId="0" borderId="194" xfId="1" applyFont="1" applyBorder="1" applyAlignment="1">
      <alignment horizontal="left" vertical="center" wrapText="1"/>
    </xf>
    <xf numFmtId="0" fontId="11" fillId="2" borderId="202" xfId="3" applyFont="1" applyFill="1" applyBorder="1" applyAlignment="1">
      <alignment vertical="center"/>
    </xf>
    <xf numFmtId="0" fontId="18" fillId="0" borderId="198" xfId="1" applyFont="1" applyBorder="1" applyAlignment="1">
      <alignment horizontal="left" vertical="center" wrapText="1"/>
    </xf>
    <xf numFmtId="0" fontId="18" fillId="0" borderId="194" xfId="1" applyFont="1" applyBorder="1" applyAlignment="1">
      <alignment horizontal="left" vertical="center" wrapText="1"/>
    </xf>
    <xf numFmtId="0" fontId="51" fillId="0" borderId="194" xfId="1" applyFont="1" applyBorder="1" applyAlignment="1">
      <alignment horizontal="center" vertical="center" wrapText="1"/>
    </xf>
    <xf numFmtId="0" fontId="14" fillId="0" borderId="194" xfId="0" applyFont="1" applyBorder="1" applyAlignment="1">
      <alignment horizontal="center" vertical="center" wrapText="1"/>
    </xf>
    <xf numFmtId="0" fontId="35" fillId="0" borderId="203" xfId="4" applyFont="1" applyBorder="1" applyAlignment="1">
      <alignment horizontal="center" vertical="center" wrapText="1"/>
    </xf>
    <xf numFmtId="0" fontId="14" fillId="0" borderId="204" xfId="0" applyFont="1" applyBorder="1" applyAlignment="1">
      <alignment horizontal="center" vertical="center" wrapText="1"/>
    </xf>
    <xf numFmtId="0" fontId="51" fillId="0" borderId="203" xfId="1" applyFont="1" applyBorder="1" applyAlignment="1">
      <alignment horizontal="center" vertical="center" wrapText="1"/>
    </xf>
    <xf numFmtId="0" fontId="14" fillId="0" borderId="201" xfId="0" applyFont="1" applyBorder="1" applyAlignment="1">
      <alignment horizontal="left" vertical="center" wrapText="1"/>
    </xf>
    <xf numFmtId="0" fontId="14" fillId="0" borderId="199" xfId="0" applyFont="1" applyBorder="1" applyAlignment="1">
      <alignment horizontal="left" vertical="center" wrapText="1"/>
    </xf>
    <xf numFmtId="0" fontId="14" fillId="0" borderId="199" xfId="0" applyFont="1" applyBorder="1" applyAlignment="1">
      <alignment horizontal="center" vertical="center" wrapText="1"/>
    </xf>
    <xf numFmtId="0" fontId="51" fillId="0" borderId="205" xfId="1" applyFont="1" applyBorder="1" applyAlignment="1">
      <alignment horizontal="center" vertical="center" wrapText="1"/>
    </xf>
    <xf numFmtId="0" fontId="14" fillId="0" borderId="206" xfId="0" applyFont="1" applyBorder="1" applyAlignment="1">
      <alignment horizontal="center" vertical="center" wrapText="1"/>
    </xf>
    <xf numFmtId="0" fontId="71" fillId="14" borderId="204" xfId="0" applyFont="1" applyFill="1" applyBorder="1" applyAlignment="1">
      <alignment horizontal="center" vertical="center" wrapText="1"/>
    </xf>
    <xf numFmtId="0" fontId="11" fillId="2" borderId="207" xfId="3" applyFont="1" applyFill="1" applyBorder="1" applyAlignment="1">
      <alignment horizontal="center" vertical="center"/>
    </xf>
    <xf numFmtId="0" fontId="31" fillId="0" borderId="0" xfId="0" applyFont="1" applyAlignment="1">
      <alignment horizontal="left"/>
    </xf>
    <xf numFmtId="0" fontId="2" fillId="2" borderId="178" xfId="0" applyFont="1" applyFill="1" applyBorder="1" applyAlignment="1">
      <alignment horizontal="left" wrapText="1"/>
    </xf>
    <xf numFmtId="0" fontId="2" fillId="2" borderId="181" xfId="0" applyFont="1" applyFill="1" applyBorder="1" applyAlignment="1">
      <alignment horizontal="left" wrapText="1"/>
    </xf>
    <xf numFmtId="0" fontId="43" fillId="2" borderId="0" xfId="3" applyFont="1" applyFill="1" applyAlignment="1">
      <alignment horizontal="left" vertical="center" wrapText="1"/>
    </xf>
    <xf numFmtId="0" fontId="43" fillId="2" borderId="3" xfId="3" applyFont="1" applyFill="1" applyBorder="1" applyAlignment="1">
      <alignment horizontal="left" vertical="center"/>
    </xf>
    <xf numFmtId="0" fontId="40" fillId="13" borderId="31" xfId="0" applyFont="1" applyFill="1" applyBorder="1" applyAlignment="1">
      <alignment horizontal="left" vertical="center" wrapText="1"/>
    </xf>
    <xf numFmtId="0" fontId="40" fillId="13" borderId="33" xfId="0" applyFont="1" applyFill="1" applyBorder="1" applyAlignment="1">
      <alignment horizontal="left" vertical="center" wrapText="1"/>
    </xf>
    <xf numFmtId="0" fontId="40" fillId="13" borderId="29" xfId="0" applyFont="1" applyFill="1" applyBorder="1" applyAlignment="1">
      <alignment horizontal="left" vertical="center" wrapText="1"/>
    </xf>
    <xf numFmtId="0" fontId="14" fillId="7" borderId="13" xfId="0" applyFont="1" applyFill="1" applyBorder="1" applyAlignment="1">
      <alignment horizontal="center" vertical="center" wrapText="1"/>
    </xf>
    <xf numFmtId="0" fontId="0" fillId="16" borderId="13" xfId="0" applyFill="1" applyBorder="1" applyAlignment="1">
      <alignment horizontal="center" vertical="center"/>
    </xf>
    <xf numFmtId="0" fontId="40" fillId="13" borderId="160" xfId="11" applyFont="1" applyFill="1" applyBorder="1" applyAlignment="1">
      <alignment horizontal="center" wrapText="1"/>
    </xf>
    <xf numFmtId="0" fontId="40" fillId="13" borderId="186" xfId="11" applyFont="1" applyFill="1" applyBorder="1" applyAlignment="1">
      <alignment horizontal="center" wrapText="1"/>
    </xf>
    <xf numFmtId="0" fontId="40" fillId="13" borderId="83" xfId="11" applyFont="1" applyFill="1" applyBorder="1" applyAlignment="1">
      <alignment horizontal="left" vertical="center" wrapText="1"/>
    </xf>
    <xf numFmtId="0" fontId="40" fillId="13" borderId="32" xfId="11" applyFont="1" applyFill="1" applyBorder="1" applyAlignment="1">
      <alignment horizontal="left" vertical="center" wrapText="1"/>
    </xf>
    <xf numFmtId="0" fontId="35" fillId="16" borderId="81" xfId="11" applyFont="1" applyFill="1" applyBorder="1" applyAlignment="1">
      <alignment horizontal="center" vertical="center" wrapText="1"/>
    </xf>
    <xf numFmtId="0" fontId="35" fillId="16" borderId="38" xfId="11" applyFont="1" applyFill="1" applyBorder="1" applyAlignment="1">
      <alignment horizontal="center" vertical="center" wrapText="1"/>
    </xf>
    <xf numFmtId="0" fontId="35" fillId="16" borderId="37" xfId="11" applyFont="1" applyFill="1" applyBorder="1" applyAlignment="1">
      <alignment horizontal="center" vertical="center" wrapText="1"/>
    </xf>
    <xf numFmtId="0" fontId="35" fillId="7" borderId="80" xfId="13" applyFont="1" applyFill="1" applyBorder="1" applyAlignment="1">
      <alignment horizontal="center" vertical="center" wrapText="1"/>
    </xf>
    <xf numFmtId="0" fontId="35" fillId="7" borderId="1" xfId="13" applyFont="1" applyFill="1" applyBorder="1" applyAlignment="1">
      <alignment horizontal="center" vertical="center" wrapText="1"/>
    </xf>
    <xf numFmtId="0" fontId="35" fillId="7" borderId="3" xfId="13" applyFont="1" applyFill="1" applyBorder="1" applyAlignment="1">
      <alignment horizontal="center" vertical="center" wrapText="1"/>
    </xf>
    <xf numFmtId="0" fontId="35" fillId="7" borderId="36" xfId="13" applyFont="1" applyFill="1" applyBorder="1" applyAlignment="1">
      <alignment horizontal="center" vertical="center" wrapText="1"/>
    </xf>
    <xf numFmtId="0" fontId="5" fillId="2" borderId="83" xfId="0" applyFont="1" applyFill="1" applyBorder="1" applyAlignment="1">
      <alignment horizontal="left" vertical="center" wrapText="1"/>
    </xf>
    <xf numFmtId="0" fontId="0" fillId="0" borderId="104" xfId="0" applyBorder="1" applyAlignment="1">
      <alignment horizontal="left" vertical="center"/>
    </xf>
    <xf numFmtId="0" fontId="11" fillId="2" borderId="14" xfId="0" applyFont="1" applyFill="1" applyBorder="1" applyAlignment="1">
      <alignment horizontal="left"/>
    </xf>
    <xf numFmtId="0" fontId="11" fillId="2" borderId="15" xfId="0" applyFont="1" applyFill="1" applyBorder="1" applyAlignment="1">
      <alignment horizontal="left"/>
    </xf>
    <xf numFmtId="0" fontId="6" fillId="8" borderId="13" xfId="1" applyFont="1" applyFill="1" applyBorder="1" applyAlignment="1">
      <alignment horizontal="center" vertical="center" wrapText="1"/>
    </xf>
    <xf numFmtId="0" fontId="8" fillId="16" borderId="13" xfId="0" applyFont="1" applyFill="1" applyBorder="1" applyAlignment="1">
      <alignment horizontal="center" vertical="center" wrapText="1"/>
    </xf>
    <xf numFmtId="0" fontId="40" fillId="13" borderId="83" xfId="0" applyFont="1" applyFill="1" applyBorder="1" applyAlignment="1">
      <alignment horizontal="left" vertical="center" wrapText="1"/>
    </xf>
    <xf numFmtId="0" fontId="40" fillId="13" borderId="32" xfId="0" applyFont="1" applyFill="1" applyBorder="1" applyAlignment="1">
      <alignment horizontal="left" vertical="center" wrapText="1"/>
    </xf>
    <xf numFmtId="0" fontId="33" fillId="13" borderId="160" xfId="0" applyFont="1" applyFill="1" applyBorder="1" applyAlignment="1">
      <alignment horizontal="left" wrapText="1"/>
    </xf>
    <xf numFmtId="0" fontId="33" fillId="13" borderId="186" xfId="0" applyFont="1" applyFill="1" applyBorder="1" applyAlignment="1">
      <alignment horizontal="left" wrapText="1"/>
    </xf>
    <xf numFmtId="0" fontId="41" fillId="7" borderId="69" xfId="3" applyFont="1" applyFill="1" applyBorder="1" applyAlignment="1">
      <alignment horizontal="center" vertical="center" wrapText="1"/>
    </xf>
    <xf numFmtId="0" fontId="41" fillId="7" borderId="13" xfId="3" applyFont="1" applyFill="1" applyBorder="1" applyAlignment="1">
      <alignment horizontal="center" vertical="center" wrapText="1"/>
    </xf>
    <xf numFmtId="0" fontId="41" fillId="7" borderId="71" xfId="3" applyFont="1" applyFill="1" applyBorder="1" applyAlignment="1">
      <alignment horizontal="center" vertical="center" wrapText="1"/>
    </xf>
    <xf numFmtId="0" fontId="41" fillId="16" borderId="70" xfId="0" applyFont="1" applyFill="1" applyBorder="1" applyAlignment="1">
      <alignment horizontal="center" vertical="center" wrapText="1"/>
    </xf>
    <xf numFmtId="0" fontId="41" fillId="16" borderId="79" xfId="0" applyFont="1" applyFill="1" applyBorder="1" applyAlignment="1">
      <alignment horizontal="center" vertical="center" wrapText="1"/>
    </xf>
    <xf numFmtId="0" fontId="41" fillId="16" borderId="72" xfId="0" applyFont="1" applyFill="1" applyBorder="1" applyAlignment="1">
      <alignment horizontal="center" vertical="center" wrapText="1"/>
    </xf>
    <xf numFmtId="0" fontId="40" fillId="13" borderId="160" xfId="11" applyFont="1" applyFill="1" applyBorder="1" applyAlignment="1">
      <alignment horizontal="left" wrapText="1"/>
    </xf>
    <xf numFmtId="0" fontId="40" fillId="13" borderId="186" xfId="11" applyFont="1" applyFill="1" applyBorder="1" applyAlignment="1">
      <alignment horizontal="left" wrapText="1"/>
    </xf>
    <xf numFmtId="0" fontId="40" fillId="13" borderId="83" xfId="11" applyFont="1" applyFill="1" applyBorder="1" applyAlignment="1">
      <alignment vertical="center" wrapText="1"/>
    </xf>
    <xf numFmtId="0" fontId="40" fillId="13" borderId="32" xfId="11" applyFont="1" applyFill="1" applyBorder="1" applyAlignment="1">
      <alignment vertical="center" wrapText="1"/>
    </xf>
    <xf numFmtId="0" fontId="35" fillId="7" borderId="39" xfId="13" applyFont="1" applyFill="1" applyBorder="1" applyAlignment="1">
      <alignment horizontal="center" vertical="center" wrapText="1"/>
    </xf>
    <xf numFmtId="0" fontId="35" fillId="7" borderId="0" xfId="13" applyFont="1" applyFill="1" applyAlignment="1">
      <alignment horizontal="center" vertical="center" wrapText="1"/>
    </xf>
    <xf numFmtId="0" fontId="35" fillId="7" borderId="19" xfId="13" applyFont="1" applyFill="1" applyBorder="1" applyAlignment="1">
      <alignment horizontal="center" vertical="center" wrapText="1"/>
    </xf>
    <xf numFmtId="0" fontId="35" fillId="7" borderId="31" xfId="13" applyFont="1" applyFill="1" applyBorder="1" applyAlignment="1">
      <alignment horizontal="center" vertical="center" wrapText="1"/>
    </xf>
    <xf numFmtId="0" fontId="35" fillId="16" borderId="13" xfId="11" applyFont="1" applyFill="1" applyBorder="1" applyAlignment="1">
      <alignment horizontal="center" vertical="center" wrapText="1"/>
    </xf>
    <xf numFmtId="0" fontId="40" fillId="13" borderId="31" xfId="11" applyFont="1" applyFill="1" applyBorder="1" applyAlignment="1">
      <alignment horizontal="left" vertical="center" wrapText="1"/>
    </xf>
    <xf numFmtId="0" fontId="40" fillId="13" borderId="33" xfId="11" applyFont="1" applyFill="1" applyBorder="1" applyAlignment="1">
      <alignment horizontal="left" vertical="center" wrapText="1"/>
    </xf>
    <xf numFmtId="0" fontId="40" fillId="13" borderId="29" xfId="11" applyFont="1" applyFill="1" applyBorder="1" applyAlignment="1">
      <alignment horizontal="left" vertical="center" wrapText="1"/>
    </xf>
    <xf numFmtId="0" fontId="6" fillId="7" borderId="13" xfId="1" applyFont="1" applyFill="1" applyBorder="1" applyAlignment="1">
      <alignment horizontal="center" vertical="center" wrapText="1"/>
    </xf>
    <xf numFmtId="0" fontId="41" fillId="16" borderId="13" xfId="0" applyFont="1" applyFill="1" applyBorder="1" applyAlignment="1">
      <alignment horizontal="center" vertical="center" wrapText="1"/>
    </xf>
    <xf numFmtId="0" fontId="11" fillId="2" borderId="177" xfId="0" applyFont="1" applyFill="1" applyBorder="1" applyAlignment="1">
      <alignment horizontal="left"/>
    </xf>
    <xf numFmtId="0" fontId="5" fillId="2" borderId="83" xfId="0" applyFont="1" applyFill="1" applyBorder="1" applyAlignment="1">
      <alignment horizontal="left" vertical="center"/>
    </xf>
    <xf numFmtId="0" fontId="41" fillId="16" borderId="177" xfId="0" applyFont="1" applyFill="1" applyBorder="1" applyAlignment="1">
      <alignment horizontal="center" vertical="center" wrapText="1"/>
    </xf>
    <xf numFmtId="0" fontId="41" fillId="16" borderId="182" xfId="0" applyFont="1" applyFill="1" applyBorder="1" applyAlignment="1">
      <alignment horizontal="center" vertical="center" wrapText="1"/>
    </xf>
    <xf numFmtId="0" fontId="41" fillId="15" borderId="177" xfId="0" applyFont="1" applyFill="1" applyBorder="1" applyAlignment="1">
      <alignment horizontal="center" vertical="center" wrapText="1"/>
    </xf>
    <xf numFmtId="0" fontId="41" fillId="15" borderId="182" xfId="0" applyFont="1" applyFill="1" applyBorder="1" applyAlignment="1">
      <alignment horizontal="center" vertical="center" wrapText="1"/>
    </xf>
    <xf numFmtId="0" fontId="11" fillId="2" borderId="31" xfId="0" applyFont="1" applyFill="1" applyBorder="1" applyAlignment="1">
      <alignment vertical="center" wrapText="1"/>
    </xf>
    <xf numFmtId="0" fontId="11" fillId="2" borderId="33" xfId="0" applyFont="1" applyFill="1" applyBorder="1" applyAlignment="1">
      <alignment vertical="center" wrapText="1"/>
    </xf>
    <xf numFmtId="0" fontId="11" fillId="2" borderId="29" xfId="0" applyFont="1" applyFill="1" applyBorder="1" applyAlignment="1">
      <alignment vertical="center" wrapText="1"/>
    </xf>
    <xf numFmtId="0" fontId="2" fillId="2" borderId="14" xfId="3" applyFont="1" applyFill="1" applyBorder="1" applyAlignment="1">
      <alignment horizontal="left" vertical="center"/>
    </xf>
    <xf numFmtId="0" fontId="2" fillId="2" borderId="15" xfId="3" applyFont="1" applyFill="1" applyBorder="1" applyAlignment="1">
      <alignment horizontal="left" vertical="center"/>
    </xf>
    <xf numFmtId="0" fontId="11" fillId="2" borderId="159" xfId="3" applyFont="1" applyFill="1" applyBorder="1" applyAlignment="1">
      <alignment horizontal="left" vertical="center" wrapText="1"/>
    </xf>
    <xf numFmtId="0" fontId="11" fillId="2" borderId="26" xfId="3" applyFont="1" applyFill="1" applyBorder="1" applyAlignment="1">
      <alignment horizontal="left" vertical="center" wrapText="1"/>
    </xf>
    <xf numFmtId="0" fontId="20" fillId="0" borderId="17" xfId="9" applyFont="1" applyBorder="1" applyAlignment="1">
      <alignment horizontal="center" vertical="center" wrapText="1"/>
    </xf>
    <xf numFmtId="0" fontId="20" fillId="0" borderId="23" xfId="9" applyFont="1" applyBorder="1" applyAlignment="1">
      <alignment horizontal="center" vertical="center" wrapText="1"/>
    </xf>
    <xf numFmtId="0" fontId="32" fillId="16" borderId="17" xfId="3" applyFont="1" applyFill="1" applyBorder="1" applyAlignment="1">
      <alignment horizontal="center" vertical="center"/>
    </xf>
    <xf numFmtId="0" fontId="32" fillId="16" borderId="23" xfId="3" applyFont="1" applyFill="1" applyBorder="1" applyAlignment="1">
      <alignment horizontal="center" vertical="center"/>
    </xf>
    <xf numFmtId="0" fontId="33" fillId="13" borderId="177" xfId="0" applyFont="1" applyFill="1" applyBorder="1" applyAlignment="1">
      <alignment horizontal="left" wrapText="1"/>
    </xf>
    <xf numFmtId="0" fontId="41" fillId="15" borderId="33" xfId="0" applyFont="1" applyFill="1" applyBorder="1" applyAlignment="1">
      <alignment horizontal="center" vertical="center" wrapText="1"/>
    </xf>
    <xf numFmtId="0" fontId="41" fillId="15" borderId="34" xfId="0" applyFont="1" applyFill="1" applyBorder="1" applyAlignment="1">
      <alignment horizontal="center" vertical="center" wrapText="1"/>
    </xf>
    <xf numFmtId="0" fontId="41" fillId="16" borderId="182" xfId="0" applyFont="1" applyFill="1" applyBorder="1" applyAlignment="1">
      <alignment vertical="center" wrapText="1"/>
    </xf>
    <xf numFmtId="0" fontId="41" fillId="16" borderId="1" xfId="0" applyFont="1" applyFill="1" applyBorder="1" applyAlignment="1">
      <alignment vertical="center" wrapText="1"/>
    </xf>
    <xf numFmtId="0" fontId="41" fillId="16" borderId="85" xfId="0" applyFont="1" applyFill="1" applyBorder="1" applyAlignment="1">
      <alignment vertical="center" wrapText="1"/>
    </xf>
    <xf numFmtId="0" fontId="41" fillId="15" borderId="184" xfId="0" applyFont="1" applyFill="1" applyBorder="1" applyAlignment="1">
      <alignment horizontal="center" vertical="center" wrapText="1"/>
    </xf>
    <xf numFmtId="0" fontId="41" fillId="15" borderId="3" xfId="0" applyFont="1" applyFill="1" applyBorder="1" applyAlignment="1">
      <alignment horizontal="center" vertical="center" wrapText="1"/>
    </xf>
    <xf numFmtId="0" fontId="41" fillId="15" borderId="84" xfId="0" applyFont="1" applyFill="1" applyBorder="1" applyAlignment="1">
      <alignment horizontal="center" vertical="center" wrapText="1"/>
    </xf>
    <xf numFmtId="0" fontId="41" fillId="16" borderId="1" xfId="0" applyFont="1" applyFill="1" applyBorder="1" applyAlignment="1">
      <alignment horizontal="center" vertical="center" wrapText="1"/>
    </xf>
    <xf numFmtId="0" fontId="41" fillId="16" borderId="85" xfId="0" applyFont="1" applyFill="1" applyBorder="1" applyAlignment="1">
      <alignment horizontal="center" vertical="center" wrapText="1"/>
    </xf>
    <xf numFmtId="0" fontId="11" fillId="2" borderId="177" xfId="0" applyFont="1" applyFill="1" applyBorder="1" applyAlignment="1">
      <alignment horizontal="left" vertical="center" wrapText="1"/>
    </xf>
    <xf numFmtId="0" fontId="11" fillId="2" borderId="178" xfId="0" applyFont="1" applyFill="1" applyBorder="1" applyAlignment="1">
      <alignment horizontal="left" vertical="center" wrapText="1"/>
    </xf>
    <xf numFmtId="0" fontId="11" fillId="2" borderId="174" xfId="3" applyFont="1" applyFill="1" applyBorder="1" applyAlignment="1">
      <alignment horizontal="left" vertical="center" wrapText="1"/>
    </xf>
    <xf numFmtId="0" fontId="11" fillId="2" borderId="175" xfId="3" applyFont="1" applyFill="1" applyBorder="1" applyAlignment="1">
      <alignment horizontal="left" vertical="center" wrapText="1"/>
    </xf>
    <xf numFmtId="0" fontId="0" fillId="16" borderId="70" xfId="0" applyFill="1" applyBorder="1" applyAlignment="1">
      <alignment horizontal="center" vertical="center" wrapText="1"/>
    </xf>
    <xf numFmtId="0" fontId="0" fillId="16" borderId="79" xfId="0" applyFill="1" applyBorder="1" applyAlignment="1">
      <alignment horizontal="center" vertical="center"/>
    </xf>
    <xf numFmtId="0" fontId="0" fillId="16" borderId="72" xfId="0" applyFill="1" applyBorder="1" applyAlignment="1">
      <alignment horizontal="center" vertical="center"/>
    </xf>
    <xf numFmtId="0" fontId="0" fillId="7" borderId="69" xfId="0" applyFill="1" applyBorder="1" applyAlignment="1">
      <alignment horizontal="center" vertical="center"/>
    </xf>
    <xf numFmtId="0" fontId="0" fillId="7" borderId="13" xfId="0" applyFill="1" applyBorder="1" applyAlignment="1">
      <alignment horizontal="center" vertical="center"/>
    </xf>
    <xf numFmtId="0" fontId="0" fillId="7" borderId="71" xfId="0" applyFill="1" applyBorder="1" applyAlignment="1">
      <alignment horizontal="center" vertical="center"/>
    </xf>
    <xf numFmtId="0" fontId="0" fillId="16" borderId="70" xfId="0" applyFill="1" applyBorder="1" applyAlignment="1">
      <alignment horizontal="center" vertical="center"/>
    </xf>
    <xf numFmtId="0" fontId="0" fillId="16" borderId="95" xfId="0" applyFill="1" applyBorder="1" applyAlignment="1">
      <alignment horizontal="center" vertical="center"/>
    </xf>
    <xf numFmtId="0" fontId="0" fillId="7" borderId="17" xfId="0" applyFill="1" applyBorder="1" applyAlignment="1">
      <alignment horizontal="center" vertical="center"/>
    </xf>
    <xf numFmtId="0" fontId="11" fillId="2" borderId="166" xfId="3" applyFont="1" applyFill="1" applyBorder="1" applyAlignment="1">
      <alignment horizontal="left" vertical="center" wrapText="1"/>
    </xf>
    <xf numFmtId="0" fontId="11" fillId="2" borderId="186" xfId="3" applyFont="1" applyFill="1" applyBorder="1" applyAlignment="1">
      <alignment horizontal="left" vertical="center" wrapText="1"/>
    </xf>
    <xf numFmtId="0" fontId="11" fillId="2" borderId="168" xfId="3" applyFont="1" applyFill="1" applyBorder="1" applyAlignment="1">
      <alignment horizontal="left" vertical="center" wrapText="1"/>
    </xf>
    <xf numFmtId="0" fontId="11" fillId="2" borderId="54" xfId="3" applyFont="1" applyFill="1" applyBorder="1" applyAlignment="1">
      <alignment horizontal="left" vertical="center" wrapText="1"/>
    </xf>
    <xf numFmtId="0" fontId="11" fillId="2" borderId="3" xfId="3" applyFont="1" applyFill="1" applyBorder="1" applyAlignment="1">
      <alignment horizontal="left" vertical="center"/>
    </xf>
    <xf numFmtId="0" fontId="11" fillId="2" borderId="183" xfId="3" applyFont="1" applyFill="1" applyBorder="1" applyAlignment="1">
      <alignment horizontal="left" vertical="center" wrapText="1"/>
    </xf>
    <xf numFmtId="0" fontId="11" fillId="2" borderId="77" xfId="3" applyFont="1" applyFill="1" applyBorder="1" applyAlignment="1">
      <alignment horizontal="left" vertical="center" wrapText="1"/>
    </xf>
    <xf numFmtId="0" fontId="11" fillId="2" borderId="190" xfId="3" applyFont="1" applyFill="1" applyBorder="1" applyAlignment="1">
      <alignment horizontal="left" vertical="center" wrapText="1"/>
    </xf>
    <xf numFmtId="0" fontId="0" fillId="7" borderId="15" xfId="0" applyFill="1" applyBorder="1" applyAlignment="1">
      <alignment horizontal="center" vertical="center"/>
    </xf>
    <xf numFmtId="0" fontId="0" fillId="16" borderId="16" xfId="0" applyFill="1" applyBorder="1" applyAlignment="1">
      <alignment horizontal="center" vertical="center"/>
    </xf>
    <xf numFmtId="0" fontId="0" fillId="16" borderId="28" xfId="0" applyFill="1" applyBorder="1" applyAlignment="1">
      <alignment horizontal="center" vertical="center"/>
    </xf>
    <xf numFmtId="0" fontId="0" fillId="16" borderId="29" xfId="0" applyFill="1" applyBorder="1" applyAlignment="1">
      <alignment horizontal="center" vertical="center"/>
    </xf>
    <xf numFmtId="0" fontId="53" fillId="3" borderId="166" xfId="0" applyFont="1" applyFill="1" applyBorder="1" applyAlignment="1">
      <alignment horizontal="left" vertical="center" wrapText="1"/>
    </xf>
    <xf numFmtId="0" fontId="53" fillId="3" borderId="172" xfId="0" applyFont="1" applyFill="1" applyBorder="1" applyAlignment="1">
      <alignment horizontal="left" vertical="center" wrapText="1"/>
    </xf>
    <xf numFmtId="0" fontId="32" fillId="16" borderId="13" xfId="0" applyFont="1" applyFill="1" applyBorder="1" applyAlignment="1">
      <alignment horizontal="center" vertical="center" wrapText="1"/>
    </xf>
    <xf numFmtId="0" fontId="0" fillId="7" borderId="13" xfId="0" applyFill="1" applyBorder="1" applyAlignment="1">
      <alignment horizontal="center" vertical="center" wrapText="1"/>
    </xf>
    <xf numFmtId="0" fontId="11" fillId="2" borderId="13" xfId="3" applyFont="1" applyFill="1" applyBorder="1" applyAlignment="1">
      <alignment horizontal="left" vertical="center" wrapText="1"/>
    </xf>
    <xf numFmtId="0" fontId="11" fillId="2" borderId="13" xfId="3" applyFont="1" applyFill="1" applyBorder="1" applyAlignment="1">
      <alignment horizontal="left" vertical="center"/>
    </xf>
    <xf numFmtId="0" fontId="11" fillId="2" borderId="179" xfId="3" applyFont="1" applyFill="1" applyBorder="1" applyAlignment="1">
      <alignment horizontal="left" vertical="center" wrapText="1"/>
    </xf>
    <xf numFmtId="0" fontId="11" fillId="2" borderId="180" xfId="3" applyFont="1" applyFill="1" applyBorder="1" applyAlignment="1">
      <alignment horizontal="left" vertical="center" wrapText="1"/>
    </xf>
    <xf numFmtId="0" fontId="11" fillId="2" borderId="178" xfId="3" applyFont="1" applyFill="1" applyBorder="1" applyAlignment="1">
      <alignment horizontal="left" vertical="center" wrapText="1"/>
    </xf>
    <xf numFmtId="0" fontId="29" fillId="16" borderId="13" xfId="0" applyFont="1" applyFill="1" applyBorder="1" applyAlignment="1">
      <alignment horizontal="center" vertical="center"/>
    </xf>
    <xf numFmtId="0" fontId="11" fillId="2" borderId="177" xfId="0" applyFont="1" applyFill="1" applyBorder="1" applyAlignment="1">
      <alignment horizontal="left" wrapText="1"/>
    </xf>
    <xf numFmtId="0" fontId="11" fillId="2" borderId="178" xfId="0" applyFont="1" applyFill="1" applyBorder="1" applyAlignment="1">
      <alignment horizontal="left" wrapText="1"/>
    </xf>
    <xf numFmtId="0" fontId="0" fillId="16" borderId="13" xfId="0" applyFill="1" applyBorder="1" applyAlignment="1">
      <alignment horizontal="center" vertical="center" wrapText="1"/>
    </xf>
    <xf numFmtId="0" fontId="11" fillId="2" borderId="194" xfId="0" applyFont="1" applyFill="1" applyBorder="1" applyAlignment="1">
      <alignment horizontal="left" vertical="center" wrapText="1"/>
    </xf>
    <xf numFmtId="0" fontId="11" fillId="2" borderId="195" xfId="0" applyFont="1" applyFill="1" applyBorder="1" applyAlignment="1">
      <alignment horizontal="left" vertical="center" wrapText="1"/>
    </xf>
    <xf numFmtId="0" fontId="11" fillId="2" borderId="195" xfId="3" applyFont="1" applyFill="1" applyBorder="1" applyAlignment="1">
      <alignment horizontal="left" vertical="center" wrapText="1"/>
    </xf>
    <xf numFmtId="0" fontId="11" fillId="2" borderId="196" xfId="3" applyFont="1" applyFill="1" applyBorder="1" applyAlignment="1">
      <alignment horizontal="left" vertical="center" wrapText="1"/>
    </xf>
    <xf numFmtId="0" fontId="11" fillId="2" borderId="197" xfId="3" applyFont="1" applyFill="1" applyBorder="1" applyAlignment="1">
      <alignment horizontal="left" vertical="center" wrapText="1"/>
    </xf>
    <xf numFmtId="0" fontId="18" fillId="7" borderId="77" xfId="1" applyFont="1" applyFill="1" applyBorder="1" applyAlignment="1">
      <alignment horizontal="center" vertical="center" wrapText="1"/>
    </xf>
    <xf numFmtId="0" fontId="18" fillId="7" borderId="0" xfId="1" applyFont="1" applyFill="1" applyAlignment="1">
      <alignment horizontal="center" vertical="center" wrapText="1"/>
    </xf>
    <xf numFmtId="0" fontId="41" fillId="16" borderId="77" xfId="0" applyFont="1" applyFill="1" applyBorder="1" applyAlignment="1">
      <alignment horizontal="center" vertical="center" wrapText="1"/>
    </xf>
    <xf numFmtId="0" fontId="41" fillId="16" borderId="0" xfId="0" applyFont="1" applyFill="1" applyAlignment="1">
      <alignment horizontal="center" vertical="center" wrapText="1"/>
    </xf>
    <xf numFmtId="0" fontId="41" fillId="16" borderId="194" xfId="0" applyFont="1" applyFill="1" applyBorder="1" applyAlignment="1">
      <alignment horizontal="center" vertical="center" wrapText="1"/>
    </xf>
    <xf numFmtId="0" fontId="11" fillId="2" borderId="194" xfId="0" applyFont="1" applyFill="1" applyBorder="1" applyAlignment="1">
      <alignment horizontal="left"/>
    </xf>
    <xf numFmtId="0" fontId="43" fillId="2" borderId="83" xfId="0" applyFont="1" applyFill="1" applyBorder="1" applyAlignment="1">
      <alignment horizontal="left" vertical="center" wrapText="1"/>
    </xf>
    <xf numFmtId="0" fontId="43" fillId="2" borderId="83" xfId="0" applyFont="1" applyFill="1" applyBorder="1" applyAlignment="1">
      <alignment horizontal="left" vertical="center"/>
    </xf>
    <xf numFmtId="0" fontId="41" fillId="15" borderId="194" xfId="0" applyFont="1" applyFill="1" applyBorder="1" applyAlignment="1">
      <alignment horizontal="center" vertical="center" wrapText="1"/>
    </xf>
    <xf numFmtId="0" fontId="32" fillId="16" borderId="17" xfId="3" applyFont="1" applyFill="1" applyBorder="1" applyAlignment="1">
      <alignment horizontal="center" vertical="center" wrapText="1"/>
    </xf>
    <xf numFmtId="0" fontId="32" fillId="16" borderId="23" xfId="3" applyFont="1" applyFill="1" applyBorder="1" applyAlignment="1">
      <alignment horizontal="center" vertical="center" wrapText="1"/>
    </xf>
    <xf numFmtId="0" fontId="0" fillId="7" borderId="23" xfId="0" applyFill="1" applyBorder="1" applyAlignment="1">
      <alignment horizontal="center" vertical="center"/>
    </xf>
    <xf numFmtId="0" fontId="5" fillId="2" borderId="32" xfId="3" applyFont="1" applyFill="1" applyBorder="1" applyAlignment="1">
      <alignment horizontal="left" vertical="center" wrapText="1"/>
    </xf>
    <xf numFmtId="0" fontId="40" fillId="16" borderId="199" xfId="0" applyFont="1" applyFill="1" applyBorder="1" applyAlignment="1">
      <alignment horizontal="center" vertical="center" wrapText="1"/>
    </xf>
    <xf numFmtId="0" fontId="40" fillId="16" borderId="1" xfId="0" applyFont="1" applyFill="1" applyBorder="1" applyAlignment="1">
      <alignment horizontal="center" vertical="center" wrapText="1"/>
    </xf>
    <xf numFmtId="0" fontId="40" fillId="16" borderId="85" xfId="0" applyFont="1" applyFill="1" applyBorder="1" applyAlignment="1">
      <alignment horizontal="center" vertical="center" wrapText="1"/>
    </xf>
    <xf numFmtId="0" fontId="3" fillId="2" borderId="14" xfId="3" applyFont="1" applyFill="1" applyBorder="1" applyAlignment="1">
      <alignment horizontal="left"/>
    </xf>
    <xf numFmtId="0" fontId="3" fillId="2" borderId="15" xfId="3" applyFont="1" applyFill="1" applyBorder="1" applyAlignment="1">
      <alignment horizontal="left"/>
    </xf>
    <xf numFmtId="0" fontId="40" fillId="13" borderId="14" xfId="0" applyFont="1" applyFill="1" applyBorder="1" applyAlignment="1">
      <alignment horizontal="left" vertical="center"/>
    </xf>
    <xf numFmtId="0" fontId="40" fillId="13" borderId="15" xfId="0" applyFont="1" applyFill="1" applyBorder="1" applyAlignment="1">
      <alignment horizontal="left" vertical="center"/>
    </xf>
    <xf numFmtId="0" fontId="41" fillId="15" borderId="199" xfId="0" applyFont="1" applyFill="1" applyBorder="1" applyAlignment="1">
      <alignment horizontal="center" vertical="center" wrapText="1"/>
    </xf>
    <xf numFmtId="0" fontId="41" fillId="15" borderId="1" xfId="0" applyFont="1" applyFill="1" applyBorder="1" applyAlignment="1">
      <alignment horizontal="center" vertical="center" wrapText="1"/>
    </xf>
    <xf numFmtId="0" fontId="41" fillId="15" borderId="113" xfId="0" applyFont="1" applyFill="1" applyBorder="1" applyAlignment="1">
      <alignment horizontal="center" vertical="center" wrapText="1"/>
    </xf>
    <xf numFmtId="0" fontId="41" fillId="16" borderId="113" xfId="0" applyFont="1" applyFill="1" applyBorder="1" applyAlignment="1">
      <alignment horizontal="center" vertical="center" wrapText="1"/>
    </xf>
    <xf numFmtId="0" fontId="0" fillId="16" borderId="13" xfId="1" applyFont="1" applyFill="1" applyBorder="1" applyAlignment="1">
      <alignment horizontal="center" vertical="center" wrapText="1"/>
    </xf>
    <xf numFmtId="0" fontId="11" fillId="2" borderId="194" xfId="3" applyFont="1" applyFill="1" applyBorder="1" applyAlignment="1">
      <alignment horizontal="left" vertical="center"/>
    </xf>
    <xf numFmtId="0" fontId="5" fillId="2" borderId="54" xfId="3" applyFont="1" applyFill="1" applyBorder="1" applyAlignment="1">
      <alignment horizontal="left" vertical="center" wrapText="1"/>
    </xf>
    <xf numFmtId="0" fontId="5" fillId="2" borderId="3" xfId="3" applyFont="1" applyFill="1" applyBorder="1" applyAlignment="1">
      <alignment horizontal="left" vertical="center"/>
    </xf>
    <xf numFmtId="0" fontId="0" fillId="16" borderId="13" xfId="1" applyFont="1" applyFill="1" applyBorder="1" applyAlignment="1">
      <alignment horizontal="center" vertical="center"/>
    </xf>
    <xf numFmtId="0" fontId="0" fillId="16" borderId="17" xfId="1" applyFont="1" applyFill="1" applyBorder="1" applyAlignment="1">
      <alignment horizontal="center" vertical="center"/>
    </xf>
    <xf numFmtId="0" fontId="35" fillId="7" borderId="13" xfId="0" applyFont="1" applyFill="1" applyBorder="1" applyAlignment="1">
      <alignment horizontal="center" vertical="center" wrapText="1"/>
    </xf>
    <xf numFmtId="0" fontId="35" fillId="7" borderId="17" xfId="0" applyFont="1" applyFill="1" applyBorder="1" applyAlignment="1">
      <alignment horizontal="center" vertical="center" wrapText="1"/>
    </xf>
    <xf numFmtId="0" fontId="3" fillId="2" borderId="83" xfId="3" applyFont="1" applyFill="1" applyBorder="1" applyAlignment="1">
      <alignment vertical="center" wrapText="1"/>
    </xf>
    <xf numFmtId="0" fontId="3" fillId="2" borderId="32" xfId="3" applyFont="1" applyFill="1" applyBorder="1" applyAlignment="1">
      <alignment vertical="center" wrapText="1"/>
    </xf>
    <xf numFmtId="0" fontId="3" fillId="2" borderId="104" xfId="3" applyFont="1" applyFill="1" applyBorder="1" applyAlignment="1">
      <alignment vertical="center" wrapText="1"/>
    </xf>
    <xf numFmtId="0" fontId="5" fillId="2" borderId="0" xfId="3" applyFont="1" applyFill="1" applyAlignment="1">
      <alignment horizontal="left" vertical="center" wrapText="1"/>
    </xf>
    <xf numFmtId="0" fontId="41" fillId="15" borderId="13" xfId="0" applyFont="1" applyFill="1" applyBorder="1" applyAlignment="1">
      <alignment horizontal="center" vertical="center" wrapText="1"/>
    </xf>
    <xf numFmtId="0" fontId="41" fillId="15" borderId="17" xfId="0" applyFont="1" applyFill="1" applyBorder="1" applyAlignment="1">
      <alignment horizontal="center" vertical="center" wrapText="1"/>
    </xf>
    <xf numFmtId="0" fontId="0" fillId="16" borderId="17" xfId="1" applyFont="1" applyFill="1" applyBorder="1" applyAlignment="1">
      <alignment horizontal="center" vertical="center" wrapText="1"/>
    </xf>
    <xf numFmtId="0" fontId="41" fillId="7" borderId="13" xfId="0" applyFont="1" applyFill="1" applyBorder="1" applyAlignment="1">
      <alignment horizontal="center" vertical="center" wrapText="1"/>
    </xf>
    <xf numFmtId="0" fontId="32" fillId="16" borderId="13" xfId="3" applyFont="1" applyFill="1" applyBorder="1" applyAlignment="1">
      <alignment horizontal="center" vertical="center" wrapText="1"/>
    </xf>
    <xf numFmtId="0" fontId="20" fillId="0" borderId="13" xfId="9" applyFont="1" applyBorder="1" applyAlignment="1">
      <alignment horizontal="center" vertical="center" wrapText="1"/>
    </xf>
    <xf numFmtId="0" fontId="32" fillId="16" borderId="13" xfId="3" applyFont="1" applyFill="1" applyBorder="1" applyAlignment="1">
      <alignment horizontal="center" vertical="center"/>
    </xf>
    <xf numFmtId="0" fontId="3" fillId="2" borderId="105" xfId="3" applyFont="1" applyFill="1" applyBorder="1" applyAlignment="1">
      <alignment vertical="center" wrapText="1"/>
    </xf>
    <xf numFmtId="0" fontId="7" fillId="0" borderId="77" xfId="9" applyFont="1" applyBorder="1" applyAlignment="1">
      <alignment horizontal="center" vertical="center"/>
    </xf>
    <xf numFmtId="0" fontId="7" fillId="0" borderId="0" xfId="9" applyFont="1" applyAlignment="1">
      <alignment horizontal="center" vertical="center"/>
    </xf>
    <xf numFmtId="0" fontId="32" fillId="16" borderId="77" xfId="3" applyFont="1" applyFill="1" applyBorder="1" applyAlignment="1">
      <alignment horizontal="center" vertical="center" wrapText="1"/>
    </xf>
    <xf numFmtId="0" fontId="32" fillId="16" borderId="0" xfId="3" applyFont="1" applyFill="1" applyAlignment="1">
      <alignment horizontal="center" vertical="center" wrapText="1"/>
    </xf>
    <xf numFmtId="0" fontId="3" fillId="2" borderId="194" xfId="3" applyFont="1" applyFill="1" applyBorder="1" applyAlignment="1">
      <alignment horizontal="left"/>
    </xf>
    <xf numFmtId="0" fontId="7" fillId="9" borderId="77" xfId="3" applyFont="1" applyFill="1" applyBorder="1" applyAlignment="1">
      <alignment horizontal="center" vertical="center"/>
    </xf>
    <xf numFmtId="0" fontId="7" fillId="9" borderId="32" xfId="3" applyFont="1" applyFill="1" applyBorder="1" applyAlignment="1">
      <alignment horizontal="center" vertical="center"/>
    </xf>
    <xf numFmtId="0" fontId="32" fillId="16" borderId="161" xfId="3" applyFont="1" applyFill="1" applyBorder="1" applyAlignment="1">
      <alignment horizontal="center" vertical="center"/>
    </xf>
    <xf numFmtId="0" fontId="32" fillId="16" borderId="86" xfId="3" applyFont="1" applyFill="1" applyBorder="1" applyAlignment="1">
      <alignment horizontal="center" vertical="center"/>
    </xf>
    <xf numFmtId="0" fontId="20" fillId="0" borderId="30" xfId="9" applyFont="1" applyBorder="1" applyAlignment="1">
      <alignment horizontal="center" vertical="center" wrapText="1"/>
    </xf>
    <xf numFmtId="0" fontId="20" fillId="0" borderId="19" xfId="9" applyFont="1" applyBorder="1" applyAlignment="1">
      <alignment horizontal="center" vertical="center" wrapText="1"/>
    </xf>
    <xf numFmtId="0" fontId="32" fillId="16" borderId="18" xfId="3" applyFont="1" applyFill="1" applyBorder="1" applyAlignment="1">
      <alignment horizontal="center" vertical="center" wrapText="1"/>
    </xf>
    <xf numFmtId="0" fontId="2" fillId="2" borderId="14" xfId="3" applyFont="1" applyFill="1" applyBorder="1" applyAlignment="1">
      <alignment horizontal="left"/>
    </xf>
    <xf numFmtId="0" fontId="2" fillId="2" borderId="15" xfId="3" applyFont="1" applyFill="1" applyBorder="1" applyAlignment="1">
      <alignment horizontal="left"/>
    </xf>
    <xf numFmtId="0" fontId="11" fillId="2" borderId="32" xfId="3" applyFont="1" applyFill="1" applyBorder="1" applyAlignment="1">
      <alignment horizontal="left" vertical="center" wrapText="1"/>
    </xf>
    <xf numFmtId="0" fontId="20" fillId="18" borderId="77" xfId="9" applyFont="1" applyFill="1" applyBorder="1" applyAlignment="1">
      <alignment horizontal="center" vertical="center" wrapText="1"/>
    </xf>
    <xf numFmtId="0" fontId="20" fillId="18" borderId="0" xfId="9" applyFont="1" applyFill="1" applyAlignment="1">
      <alignment horizontal="center" vertical="center" wrapText="1"/>
    </xf>
    <xf numFmtId="0" fontId="32" fillId="16" borderId="199" xfId="3" applyFont="1" applyFill="1" applyBorder="1" applyAlignment="1">
      <alignment horizontal="center" vertical="center"/>
    </xf>
    <xf numFmtId="0" fontId="32" fillId="16" borderId="1" xfId="3" applyFont="1" applyFill="1" applyBorder="1" applyAlignment="1">
      <alignment horizontal="center" vertical="center"/>
    </xf>
    <xf numFmtId="0" fontId="20" fillId="7" borderId="30" xfId="3" applyFont="1" applyFill="1" applyBorder="1" applyAlignment="1">
      <alignment horizontal="center" vertical="center"/>
    </xf>
    <xf numFmtId="0" fontId="20" fillId="7" borderId="19" xfId="3" applyFont="1" applyFill="1" applyBorder="1" applyAlignment="1">
      <alignment horizontal="center" vertical="center"/>
    </xf>
    <xf numFmtId="0" fontId="20" fillId="7" borderId="31" xfId="3" applyFont="1" applyFill="1" applyBorder="1" applyAlignment="1">
      <alignment horizontal="center" vertical="center"/>
    </xf>
    <xf numFmtId="0" fontId="20" fillId="21" borderId="17" xfId="3" applyFont="1" applyFill="1" applyBorder="1" applyAlignment="1">
      <alignment horizontal="center" vertical="center" wrapText="1"/>
    </xf>
    <xf numFmtId="0" fontId="20" fillId="21" borderId="18" xfId="3" applyFont="1" applyFill="1" applyBorder="1" applyAlignment="1">
      <alignment horizontal="center" vertical="center" wrapText="1"/>
    </xf>
    <xf numFmtId="0" fontId="20" fillId="21" borderId="23" xfId="3" applyFont="1" applyFill="1" applyBorder="1" applyAlignment="1">
      <alignment horizontal="center" vertical="center" wrapText="1"/>
    </xf>
    <xf numFmtId="0" fontId="11" fillId="2" borderId="195" xfId="1" applyFont="1" applyFill="1" applyBorder="1" applyAlignment="1">
      <alignment horizontal="center" vertical="center" wrapText="1"/>
    </xf>
    <xf numFmtId="0" fontId="11" fillId="2" borderId="198" xfId="1" applyFont="1" applyFill="1" applyBorder="1" applyAlignment="1">
      <alignment horizontal="center" vertical="center" wrapText="1"/>
    </xf>
    <xf numFmtId="0" fontId="20" fillId="7" borderId="3" xfId="3" applyFont="1" applyFill="1" applyBorder="1" applyAlignment="1">
      <alignment horizontal="center" vertical="center"/>
    </xf>
    <xf numFmtId="164" fontId="16" fillId="16" borderId="1" xfId="3" applyNumberFormat="1" applyFill="1" applyBorder="1" applyAlignment="1">
      <alignment horizontal="center" vertical="center"/>
    </xf>
    <xf numFmtId="0" fontId="6" fillId="7" borderId="15" xfId="1" applyFont="1" applyFill="1" applyBorder="1" applyAlignment="1">
      <alignment horizontal="center" vertical="center" wrapText="1"/>
    </xf>
    <xf numFmtId="0" fontId="6" fillId="7" borderId="16" xfId="1" applyFont="1" applyFill="1" applyBorder="1" applyAlignment="1">
      <alignment horizontal="center" vertical="center" wrapText="1"/>
    </xf>
    <xf numFmtId="0" fontId="6" fillId="16" borderId="13" xfId="1" applyFont="1" applyFill="1" applyBorder="1" applyAlignment="1">
      <alignment horizontal="center" vertical="center" wrapText="1"/>
    </xf>
    <xf numFmtId="0" fontId="6" fillId="16" borderId="17" xfId="1" applyFont="1" applyFill="1" applyBorder="1" applyAlignment="1">
      <alignment horizontal="center" vertical="center" wrapText="1"/>
    </xf>
    <xf numFmtId="0" fontId="41" fillId="16" borderId="17" xfId="0" applyFont="1" applyFill="1" applyBorder="1" applyAlignment="1">
      <alignment horizontal="center" vertical="center" wrapText="1"/>
    </xf>
    <xf numFmtId="0" fontId="41" fillId="16" borderId="18" xfId="0" applyFont="1" applyFill="1" applyBorder="1" applyAlignment="1">
      <alignment horizontal="center" vertical="center" wrapText="1"/>
    </xf>
    <xf numFmtId="0" fontId="41" fillId="16" borderId="23" xfId="0" applyFont="1" applyFill="1" applyBorder="1" applyAlignment="1">
      <alignment horizontal="center" vertical="center" wrapText="1"/>
    </xf>
    <xf numFmtId="0" fontId="41" fillId="15" borderId="18" xfId="0" applyFont="1" applyFill="1" applyBorder="1" applyAlignment="1">
      <alignment horizontal="center" vertical="center" wrapText="1"/>
    </xf>
    <xf numFmtId="0" fontId="41" fillId="15" borderId="23" xfId="0" applyFont="1" applyFill="1" applyBorder="1" applyAlignment="1">
      <alignment horizontal="center" vertical="center" wrapText="1"/>
    </xf>
    <xf numFmtId="0" fontId="11" fillId="2" borderId="195" xfId="0" applyFont="1" applyFill="1" applyBorder="1" applyAlignment="1">
      <alignment horizontal="left"/>
    </xf>
    <xf numFmtId="0" fontId="11" fillId="2" borderId="198" xfId="0" applyFont="1" applyFill="1" applyBorder="1" applyAlignment="1">
      <alignment horizontal="left"/>
    </xf>
    <xf numFmtId="0" fontId="20" fillId="7" borderId="13" xfId="9" applyFont="1" applyFill="1" applyBorder="1" applyAlignment="1">
      <alignment horizontal="center" vertical="center" wrapText="1"/>
    </xf>
    <xf numFmtId="0" fontId="14" fillId="16" borderId="13" xfId="1" applyFont="1" applyFill="1" applyBorder="1" applyAlignment="1">
      <alignment horizontal="center" vertical="center" wrapText="1"/>
    </xf>
    <xf numFmtId="0" fontId="6" fillId="0" borderId="3" xfId="1" applyFont="1" applyBorder="1" applyAlignment="1">
      <alignment horizontal="center" vertical="center" wrapText="1"/>
    </xf>
    <xf numFmtId="0" fontId="29" fillId="16" borderId="13" xfId="0" applyFont="1" applyFill="1" applyBorder="1" applyAlignment="1">
      <alignment horizontal="center" vertical="center" wrapText="1"/>
    </xf>
    <xf numFmtId="0" fontId="50" fillId="3" borderId="1" xfId="0" applyFont="1" applyFill="1" applyBorder="1" applyAlignment="1">
      <alignment horizontal="center" vertical="center" wrapText="1"/>
    </xf>
    <xf numFmtId="0" fontId="43" fillId="2" borderId="14" xfId="0" applyFont="1" applyFill="1" applyBorder="1" applyAlignment="1">
      <alignment vertical="center" wrapText="1"/>
    </xf>
    <xf numFmtId="0" fontId="43" fillId="2" borderId="34" xfId="0" applyFont="1" applyFill="1" applyBorder="1" applyAlignment="1">
      <alignment vertical="center" wrapText="1"/>
    </xf>
    <xf numFmtId="0" fontId="43" fillId="2" borderId="15" xfId="0" applyFont="1" applyFill="1" applyBorder="1" applyAlignment="1">
      <alignment vertical="center" wrapText="1"/>
    </xf>
    <xf numFmtId="0" fontId="0" fillId="0" borderId="130" xfId="0" applyBorder="1" applyAlignment="1">
      <alignment horizontal="center" vertical="center"/>
    </xf>
    <xf numFmtId="0" fontId="0" fillId="0" borderId="131" xfId="0" applyBorder="1" applyAlignment="1">
      <alignment horizontal="center" vertical="center"/>
    </xf>
    <xf numFmtId="0" fontId="0" fillId="0" borderId="132" xfId="0" applyBorder="1" applyAlignment="1">
      <alignment horizontal="center" vertical="center"/>
    </xf>
    <xf numFmtId="0" fontId="11" fillId="2" borderId="53" xfId="3" applyFont="1" applyFill="1" applyBorder="1" applyAlignment="1">
      <alignment horizontal="left" vertical="center"/>
    </xf>
    <xf numFmtId="0" fontId="11" fillId="2" borderId="102" xfId="3" applyFont="1" applyFill="1" applyBorder="1" applyAlignment="1">
      <alignment horizontal="left" vertical="center"/>
    </xf>
    <xf numFmtId="0" fontId="11" fillId="2" borderId="53" xfId="3" applyFont="1" applyFill="1" applyBorder="1" applyAlignment="1">
      <alignment horizontal="center" vertical="center"/>
    </xf>
    <xf numFmtId="0" fontId="11" fillId="2" borderId="106" xfId="3" applyFont="1" applyFill="1" applyBorder="1" applyAlignment="1">
      <alignment horizontal="center" vertical="center"/>
    </xf>
    <xf numFmtId="0" fontId="14" fillId="0" borderId="127" xfId="0" applyFont="1" applyBorder="1" applyAlignment="1">
      <alignment horizontal="left" vertical="center"/>
    </xf>
    <xf numFmtId="0" fontId="14" fillId="0" borderId="128" xfId="0" applyFont="1" applyBorder="1" applyAlignment="1">
      <alignment horizontal="left" vertical="center"/>
    </xf>
    <xf numFmtId="0" fontId="14" fillId="0" borderId="129" xfId="0" applyFont="1" applyBorder="1" applyAlignment="1">
      <alignment horizontal="left" vertical="center"/>
    </xf>
    <xf numFmtId="0" fontId="18" fillId="0" borderId="128" xfId="1" applyFont="1" applyBorder="1" applyAlignment="1">
      <alignment horizontal="left" vertical="center" wrapText="1"/>
    </xf>
    <xf numFmtId="0" fontId="71" fillId="0" borderId="13" xfId="0" applyFont="1" applyBorder="1" applyAlignment="1">
      <alignment horizontal="left" vertical="center" wrapText="1"/>
    </xf>
    <xf numFmtId="0" fontId="36" fillId="24" borderId="4" xfId="0" applyFont="1" applyFill="1" applyBorder="1" applyAlignment="1">
      <alignment horizontal="left" vertical="center"/>
    </xf>
    <xf numFmtId="0" fontId="36" fillId="24" borderId="7" xfId="0" applyFont="1" applyFill="1" applyBorder="1" applyAlignment="1">
      <alignment horizontal="left" vertical="center"/>
    </xf>
    <xf numFmtId="0" fontId="36" fillId="24" borderId="114" xfId="0" applyFont="1" applyFill="1" applyBorder="1" applyAlignment="1">
      <alignment horizontal="left" vertical="center"/>
    </xf>
    <xf numFmtId="0" fontId="11" fillId="2" borderId="97" xfId="3" applyFont="1" applyFill="1" applyBorder="1" applyAlignment="1">
      <alignment horizontal="left" vertical="center"/>
    </xf>
    <xf numFmtId="0" fontId="11" fillId="2" borderId="115" xfId="3" applyFont="1" applyFill="1" applyBorder="1" applyAlignment="1">
      <alignment horizontal="left" vertical="center"/>
    </xf>
    <xf numFmtId="0" fontId="36" fillId="0" borderId="4" xfId="0" applyFont="1" applyBorder="1" applyAlignment="1">
      <alignment horizontal="left" vertical="center"/>
    </xf>
    <xf numFmtId="0" fontId="36" fillId="0" borderId="7" xfId="0" applyFont="1" applyBorder="1" applyAlignment="1">
      <alignment horizontal="left" vertical="center"/>
    </xf>
    <xf numFmtId="0" fontId="36" fillId="0" borderId="114" xfId="0" applyFont="1" applyBorder="1" applyAlignment="1">
      <alignment horizontal="left" vertical="center"/>
    </xf>
    <xf numFmtId="0" fontId="3" fillId="0" borderId="4" xfId="0" applyFont="1" applyBorder="1" applyAlignment="1">
      <alignment horizontal="left" vertical="center"/>
    </xf>
    <xf numFmtId="0" fontId="3" fillId="0" borderId="7" xfId="0" applyFont="1" applyBorder="1" applyAlignment="1">
      <alignment horizontal="left" vertical="center"/>
    </xf>
    <xf numFmtId="0" fontId="11" fillId="3" borderId="167" xfId="3" applyFont="1" applyFill="1" applyBorder="1" applyAlignment="1">
      <alignment vertical="center" wrapText="1"/>
    </xf>
    <xf numFmtId="0" fontId="2" fillId="0" borderId="4" xfId="0" applyFont="1" applyBorder="1" applyAlignment="1">
      <alignment horizontal="left" vertical="center"/>
    </xf>
    <xf numFmtId="0" fontId="2" fillId="0" borderId="7" xfId="0" applyFont="1" applyBorder="1" applyAlignment="1">
      <alignment horizontal="left" vertical="center"/>
    </xf>
    <xf numFmtId="0" fontId="0" fillId="0" borderId="7" xfId="0" applyBorder="1" applyAlignment="1">
      <alignment horizontal="left" vertical="center"/>
    </xf>
    <xf numFmtId="0" fontId="11" fillId="2" borderId="91" xfId="3" applyFont="1" applyFill="1" applyBorder="1" applyAlignment="1">
      <alignment horizontal="left" vertical="center"/>
    </xf>
    <xf numFmtId="0" fontId="11" fillId="2" borderId="74" xfId="3" applyFont="1" applyFill="1" applyBorder="1" applyAlignment="1">
      <alignment horizontal="left" vertical="center"/>
    </xf>
    <xf numFmtId="0" fontId="11" fillId="2" borderId="91" xfId="3" applyFont="1" applyFill="1" applyBorder="1" applyAlignment="1">
      <alignment horizontal="center" vertical="center"/>
    </xf>
    <xf numFmtId="0" fontId="11" fillId="2" borderId="74" xfId="3" applyFont="1" applyFill="1" applyBorder="1" applyAlignment="1">
      <alignment horizontal="center" vertical="center"/>
    </xf>
    <xf numFmtId="0" fontId="11" fillId="2" borderId="99" xfId="3" applyFont="1" applyFill="1" applyBorder="1" applyAlignment="1">
      <alignment horizontal="center" vertical="center"/>
    </xf>
    <xf numFmtId="0" fontId="0" fillId="0" borderId="68" xfId="0" applyBorder="1" applyAlignment="1">
      <alignment horizontal="center" vertical="center" wrapText="1"/>
    </xf>
    <xf numFmtId="0" fontId="0" fillId="0" borderId="78" xfId="0" applyBorder="1" applyAlignment="1">
      <alignment horizontal="center" vertical="center" wrapText="1"/>
    </xf>
    <xf numFmtId="0" fontId="0" fillId="0" borderId="94" xfId="0" applyBorder="1" applyAlignment="1">
      <alignment horizontal="center" vertical="center" wrapText="1"/>
    </xf>
    <xf numFmtId="0" fontId="0" fillId="0" borderId="144" xfId="0" applyBorder="1" applyAlignment="1">
      <alignment horizontal="center" vertical="center" wrapText="1"/>
    </xf>
    <xf numFmtId="0" fontId="0" fillId="0" borderId="141" xfId="0" applyBorder="1" applyAlignment="1">
      <alignment horizontal="center" vertical="center" wrapText="1"/>
    </xf>
    <xf numFmtId="0" fontId="11" fillId="2" borderId="136" xfId="3" applyFont="1" applyFill="1" applyBorder="1" applyAlignment="1">
      <alignment horizontal="center" vertical="center"/>
    </xf>
    <xf numFmtId="0" fontId="11" fillId="2" borderId="137" xfId="3" applyFont="1" applyFill="1" applyBorder="1" applyAlignment="1">
      <alignment horizontal="center" vertical="center"/>
    </xf>
    <xf numFmtId="0" fontId="11" fillId="2" borderId="136" xfId="3" applyFont="1" applyFill="1" applyBorder="1" applyAlignment="1">
      <alignment horizontal="left" vertical="center"/>
    </xf>
    <xf numFmtId="0" fontId="11" fillId="2" borderId="137" xfId="3" applyFont="1" applyFill="1" applyBorder="1" applyAlignment="1">
      <alignment horizontal="left" vertical="center"/>
    </xf>
    <xf numFmtId="0" fontId="2" fillId="0" borderId="30" xfId="0" applyFont="1" applyBorder="1" applyAlignment="1">
      <alignment horizontal="left" vertical="center"/>
    </xf>
    <xf numFmtId="0" fontId="2" fillId="0" borderId="31" xfId="0" applyFont="1" applyBorder="1" applyAlignment="1">
      <alignment horizontal="left" vertical="center"/>
    </xf>
    <xf numFmtId="0" fontId="3" fillId="0" borderId="30" xfId="0" applyFont="1" applyBorder="1" applyAlignment="1">
      <alignment horizontal="left" vertical="center"/>
    </xf>
    <xf numFmtId="0" fontId="3" fillId="0" borderId="19" xfId="0" applyFont="1" applyBorder="1" applyAlignment="1">
      <alignment horizontal="left" vertical="center"/>
    </xf>
    <xf numFmtId="0" fontId="2" fillId="0" borderId="19" xfId="0" applyFont="1" applyBorder="1" applyAlignment="1">
      <alignment horizontal="left" vertical="center"/>
    </xf>
    <xf numFmtId="0" fontId="2" fillId="0" borderId="4" xfId="0" applyFont="1" applyBorder="1" applyAlignment="1">
      <alignment vertical="center"/>
    </xf>
    <xf numFmtId="0" fontId="0" fillId="0" borderId="7" xfId="0" applyBorder="1" applyAlignment="1"/>
    <xf numFmtId="0" fontId="0" fillId="0" borderId="114" xfId="0" applyBorder="1" applyAlignment="1"/>
    <xf numFmtId="0" fontId="2" fillId="0" borderId="56" xfId="0" applyFont="1" applyBorder="1" applyAlignment="1">
      <alignment horizontal="center" vertical="center"/>
    </xf>
    <xf numFmtId="0" fontId="2" fillId="0" borderId="54" xfId="0" applyFont="1" applyBorder="1" applyAlignment="1">
      <alignment horizontal="center" vertical="center"/>
    </xf>
    <xf numFmtId="0" fontId="2" fillId="0" borderId="57" xfId="0" applyFont="1" applyBorder="1" applyAlignment="1">
      <alignment horizontal="center" vertical="center"/>
    </xf>
    <xf numFmtId="0" fontId="11" fillId="2" borderId="102" xfId="3" applyFont="1" applyFill="1" applyBorder="1" applyAlignment="1">
      <alignment horizontal="center" vertical="center"/>
    </xf>
  </cellXfs>
  <cellStyles count="14">
    <cellStyle name="Bad" xfId="8" builtinId="27"/>
    <cellStyle name="Bad 6" xfId="2" xr:uid="{00000000-0005-0000-0000-000000000000}"/>
    <cellStyle name="Explanatory Text 2" xfId="4" xr:uid="{00000000-0005-0000-0000-000001000000}"/>
    <cellStyle name="Good" xfId="10" builtinId="26"/>
    <cellStyle name="Hyperlink" xfId="6" builtinId="8"/>
    <cellStyle name="Hyperlink 2" xfId="7" xr:uid="{6CEAEE96-5B33-452F-A6F4-1E32571CD93B}"/>
    <cellStyle name="Hyperlink 2 2" xfId="12" xr:uid="{57CBD814-1715-494B-9ADB-217B64E5DB34}"/>
    <cellStyle name="Normal" xfId="0" builtinId="0"/>
    <cellStyle name="Normal 2" xfId="3" xr:uid="{00000000-0005-0000-0000-000004000000}"/>
    <cellStyle name="Normal 2 2" xfId="1" xr:uid="{00000000-0005-0000-0000-000005000000}"/>
    <cellStyle name="Normal 2 2 2" xfId="9" xr:uid="{9DB5D48E-CE09-4AC3-B774-E576D3E12341}"/>
    <cellStyle name="Normal 2 2 3" xfId="13" xr:uid="{8BBF466E-645A-4D46-99F1-523170CCC550}"/>
    <cellStyle name="Normal 2 3" xfId="11" xr:uid="{8D957400-955D-4BB3-913D-D7D96F8892CD}"/>
    <cellStyle name="Output" xfId="5" builtinId="21"/>
  </cellStyles>
  <dxfs count="807">
    <dxf>
      <alignment horizontal="left" vertical="bottom"/>
    </dxf>
    <dxf>
      <alignment horizontal="left" vertical="bottom"/>
    </dxf>
    <dxf>
      <alignment horizontal="left" vertical="bottom" textRotation="0" wrapText="1" indent="0" justifyLastLine="0" shrinkToFit="0" readingOrder="0"/>
    </dxf>
    <dxf>
      <numFmt numFmtId="166" formatCode="yyyymmdd"/>
      <alignment horizontal="left" vertical="bottom"/>
    </dxf>
    <dxf>
      <numFmt numFmtId="30" formatCode="@"/>
      <alignment horizontal="left" vertical="bottom"/>
    </dxf>
    <dxf>
      <alignment horizontal="left" vertical="bottom"/>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charset val="238"/>
        <scheme val="minor"/>
      </font>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theme="9" tint="0.39997558519241921"/>
        </top>
      </border>
    </dxf>
    <dxf>
      <alignment horizontal="left" vertical="bottom" textRotation="0" wrapText="0" indent="0" justifyLastLine="0" shrinkToFit="0" readingOrder="0"/>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theme="9" tint="0.39997558519241921"/>
        </top>
      </border>
    </dxf>
    <dxf>
      <alignment horizontal="left" vertical="bottom" textRotation="0" wrapText="0" indent="0" justifyLastLine="0" shrinkToFit="0" readingOrder="0"/>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theme="9" tint="0.39997558519241921"/>
        </top>
      </border>
    </dxf>
    <dxf>
      <alignment horizontal="left" vertical="bottom" textRotation="0" wrapText="0" indent="0" justifyLastLine="0" shrinkToFit="0" readingOrder="0"/>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theme="9" tint="0.39997558519241921"/>
        </top>
      </border>
    </dxf>
    <dxf>
      <alignment horizontal="left" vertical="bottom" textRotation="0" wrapText="0" indent="0" justifyLastLine="0" shrinkToFit="0" readingOrder="0"/>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theme="9" tint="0.39997558519241921"/>
        </top>
      </border>
    </dxf>
    <dxf>
      <alignment horizontal="left" vertical="bottom" textRotation="0" wrapText="0" indent="0" justifyLastLine="0" shrinkToFit="0" readingOrder="0"/>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theme="9" tint="0.39997558519241921"/>
        </top>
      </border>
    </dxf>
    <dxf>
      <alignment horizontal="left" vertical="bottom" textRotation="0" wrapText="0" indent="0" justifyLastLine="0" shrinkToFit="0" readingOrder="0"/>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dxf>
    <dxf>
      <alignment horizontal="left"/>
    </dxf>
    <dxf>
      <alignment horizontal="left"/>
    </dxf>
    <dxf>
      <alignment horizontal="left"/>
    </dxf>
    <dxf>
      <numFmt numFmtId="166" formatCode="yyyymmdd"/>
      <alignment horizontal="left"/>
    </dxf>
    <dxf>
      <numFmt numFmtId="30" formatCode="@"/>
      <alignment horizontal="left"/>
    </dxf>
    <dxf>
      <alignment horizontal="left"/>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alignment horizontal="left"/>
    </dxf>
    <dxf>
      <alignment horizontal="left"/>
    </dxf>
    <dxf>
      <alignment horizontal="left"/>
    </dxf>
    <dxf>
      <numFmt numFmtId="166" formatCode="yyyymmdd"/>
      <alignment horizontal="left"/>
    </dxf>
    <dxf>
      <numFmt numFmtId="30" formatCode="@"/>
      <alignment horizontal="left" vertical="bottom" textRotation="0" wrapText="0" indent="0" justifyLastLine="0" shrinkToFit="0" readingOrder="0"/>
    </dxf>
    <dxf>
      <border outline="0">
        <top style="thin">
          <color theme="9" tint="0.39997558519241921"/>
        </top>
      </border>
    </dxf>
    <dxf>
      <alignment horizontal="left"/>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dxf>
    <dxf>
      <border outline="0">
        <bottom style="thin">
          <color rgb="FF000000"/>
        </bottom>
      </border>
    </dxf>
    <dxf>
      <font>
        <b/>
        <i val="0"/>
        <strike val="0"/>
        <condense val="0"/>
        <extend val="0"/>
        <outline val="0"/>
        <shadow val="0"/>
        <u val="none"/>
        <vertAlign val="baseline"/>
        <sz val="10"/>
        <color theme="1"/>
        <name val="Calibri"/>
        <family val="2"/>
        <charset val="238"/>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alignment horizontal="left"/>
    </dxf>
    <dxf>
      <alignment horizontal="left"/>
    </dxf>
    <dxf>
      <alignment horizontal="left" vertical="bottom" textRotation="0" wrapText="1" indent="0" justifyLastLine="0" shrinkToFit="0" readingOrder="0"/>
    </dxf>
    <dxf>
      <numFmt numFmtId="166" formatCode="yyyymmdd"/>
      <alignment horizontal="left"/>
    </dxf>
    <dxf>
      <numFmt numFmtId="30" formatCode="@"/>
      <alignment horizontal="left"/>
    </dxf>
    <dxf>
      <alignment horizontal="left"/>
    </dxf>
    <dxf>
      <font>
        <b val="0"/>
        <i val="0"/>
        <strike val="0"/>
        <condense val="0"/>
        <extend val="0"/>
        <outline val="0"/>
        <shadow val="0"/>
        <u val="none"/>
        <vertAlign val="baseline"/>
        <sz val="10"/>
        <color theme="1"/>
        <name val="Calibri"/>
        <family val="2"/>
        <charset val="238"/>
        <scheme val="minor"/>
      </font>
      <fill>
        <patternFill patternType="none">
          <fgColor indexed="64"/>
          <bgColor theme="0" tint="-0.14999847407452621"/>
        </patternFill>
      </fill>
      <alignment horizontal="center" vertical="center" textRotation="0" wrapText="1"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theme="0" tint="-0.14999847407452621"/>
        </patternFill>
      </fill>
      <alignment horizontal="center" vertical="center" textRotation="0" wrapText="1"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theme="0" tint="-0.14999847407452621"/>
        </patternFill>
      </fill>
      <alignment horizontal="center" vertical="center" textRotation="0" wrapText="1"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theme="0" tint="-0.14999847407452621"/>
        </patternFill>
      </fill>
      <alignment horizontal="center" vertical="center" textRotation="0" wrapText="1" indent="0" justifyLastLine="0" shrinkToFit="0" readingOrder="0"/>
      <border diagonalUp="0" diagonalDown="0">
        <left style="thin">
          <color indexed="64"/>
        </left>
        <right style="thin">
          <color indexed="64"/>
        </right>
        <top/>
        <bottom/>
        <vertical/>
        <horizontal/>
      </border>
    </dxf>
    <dxf>
      <fill>
        <patternFill patternType="none"/>
      </fill>
      <alignment horizontal="left" vertical="center" textRotation="0" indent="0" justifyLastLine="0" shrinkToFit="0" readingOrder="0"/>
    </dxf>
    <dxf>
      <font>
        <b val="0"/>
        <i val="0"/>
        <strike val="0"/>
        <condense val="0"/>
        <extend val="0"/>
        <outline val="0"/>
        <shadow val="0"/>
        <u val="none"/>
        <vertAlign val="baseline"/>
        <sz val="10"/>
        <color theme="1"/>
        <name val="Calibri"/>
        <family val="2"/>
        <scheme val="minor"/>
      </font>
      <fill>
        <patternFill patternType="none">
          <fgColor indexed="64"/>
          <bgColor theme="0" tint="-0.14999847407452621"/>
        </patternFill>
      </fill>
      <alignment horizontal="center" vertical="center" textRotation="0" wrapText="1" indent="0" justifyLastLine="0" shrinkToFit="0" readingOrder="0"/>
      <border diagonalUp="0" diagonalDown="0">
        <left style="thin">
          <color indexed="64"/>
        </left>
        <right style="thin">
          <color indexed="64"/>
        </right>
        <top/>
        <bottom/>
        <vertical/>
        <horizontal/>
      </border>
    </dxf>
    <dxf>
      <fill>
        <patternFill patternType="none"/>
      </fill>
      <alignment horizontal="center"/>
    </dxf>
    <dxf>
      <font>
        <b val="0"/>
        <i val="0"/>
        <strike val="0"/>
        <condense val="0"/>
        <extend val="0"/>
        <outline val="0"/>
        <shadow val="0"/>
        <u val="none"/>
        <vertAlign val="baseline"/>
        <sz val="10"/>
        <color theme="1"/>
        <name val="Calibri"/>
        <family val="2"/>
        <scheme val="minor"/>
      </font>
      <fill>
        <patternFill patternType="none">
          <fgColor indexed="64"/>
          <bgColor theme="0" tint="-0.14999847407452621"/>
        </patternFill>
      </fill>
      <alignment horizontal="center" vertical="center" textRotation="0" wrapText="1"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theme="0" tint="-0.14999847407452621"/>
        </patternFill>
      </fill>
      <alignment horizontal="left" vertical="center" textRotation="0" wrapText="1"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theme="0" tint="-0.14999847407452621"/>
        </patternFill>
      </fill>
      <alignment horizontal="left" vertical="center" textRotation="0" wrapText="1" indent="0" justifyLastLine="0" shrinkToFit="0" readingOrder="0"/>
      <border diagonalUp="0" diagonalDown="0">
        <left style="thin">
          <color indexed="64"/>
        </left>
        <right style="thin">
          <color indexed="64"/>
        </right>
        <top/>
        <bottom/>
        <vertical/>
        <horizontal/>
      </border>
    </dxf>
    <dxf>
      <border outline="0">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theme="0" tint="-0.14999847407452621"/>
        </patternFill>
      </fill>
      <alignment horizontal="center" vertical="center" textRotation="0" wrapText="1" indent="0" justifyLastLine="0" shrinkToFit="0" readingOrder="0"/>
    </dxf>
    <dxf>
      <font>
        <b/>
        <i val="0"/>
        <strike val="0"/>
        <condense val="0"/>
        <extend val="0"/>
        <outline val="0"/>
        <shadow val="0"/>
        <u val="none"/>
        <vertAlign val="baseline"/>
        <sz val="10"/>
        <color theme="1"/>
        <name val="Calibri"/>
        <family val="2"/>
        <scheme val="minor"/>
      </font>
      <fill>
        <patternFill patternType="solid">
          <fgColor indexed="64"/>
          <bgColor theme="7"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numFmt numFmtId="30" formatCode="@"/>
      <alignment horizontal="left" vertical="bottom" textRotation="0" wrapText="0" indent="0" justifyLastLine="0" shrinkToFit="0" readingOrder="0"/>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dxf>
    <dxf>
      <fill>
        <patternFill>
          <bgColor theme="6" tint="0.59996337778862885"/>
        </patternFill>
      </fill>
    </dxf>
    <dxf>
      <fill>
        <patternFill>
          <bgColor theme="6" tint="0.59996337778862885"/>
        </patternFill>
      </fill>
    </dxf>
    <dxf>
      <alignment horizontal="left" vertical="bottom" textRotation="0" wrapText="0" indent="0" justifyLastLine="0" shrinkToFit="0" readingOrder="0"/>
    </dxf>
    <dxf>
      <alignment horizontal="left"/>
    </dxf>
    <dxf>
      <alignment horizontal="left" vertical="bottom" textRotation="0" wrapText="1" indent="0" justifyLastLine="0" shrinkToFit="0" readingOrder="0"/>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theme="9" tint="0.39997558519241921"/>
        </top>
      </border>
    </dxf>
    <dxf>
      <alignment horizontal="left" vertical="bottom" textRotation="0" wrapText="0" indent="0" justifyLastLine="0" shrinkToFit="0" readingOrder="0"/>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dxf>
    <dxf>
      <fill>
        <patternFill>
          <bgColor theme="6" tint="0.59996337778862885"/>
        </patternFill>
      </fill>
    </dxf>
    <dxf>
      <fill>
        <patternFill>
          <bgColor theme="6" tint="0.59996337778862885"/>
        </patternFill>
      </fill>
    </dxf>
    <dxf>
      <fill>
        <patternFill>
          <bgColor theme="6" tint="0.5999633777886288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theme="9" tint="0.39997558519241921"/>
        </top>
      </border>
    </dxf>
    <dxf>
      <alignment horizontal="left" vertical="bottom" textRotation="0" wrapText="0" indent="0" justifyLastLine="0" shrinkToFit="0" readingOrder="0"/>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alignment horizontal="left" vertical="bottom" textRotation="0" wrapText="0" indent="0" justifyLastLine="0" shrinkToFit="0" readingOrder="0"/>
    </dxf>
    <dxf>
      <numFmt numFmtId="30" formatCode="@"/>
      <alignment horizontal="lef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patternType="none">
          <fgColor indexed="64"/>
          <bgColor auto="1"/>
        </patternFill>
      </fill>
      <alignment horizontal="left"/>
    </dxf>
    <dxf>
      <fill>
        <patternFill patternType="none">
          <fgColor indexed="64"/>
          <bgColor auto="1"/>
        </patternFill>
      </fill>
      <alignment horizontal="left"/>
    </dxf>
    <dxf>
      <fill>
        <patternFill patternType="none">
          <fgColor indexed="64"/>
          <bgColor auto="1"/>
        </patternFill>
      </fill>
      <alignment horizontal="left" vertical="bottom" textRotation="0" wrapText="1" indent="0" justifyLastLine="0" shrinkToFit="0" readingOrder="0"/>
    </dxf>
    <dxf>
      <numFmt numFmtId="166" formatCode="yyyymmdd"/>
      <fill>
        <patternFill patternType="none">
          <fgColor indexed="64"/>
          <bgColor auto="1"/>
        </patternFill>
      </fill>
      <alignment horizontal="left" vertical="bottom" textRotation="0" wrapText="0" indent="0" justifyLastLine="0" shrinkToFit="0" readingOrder="0"/>
    </dxf>
    <dxf>
      <numFmt numFmtId="30" formatCode="@"/>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dxf>
    <dxf>
      <font>
        <b val="0"/>
        <i val="0"/>
        <strike val="0"/>
        <condense val="0"/>
        <extend val="0"/>
        <outline val="0"/>
        <shadow val="0"/>
        <u val="none"/>
        <vertAlign val="baseline"/>
        <sz val="11"/>
        <color auto="1"/>
        <name val="Calibri"/>
        <family val="2"/>
        <charset val="238"/>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1"/>
        <color auto="1"/>
        <name val="Calibri"/>
        <family val="2"/>
        <charset val="238"/>
        <scheme val="minor"/>
      </font>
      <fill>
        <patternFill patternType="none"/>
      </fill>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auto="1"/>
        <name val="Calibri"/>
        <family val="2"/>
        <charset val="238"/>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1"/>
        <color auto="1"/>
        <name val="Calibri"/>
        <family val="2"/>
        <charset val="238"/>
        <scheme val="minor"/>
      </font>
      <fill>
        <patternFill patternType="none"/>
      </fill>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auto="1"/>
        <name val="Calibri"/>
        <family val="2"/>
        <charset val="238"/>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1"/>
        <color auto="1"/>
        <name val="Calibri"/>
        <family val="2"/>
        <charset val="238"/>
        <scheme val="minor"/>
      </font>
      <fill>
        <patternFill patternType="none"/>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auto="1"/>
        <name val="Calibri"/>
        <family val="2"/>
        <charset val="238"/>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1"/>
        <color auto="1"/>
        <name val="Calibri"/>
        <family val="2"/>
        <charset val="238"/>
        <scheme val="minor"/>
      </font>
      <fill>
        <patternFill patternType="none"/>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auto="1"/>
        <name val="Calibri"/>
        <family val="2"/>
        <charset val="238"/>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1"/>
        <color auto="1"/>
        <name val="Calibri"/>
        <family val="2"/>
        <charset val="238"/>
        <scheme val="minor"/>
      </font>
      <fill>
        <patternFill patternType="none"/>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auto="1"/>
        <name val="Calibri"/>
        <family val="2"/>
        <charset val="238"/>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style="thin">
          <color rgb="FF000000"/>
        </left>
        <right style="thin">
          <color rgb="FF000000"/>
        </right>
        <top/>
        <bottom/>
      </border>
      <protection locked="1" hidden="0"/>
    </dxf>
    <dxf>
      <font>
        <b val="0"/>
        <i val="0"/>
        <strike val="0"/>
        <condense val="0"/>
        <extend val="0"/>
        <outline val="0"/>
        <shadow val="0"/>
        <u val="none"/>
        <vertAlign val="baseline"/>
        <sz val="11"/>
        <color auto="1"/>
        <name val="Calibri"/>
        <family val="2"/>
        <charset val="238"/>
        <scheme val="minor"/>
      </font>
      <fill>
        <patternFill patternType="none"/>
      </fill>
      <alignment horizontal="center" vertical="center" textRotation="0" wrapText="1"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1"/>
        <color auto="1"/>
        <name val="Calibri"/>
        <family val="2"/>
        <charset val="238"/>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style="thin">
          <color rgb="FF000000"/>
        </left>
        <right style="thin">
          <color rgb="FF000000"/>
        </right>
        <top/>
        <bottom/>
      </border>
      <protection locked="1" hidden="0"/>
    </dxf>
    <dxf>
      <font>
        <b val="0"/>
        <i val="0"/>
        <strike val="0"/>
        <condense val="0"/>
        <extend val="0"/>
        <outline val="0"/>
        <shadow val="0"/>
        <u val="none"/>
        <vertAlign val="baseline"/>
        <sz val="11"/>
        <color auto="1"/>
        <name val="Calibri"/>
        <family val="2"/>
        <charset val="238"/>
        <scheme val="minor"/>
      </font>
      <fill>
        <patternFill patternType="none"/>
      </fill>
      <alignment horizontal="center" vertical="center" textRotation="0" wrapText="1" indent="0" justifyLastLine="0" shrinkToFit="0" readingOrder="0"/>
      <border diagonalUp="0" diagonalDown="0">
        <left style="thin">
          <color rgb="FF000000"/>
        </left>
        <right style="thin">
          <color rgb="FF000000"/>
        </right>
        <top/>
        <bottom style="thin">
          <color rgb="FF000000"/>
        </bottom>
        <vertical/>
        <horizontal/>
      </border>
    </dxf>
    <dxf>
      <font>
        <b val="0"/>
        <i val="0"/>
        <strike val="0"/>
        <condense val="0"/>
        <extend val="0"/>
        <outline val="0"/>
        <shadow val="0"/>
        <u val="none"/>
        <vertAlign val="baseline"/>
        <sz val="11"/>
        <color auto="1"/>
        <name val="Calibri"/>
        <family val="2"/>
        <charset val="238"/>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1"/>
        <color auto="1"/>
        <name val="Calibri"/>
        <family val="2"/>
        <charset val="238"/>
        <scheme val="minor"/>
      </font>
      <fill>
        <patternFill patternType="none"/>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auto="1"/>
        <name val="Calibri"/>
        <family val="2"/>
        <charset val="238"/>
        <scheme val="minor"/>
      </font>
      <numFmt numFmtId="0" formatCode="General"/>
      <fill>
        <patternFill patternType="none">
          <fgColor indexed="64"/>
          <bgColor indexed="65"/>
        </patternFill>
      </fill>
      <alignment horizontal="left" vertical="center" textRotation="0" wrapText="1"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11"/>
        <color auto="1"/>
        <name val="Calibri"/>
        <family val="2"/>
        <charset val="238"/>
        <scheme val="minor"/>
      </font>
      <fill>
        <patternFill patternType="none"/>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Calibri"/>
        <family val="2"/>
        <charset val="238"/>
        <scheme val="minor"/>
      </font>
      <numFmt numFmtId="0" formatCode="General"/>
      <fill>
        <patternFill patternType="none">
          <fgColor indexed="64"/>
          <bgColor indexed="65"/>
        </patternFill>
      </fill>
      <alignment horizontal="left" vertical="center" textRotation="0" wrapText="1" indent="0" justifyLastLine="0" shrinkToFit="0" readingOrder="0"/>
      <border diagonalUp="0" diagonalDown="0" outline="0">
        <left/>
        <right style="thin">
          <color indexed="64"/>
        </right>
        <top/>
        <bottom/>
      </border>
      <protection locked="1" hidden="0"/>
    </dxf>
    <dxf>
      <font>
        <b val="0"/>
        <i val="0"/>
        <strike val="0"/>
        <condense val="0"/>
        <extend val="0"/>
        <outline val="0"/>
        <shadow val="0"/>
        <u val="none"/>
        <vertAlign val="baseline"/>
        <sz val="11"/>
        <color theme="1"/>
        <name val="Calibri"/>
        <family val="2"/>
        <charset val="238"/>
        <scheme val="minor"/>
      </font>
      <fill>
        <patternFill patternType="none"/>
      </fill>
      <alignment horizontal="left" vertical="center" textRotation="0" wrapText="1" indent="0" justifyLastLine="0" shrinkToFit="0" readingOrder="0"/>
      <border diagonalUp="0" diagonalDown="0">
        <left/>
        <right style="thin">
          <color indexed="64"/>
        </right>
        <top/>
        <bottom style="thin">
          <color indexed="64"/>
        </bottom>
        <vertical/>
        <horizontal/>
      </border>
    </dxf>
    <dxf>
      <border outline="0">
        <left style="thin">
          <color auto="1"/>
        </left>
        <right style="thin">
          <color auto="1"/>
        </right>
      </border>
    </dxf>
    <dxf>
      <font>
        <b val="0"/>
        <i val="0"/>
        <strike val="0"/>
        <condense val="0"/>
        <extend val="0"/>
        <outline val="0"/>
        <shadow val="0"/>
        <u val="none"/>
        <vertAlign val="baseline"/>
        <sz val="11"/>
        <color auto="1"/>
        <name val="Calibri"/>
        <family val="2"/>
        <charset val="238"/>
        <scheme val="minor"/>
      </font>
      <fill>
        <patternFill patternType="none"/>
      </fill>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0"/>
        <color theme="1"/>
        <name val="Calibri"/>
        <family val="2"/>
        <charset val="238"/>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auto="1"/>
        </left>
        <right style="thin">
          <color auto="1"/>
        </right>
        <top/>
        <bottom/>
      </border>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numFmt numFmtId="30" formatCode="@"/>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alignment horizontal="left"/>
    </dxf>
    <dxf>
      <alignment horizontal="left"/>
    </dxf>
    <dxf>
      <alignment horizontal="left"/>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alignment horizontal="left"/>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numFmt numFmtId="30" formatCode="@"/>
      <alignment horizontal="lef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border outline="0">
        <bottom style="thin">
          <color rgb="FF000000"/>
        </bottom>
      </border>
    </dxf>
    <dxf>
      <alignment vertical="center"/>
    </dxf>
    <dxf>
      <font>
        <b/>
        <i val="0"/>
        <strike val="0"/>
        <condense val="0"/>
        <extend val="0"/>
        <outline val="0"/>
        <shadow val="0"/>
        <u val="none"/>
        <vertAlign val="baseline"/>
        <sz val="10"/>
        <color theme="1"/>
        <name val="Calibri"/>
        <family val="2"/>
        <charset val="238"/>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6" tint="0.59996337778862885"/>
        </patternFill>
      </fill>
    </dxf>
    <dxf>
      <fill>
        <patternFill>
          <bgColor theme="6" tint="0.59996337778862885"/>
        </patternFill>
      </fill>
    </dxf>
    <dxf>
      <fill>
        <patternFill>
          <bgColor theme="6" tint="0.5999633777886288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theme="9" tint="0.39997558519241921"/>
        </top>
      </border>
    </dxf>
    <dxf>
      <alignment horizontal="left" vertical="bottom" textRotation="0" wrapText="0" indent="0" justifyLastLine="0" shrinkToFit="0" readingOrder="0"/>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border outline="0">
        <left style="medium">
          <color indexed="64"/>
        </left>
        <right style="thin">
          <color indexed="64"/>
        </right>
        <top style="thin">
          <color indexed="64"/>
        </top>
        <bottom style="medium">
          <color indexed="64"/>
        </bottom>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numFmt numFmtId="30" formatCode="@"/>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dxf>
    <dxf>
      <fill>
        <patternFill>
          <bgColor theme="6" tint="0.59996337778862885"/>
        </patternFill>
      </fill>
    </dxf>
    <dxf>
      <fill>
        <patternFill>
          <bgColor theme="6" tint="0.59996337778862885"/>
        </patternFill>
      </fill>
    </dxf>
    <dxf>
      <fill>
        <patternFill>
          <bgColor theme="6" tint="0.59996337778862885"/>
        </patternFill>
      </fill>
    </dxf>
    <dxf>
      <alignment horizontal="left" vertical="bottom" textRotation="0" wrapText="0" indent="0" justifyLastLine="0" shrinkToFit="0" readingOrder="0"/>
    </dxf>
    <dxf>
      <alignment horizontal="left" vertical="bottom" textRotation="0" wrapText="0" indent="0" justifyLastLine="0" shrinkToFit="0" readingOrder="0"/>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theme="9" tint="0.39997558519241921"/>
        </top>
      </border>
    </dxf>
    <dxf>
      <alignment horizontal="left" vertical="bottom" textRotation="0" wrapText="0" indent="0" justifyLastLine="0" shrinkToFit="0" readingOrder="0"/>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rgb="FF000000"/>
        <name val="Calibri"/>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border outline="0">
        <left style="medium">
          <color indexed="64"/>
        </left>
        <right style="thin">
          <color indexed="64"/>
        </right>
        <top style="thin">
          <color indexed="64"/>
        </top>
        <bottom style="medium">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left" vertical="bottom" textRotation="0" wrapText="0" indent="0" justifyLastLine="0" shrinkToFit="0" readingOrder="0"/>
    </dxf>
    <dxf>
      <alignment horizontal="left" vertical="bottom" textRotation="0" wrapText="0" indent="0" justifyLastLine="0" shrinkToFit="0" readingOrder="0"/>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theme="9" tint="0.39997558519241921"/>
        </top>
      </border>
    </dxf>
    <dxf>
      <alignment horizontal="left" vertical="bottom" textRotation="0" wrapText="0" indent="0" justifyLastLine="0" shrinkToFit="0" readingOrder="0"/>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dxf>
    <dxf>
      <fill>
        <patternFill>
          <bgColor theme="6" tint="0.59996337778862885"/>
        </patternFill>
      </fill>
    </dxf>
    <dxf>
      <fill>
        <patternFill>
          <bgColor theme="6" tint="0.59996337778862885"/>
        </patternFill>
      </fill>
    </dxf>
    <dxf>
      <fill>
        <patternFill>
          <bgColor theme="6" tint="0.5999633777886288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theme="9" tint="0.39997558519241921"/>
        </top>
      </border>
    </dxf>
    <dxf>
      <alignment horizontal="left" vertical="bottom" textRotation="0" wrapText="0" indent="0" justifyLastLine="0" shrinkToFit="0" readingOrder="0"/>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dxf>
    <dxf>
      <numFmt numFmtId="30" formatCode="@"/>
      <alignment horizontal="lef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dxf>
    <dxf>
      <fill>
        <patternFill>
          <bgColor theme="6" tint="0.59996337778862885"/>
        </patternFill>
      </fill>
    </dxf>
    <dxf>
      <fill>
        <patternFill>
          <bgColor theme="6" tint="0.59996337778862885"/>
        </patternFill>
      </fill>
    </dxf>
    <dxf>
      <fill>
        <patternFill>
          <bgColor theme="6" tint="0.59996337778862885"/>
        </patternFill>
      </fill>
    </dxf>
    <dxf>
      <alignment horizontal="left" vertical="bottom" textRotation="0" wrapText="0" indent="0" justifyLastLine="0" shrinkToFit="0" readingOrder="0"/>
    </dxf>
    <dxf>
      <alignment horizontal="left" vertical="bottom" textRotation="0" wrapText="0" indent="0" justifyLastLine="0" shrinkToFit="0" readingOrder="0"/>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theme="9" tint="0.39997558519241921"/>
        </top>
      </border>
    </dxf>
    <dxf>
      <alignment horizontal="left" vertical="bottom" textRotation="0" wrapText="0" indent="0" justifyLastLine="0" shrinkToFit="0" readingOrder="0"/>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dxf>
    <dxf>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center"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center"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center"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center"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center"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center"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center"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left"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none"/>
      </font>
      <alignment horizontal="left" vertical="top"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border outline="0">
        <left style="medium">
          <color indexed="64"/>
        </left>
        <top style="thin">
          <color auto="1"/>
        </top>
        <bottom style="medium">
          <color indexed="64"/>
        </bottom>
      </border>
    </dxf>
    <dxf>
      <font>
        <b val="0"/>
        <i val="0"/>
        <strike val="0"/>
        <condense val="0"/>
        <extend val="0"/>
        <outline val="0"/>
        <shadow val="0"/>
        <u val="none"/>
        <vertAlign val="baseline"/>
        <sz val="10"/>
        <color auto="1"/>
        <name val="Calibri"/>
        <family val="2"/>
        <scheme val="none"/>
      </font>
      <alignment horizontal="center" vertical="top"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rgb="FFA9D08E"/>
        </top>
      </border>
    </dxf>
    <dxf>
      <alignment horizontal="left" vertical="bottom" textRotation="0" wrapText="0" indent="0" justifyLastLine="0" shrinkToFit="0" readingOrder="0"/>
    </dxf>
    <dxf>
      <border outline="0">
        <bottom style="thin">
          <color rgb="FFA9D08E"/>
        </bottom>
      </border>
    </dxf>
    <dxf>
      <font>
        <b/>
        <i val="0"/>
        <strike val="0"/>
        <condense val="0"/>
        <extend val="0"/>
        <outline val="0"/>
        <shadow val="0"/>
        <u val="none"/>
        <vertAlign val="baseline"/>
        <sz val="11"/>
        <color rgb="FFFFFFFF"/>
        <name val="Calibri"/>
        <family val="2"/>
        <charset val="238"/>
        <scheme val="none"/>
      </font>
      <fill>
        <patternFill patternType="solid">
          <fgColor rgb="FF70AD47"/>
          <bgColor rgb="FF70AD47"/>
        </patternFill>
      </fill>
    </dxf>
    <dxf>
      <fill>
        <patternFill patternType="none"/>
      </fill>
    </dxf>
    <dxf>
      <fill>
        <patternFill patternType="none"/>
      </fill>
    </dxf>
    <dxf>
      <fill>
        <patternFill patternType="none"/>
      </fill>
    </dxf>
    <dxf>
      <fill>
        <patternFill patternType="none"/>
      </fill>
    </dxf>
    <dxf>
      <font>
        <b val="0"/>
        <i val="0"/>
        <strike val="0"/>
        <condense val="0"/>
        <extend val="0"/>
        <outline val="0"/>
        <shadow val="0"/>
        <u val="none"/>
        <vertAlign val="baseline"/>
        <sz val="10"/>
        <color rgb="FF000000"/>
        <name val="Calibri"/>
        <family val="2"/>
        <scheme val="none"/>
      </font>
      <alignment horizontal="center" vertical="center" textRotation="0" wrapText="1"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rgb="FF000000"/>
        <name val="Calibri"/>
        <family val="2"/>
        <scheme val="none"/>
      </font>
      <fill>
        <patternFill patternType="none">
          <fgColor rgb="FF000000"/>
          <bgColor rgb="FFDBDBDB"/>
        </patternFill>
      </fill>
      <alignment horizontal="center" vertical="center" textRotation="0" wrapText="1" indent="0" justifyLastLine="0" shrinkToFit="0" readingOrder="0"/>
      <border diagonalUp="0" diagonalDown="0">
        <left/>
        <right style="thin">
          <color indexed="64"/>
        </right>
        <top/>
        <bottom style="thin">
          <color indexed="64"/>
        </bottom>
        <vertical/>
        <horizontal/>
      </border>
    </dxf>
    <dxf>
      <fill>
        <patternFill patternType="none"/>
      </fill>
    </dxf>
    <dxf>
      <fill>
        <patternFill patternType="none"/>
      </fill>
    </dxf>
    <dxf>
      <fill>
        <patternFill patternType="none"/>
      </fill>
    </dxf>
    <dxf>
      <fill>
        <patternFill patternType="none"/>
      </fill>
    </dxf>
    <dxf>
      <font>
        <b val="0"/>
        <i val="0"/>
        <strike val="0"/>
        <condense val="0"/>
        <extend val="0"/>
        <outline val="0"/>
        <shadow val="0"/>
        <u val="none"/>
        <vertAlign val="baseline"/>
        <sz val="10"/>
        <color rgb="FF000000"/>
        <name val="Calibri"/>
        <family val="2"/>
        <scheme val="none"/>
      </font>
      <alignment horizontal="left" vertical="center"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0"/>
        <color rgb="FF000000"/>
        <name val="Calibri"/>
        <family val="2"/>
        <scheme val="none"/>
      </font>
      <fill>
        <patternFill patternType="none">
          <fgColor rgb="FF000000"/>
          <bgColor rgb="FFDBDBDB"/>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border outline="0">
        <bottom style="thin">
          <color indexed="64"/>
        </bottom>
      </border>
    </dxf>
    <dxf>
      <fill>
        <patternFill patternType="none"/>
      </fill>
    </dxf>
    <dxf>
      <font>
        <b/>
        <i val="0"/>
        <strike val="0"/>
        <condense val="0"/>
        <extend val="0"/>
        <outline val="0"/>
        <shadow val="0"/>
        <u val="none"/>
        <vertAlign val="baseline"/>
        <sz val="10"/>
        <color rgb="FF000000"/>
        <name val="Calibri"/>
        <family val="2"/>
        <scheme val="none"/>
      </font>
      <fill>
        <patternFill patternType="solid">
          <fgColor rgb="FF000000"/>
          <bgColor rgb="FFFFD966"/>
        </patternFill>
      </fill>
      <alignment horizontal="center" vertical="center"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border diagonalUp="0" diagonalDown="0">
        <left/>
        <right/>
        <top style="thin">
          <color theme="9" tint="0.39997558519241921"/>
        </top>
        <bottom style="thin">
          <color theme="9" tint="0.39997558519241921"/>
        </bottom>
        <vertical/>
        <horizontal/>
      </border>
    </dxf>
    <dxf>
      <numFmt numFmtId="166" formatCode="yyyymmdd"/>
      <alignment horizontal="left" vertical="bottom" textRotation="0" wrapText="0" indent="0" justifyLastLine="0" shrinkToFit="0" readingOrder="0"/>
      <border diagonalUp="0" diagonalDown="0" outline="0">
        <left/>
        <right/>
        <top style="thin">
          <color theme="9" tint="0.39997558519241921"/>
        </top>
        <bottom style="thin">
          <color theme="9" tint="0.39997558519241921"/>
        </bottom>
      </border>
    </dxf>
    <dxf>
      <numFmt numFmtId="30" formatCode="@"/>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alignment horizontal="left" vertical="top" textRotation="0" wrapText="0" indent="0" justifyLastLine="0" shrinkToFit="0" readingOrder="0"/>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alignment horizontal="left" vertical="bottom" textRotation="0" wrapText="0" indent="0" justifyLastLine="0" shrinkToFit="0" readingOrder="0"/>
    </dxf>
    <dxf>
      <alignment horizontal="left" vertical="bottom" textRotation="0" wrapText="0" indent="0" justifyLastLine="0" shrinkToFit="0" readingOrder="0"/>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theme="9" tint="0.39997558519241921"/>
        </top>
      </border>
    </dxf>
    <dxf>
      <alignment horizontal="left" vertical="bottom" textRotation="0" wrapText="0" indent="0" justifyLastLine="0" shrinkToFit="0" readingOrder="0"/>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patternType="none">
          <fgColor indexed="64"/>
          <bgColor auto="1"/>
        </patternFill>
      </fill>
      <alignment horizontal="left"/>
    </dxf>
    <dxf>
      <fill>
        <patternFill patternType="none">
          <fgColor indexed="64"/>
          <bgColor auto="1"/>
        </patternFill>
      </fill>
      <alignment horizontal="left"/>
    </dxf>
    <dxf>
      <fill>
        <patternFill patternType="none">
          <fgColor indexed="64"/>
          <bgColor auto="1"/>
        </patternFill>
      </fill>
      <alignment horizontal="left"/>
    </dxf>
    <dxf>
      <numFmt numFmtId="166" formatCode="yyyymmdd"/>
      <fill>
        <patternFill patternType="none">
          <fgColor indexed="64"/>
          <bgColor auto="1"/>
        </patternFill>
      </fill>
      <alignment horizontal="left" vertical="bottom" textRotation="0" wrapText="0" indent="0" justifyLastLine="0" shrinkToFit="0" readingOrder="0"/>
    </dxf>
    <dxf>
      <numFmt numFmtId="30" formatCode="@"/>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dxf>
    <dxf>
      <fill>
        <patternFill patternType="none">
          <fgColor indexed="64"/>
          <bgColor auto="1"/>
        </patternFill>
      </fill>
    </dxf>
    <dxf>
      <numFmt numFmtId="30" formatCode="@"/>
      <alignment horizontal="left" vertical="bottom" textRotation="0" wrapText="0" indent="0" justifyLastLine="0" shrinkToFit="0" readingOrder="0"/>
    </dxf>
    <dxf>
      <border outline="0">
        <top style="thin">
          <color rgb="FFA9D08E"/>
        </top>
      </border>
    </dxf>
    <dxf>
      <border outline="0">
        <bottom style="thin">
          <color rgb="FFA9D08E"/>
        </bottom>
      </border>
    </dxf>
    <dxf>
      <font>
        <b/>
        <i val="0"/>
        <strike val="0"/>
        <condense val="0"/>
        <extend val="0"/>
        <outline val="0"/>
        <shadow val="0"/>
        <u val="none"/>
        <vertAlign val="baseline"/>
        <sz val="11"/>
        <color rgb="FFFFFFFF"/>
        <name val="Calibri"/>
        <family val="2"/>
        <scheme val="none"/>
      </font>
      <fill>
        <patternFill patternType="solid">
          <fgColor rgb="FF70AD47"/>
          <bgColor rgb="FF70AD47"/>
        </patternFill>
      </fill>
      <alignment horizontal="general" vertical="bottom" textRotation="0" wrapText="1" indent="0" justifyLastLine="0" shrinkToFit="0" readingOrder="0"/>
    </dxf>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none"/>
      </font>
      <alignment horizontal="left" vertical="center" textRotation="0" wrapText="1"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rgb="FF000000"/>
        <name val="Calibri"/>
        <family val="2"/>
        <scheme val="none"/>
      </font>
      <alignment horizontal="left" vertical="center"/>
      <border diagonalUp="0" diagonalDown="0">
        <left style="thin">
          <color auto="1"/>
        </left>
        <right style="thin">
          <color auto="1"/>
        </right>
        <top style="thin">
          <color auto="1"/>
        </top>
        <bottom style="thin">
          <color auto="1"/>
        </bottom>
        <vertical/>
        <horizontal/>
      </border>
    </dxf>
    <dxf>
      <border outline="0">
        <right style="thin">
          <color rgb="FF000000"/>
        </right>
        <top style="thin">
          <color rgb="FF000000"/>
        </top>
      </border>
    </dxf>
    <dxf>
      <alignment horizontal="center" vertical="center" textRotation="0" wrapText="0" indent="0" justifyLastLine="0" shrinkToFit="0" readingOrder="0"/>
    </dxf>
    <dxf>
      <font>
        <b/>
        <i val="0"/>
        <strike val="0"/>
        <condense val="0"/>
        <extend val="0"/>
        <outline val="0"/>
        <shadow val="0"/>
        <u val="none"/>
        <vertAlign val="baseline"/>
        <sz val="10"/>
        <color rgb="FF000000"/>
        <name val="Calibri"/>
        <family val="2"/>
        <charset val="238"/>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left style="thin">
          <color rgb="FF000000"/>
        </left>
        <right style="thin">
          <color rgb="FF000000"/>
        </right>
        <top/>
        <bottom/>
      </border>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rgb="FFA9D08E"/>
        </top>
      </border>
    </dxf>
    <dxf>
      <border outline="0">
        <bottom style="thin">
          <color rgb="FFA9D08E"/>
        </bottom>
      </border>
    </dxf>
    <dxf>
      <font>
        <b/>
        <i val="0"/>
        <strike val="0"/>
        <condense val="0"/>
        <extend val="0"/>
        <outline val="0"/>
        <shadow val="0"/>
        <u val="none"/>
        <vertAlign val="baseline"/>
        <sz val="11"/>
        <color rgb="FFFFFFFF"/>
        <name val="Calibri"/>
        <family val="2"/>
        <scheme val="none"/>
      </font>
      <numFmt numFmtId="169" formatCode="yyyy/mm/dd;@"/>
      <fill>
        <patternFill patternType="solid">
          <fgColor rgb="FF70AD47"/>
          <bgColor rgb="FF70AD47"/>
        </patternFill>
      </fill>
      <alignment horizontal="general" vertical="bottom" textRotation="0" wrapText="1" indent="0" justifyLastLine="0" shrinkToFit="0" readingOrder="0"/>
    </dxf>
    <dxf>
      <fill>
        <patternFill patternType="none">
          <fgColor indexed="64"/>
          <bgColor theme="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ill>
        <patternFill patternType="none">
          <fgColor indexed="64"/>
          <bgColor theme="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rgb="FF000000"/>
        <name val="Calibri"/>
        <family val="2"/>
        <scheme val="none"/>
      </font>
      <fill>
        <patternFill patternType="none"/>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ill>
        <patternFill patternType="none">
          <fgColor indexed="64"/>
          <bgColor theme="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minor"/>
      </font>
      <fill>
        <patternFill patternType="none"/>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minor"/>
      </font>
      <fill>
        <patternFill patternType="none"/>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minor"/>
      </font>
      <fill>
        <patternFill patternType="none"/>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minor"/>
      </font>
      <fill>
        <patternFill patternType="none"/>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scheme val="minor"/>
      </font>
      <fill>
        <patternFill patternType="none"/>
      </fill>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rgb="FF000000"/>
        <name val="Calibri"/>
        <family val="2"/>
        <scheme val="minor"/>
      </font>
      <fill>
        <patternFill patternType="none"/>
      </fill>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border outline="0">
        <top style="thin">
          <color rgb="FF000000"/>
        </top>
        <bottom style="medium">
          <color rgb="FF000000"/>
        </bottom>
      </border>
    </dxf>
    <dxf>
      <fill>
        <patternFill patternType="none"/>
      </fill>
    </dxf>
    <dxf>
      <font>
        <b/>
        <i val="0"/>
        <strike val="0"/>
        <condense val="0"/>
        <extend val="0"/>
        <outline val="0"/>
        <shadow val="0"/>
        <u val="none"/>
        <vertAlign val="baseline"/>
        <sz val="11"/>
        <color rgb="FF000000"/>
        <name val="Calibri"/>
        <family val="2"/>
        <scheme val="minor"/>
      </font>
      <fill>
        <patternFill patternType="solid">
          <fgColor indexed="64"/>
          <bgColor rgb="FFFFD966"/>
        </patternFill>
      </fill>
      <alignment horizontal="center" vertical="center" textRotation="0" wrapText="1" indent="0" justifyLastLine="0" shrinkToFit="0" readingOrder="0"/>
      <border diagonalUp="0" diagonalDown="0">
        <left style="thin">
          <color indexed="64"/>
        </left>
        <right style="thin">
          <color indexed="64"/>
        </right>
        <top/>
        <bottom/>
      </border>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rgb="FFA9D08E"/>
        </top>
      </border>
    </dxf>
    <dxf>
      <alignment horizontal="left" vertical="bottom" textRotation="0" wrapText="0" indent="0" justifyLastLine="0" shrinkToFit="0" readingOrder="0"/>
    </dxf>
    <dxf>
      <border outline="0">
        <bottom style="thin">
          <color rgb="FFA9D08E"/>
        </bottom>
      </border>
    </dxf>
    <dxf>
      <font>
        <b/>
        <i val="0"/>
        <strike val="0"/>
        <condense val="0"/>
        <extend val="0"/>
        <outline val="0"/>
        <shadow val="0"/>
        <u val="none"/>
        <vertAlign val="baseline"/>
        <sz val="11"/>
        <color rgb="FFFFFFFF"/>
        <name val="Calibri"/>
        <family val="2"/>
        <scheme val="none"/>
      </font>
      <fill>
        <patternFill patternType="solid">
          <fgColor rgb="FF70AD47"/>
          <bgColor rgb="FF70AD47"/>
        </patternFill>
      </fill>
      <alignment horizontal="general" vertical="bottom" textRotation="0" wrapText="1" indent="0" justifyLastLine="0" shrinkToFit="0" readingOrder="0"/>
    </dxf>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rgb="FF444444"/>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none"/>
      </font>
      <alignment horizontal="general" vertical="bottom" textRotation="0" wrapText="1"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none"/>
      </font>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10"/>
        <color rgb="FF000000"/>
        <name val="Calibri"/>
        <family val="2"/>
        <charset val="238"/>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left style="thin">
          <color rgb="FF000000"/>
        </left>
        <right style="thin">
          <color rgb="FF000000"/>
        </right>
        <top/>
        <bottom/>
      </border>
    </dxf>
    <dxf>
      <alignment horizontal="left" vertical="bottom" textRotation="0" wrapText="0" indent="0" justifyLastLine="0" shrinkToFit="0" readingOrder="0"/>
    </dxf>
    <dxf>
      <alignment horizontal="left" vertical="bottom" textRotation="0" wrapText="0" indent="0" justifyLastLine="0" shrinkToFit="0" readingOrder="0"/>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rgb="FFA9D08E"/>
        </top>
      </border>
    </dxf>
    <dxf>
      <alignment horizontal="left" vertical="bottom" textRotation="0" wrapText="0" indent="0" justifyLastLine="0" shrinkToFit="0" readingOrder="0"/>
    </dxf>
    <dxf>
      <border outline="0">
        <bottom style="thin">
          <color rgb="FFA9D08E"/>
        </bottom>
      </border>
    </dxf>
    <dxf>
      <font>
        <b/>
        <i val="0"/>
        <strike val="0"/>
        <condense val="0"/>
        <extend val="0"/>
        <outline val="0"/>
        <shadow val="0"/>
        <u val="none"/>
        <vertAlign val="baseline"/>
        <sz val="11"/>
        <color rgb="FFFFFFFF"/>
        <name val="Calibri"/>
        <family val="2"/>
        <scheme val="none"/>
      </font>
      <fill>
        <patternFill patternType="solid">
          <fgColor rgb="FF70AD47"/>
          <bgColor rgb="FF70AD47"/>
        </patternFill>
      </fill>
      <alignment horizontal="general" vertical="bottom" textRotation="0" wrapText="1" indent="0" justifyLastLine="0" shrinkToFit="0" readingOrder="0"/>
    </dxf>
    <dxf>
      <fill>
        <patternFill patternType="none">
          <fgColor indexed="64"/>
          <bgColor theme="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ill>
        <patternFill patternType="none">
          <fgColor indexed="64"/>
          <bgColor theme="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rgb="FF000000"/>
        <name val="Calibri"/>
        <family val="2"/>
        <scheme val="none"/>
      </font>
      <fill>
        <patternFill patternType="none"/>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ill>
        <patternFill patternType="none">
          <fgColor indexed="64"/>
          <bgColor theme="0"/>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charset val="238"/>
        <scheme val="minor"/>
      </font>
      <fill>
        <patternFill patternType="none"/>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charset val="238"/>
        <scheme val="minor"/>
      </font>
      <fill>
        <patternFill patternType="none"/>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charset val="238"/>
        <scheme val="minor"/>
      </font>
      <fill>
        <patternFill patternType="none"/>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auto="1"/>
        <name val="Calibri"/>
        <family val="2"/>
        <charset val="238"/>
        <scheme val="minor"/>
      </font>
      <fill>
        <patternFill patternType="none"/>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ill>
        <patternFill patternType="none"/>
      </fill>
      <border>
        <left style="thin">
          <color rgb="FF000000"/>
        </left>
        <right style="thin">
          <color rgb="FF000000"/>
        </right>
        <top style="thin">
          <color rgb="FF000000"/>
        </top>
        <bottom style="thin">
          <color rgb="FF000000"/>
        </bottom>
        <vertical style="thin">
          <color rgb="FF000000"/>
        </vertical>
        <horizontal style="thin">
          <color rgb="FF000000"/>
        </horizontal>
      </border>
    </dxf>
    <dxf>
      <font>
        <b val="0"/>
        <i val="0"/>
        <strike val="0"/>
        <condense val="0"/>
        <extend val="0"/>
        <outline val="0"/>
        <shadow val="0"/>
        <u val="none"/>
        <vertAlign val="baseline"/>
        <sz val="10"/>
        <color rgb="FF000000"/>
        <name val="Calibri"/>
        <family val="2"/>
        <charset val="238"/>
        <scheme val="minor"/>
      </font>
      <fill>
        <patternFill patternType="none"/>
      </fill>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border outline="0">
        <bottom style="medium">
          <color rgb="FF000000"/>
        </bottom>
      </border>
    </dxf>
    <dxf>
      <fill>
        <patternFill patternType="none"/>
      </fill>
    </dxf>
    <dxf>
      <font>
        <b/>
        <i val="0"/>
        <strike val="0"/>
        <condense val="0"/>
        <extend val="0"/>
        <outline val="0"/>
        <shadow val="0"/>
        <u val="none"/>
        <vertAlign val="baseline"/>
        <sz val="11"/>
        <color rgb="FF000000"/>
        <name val="Calibri"/>
        <family val="2"/>
        <charset val="238"/>
        <scheme val="minor"/>
      </font>
      <fill>
        <patternFill patternType="solid">
          <fgColor indexed="64"/>
          <bgColor rgb="FFFFD966"/>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rgb="FFA9D08E"/>
        </top>
      </border>
    </dxf>
    <dxf>
      <alignment horizontal="left" vertical="bottom" textRotation="0" wrapText="0" indent="0" justifyLastLine="0" shrinkToFit="0" readingOrder="0"/>
    </dxf>
    <dxf>
      <border outline="0">
        <bottom style="thin">
          <color rgb="FFA9D08E"/>
        </bottom>
      </border>
    </dxf>
    <dxf>
      <font>
        <b/>
        <i val="0"/>
        <strike val="0"/>
        <condense val="0"/>
        <extend val="0"/>
        <outline val="0"/>
        <shadow val="0"/>
        <u val="none"/>
        <vertAlign val="baseline"/>
        <sz val="11"/>
        <color rgb="FFFFFFFF"/>
        <name val="Calibri"/>
        <family val="2"/>
        <scheme val="none"/>
      </font>
      <fill>
        <patternFill patternType="solid">
          <fgColor rgb="FF70AD47"/>
          <bgColor rgb="FF70AD47"/>
        </patternFill>
      </fill>
      <alignment horizontal="general" vertical="bottom" textRotation="0" wrapText="1" indent="0" justifyLastLine="0" shrinkToFit="0" readingOrder="0"/>
    </dxf>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444444"/>
        <name val="Calibri"/>
        <family val="2"/>
        <charset val="1"/>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0"/>
        <color theme="1"/>
        <name val="Calibri"/>
        <family val="2"/>
        <scheme val="minor"/>
      </font>
      <fill>
        <patternFill patternType="solid">
          <fgColor indexed="64"/>
          <bgColor theme="7" tint="0.39997558519241921"/>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
      <alignment horizontal="left" vertical="bottom" textRotation="0" wrapText="0" indent="0" justifyLastLine="0" shrinkToFit="0" readingOrder="0"/>
    </dxf>
    <dxf>
      <alignment horizontal="left" vertical="bottom" textRotation="0" wrapText="0" indent="0" justifyLastLine="0" shrinkToFit="0" readingOrder="0"/>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rgb="FFA9D08E"/>
        </top>
      </border>
    </dxf>
    <dxf>
      <alignment horizontal="left" vertical="bottom" textRotation="0" wrapText="0" indent="0" justifyLastLine="0" shrinkToFit="0" readingOrder="0"/>
    </dxf>
    <dxf>
      <border outline="0">
        <bottom style="thin">
          <color rgb="FFA9D08E"/>
        </bottom>
      </border>
    </dxf>
    <dxf>
      <font>
        <b/>
        <i val="0"/>
        <strike val="0"/>
        <condense val="0"/>
        <extend val="0"/>
        <outline val="0"/>
        <shadow val="0"/>
        <u val="none"/>
        <vertAlign val="baseline"/>
        <sz val="11"/>
        <color rgb="FFFFFFFF"/>
        <name val="Calibri"/>
        <family val="2"/>
        <scheme val="none"/>
      </font>
      <fill>
        <patternFill patternType="solid">
          <fgColor rgb="FF70AD47"/>
          <bgColor rgb="FF70AD47"/>
        </patternFill>
      </fill>
      <alignment horizontal="general" vertical="bottom" textRotation="0" wrapText="1" indent="0" justifyLastLine="0" shrinkToFit="0" readingOrder="0"/>
    </dxf>
    <dxf>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444444"/>
        <name val="Calibri"/>
        <family val="2"/>
        <charset val="1"/>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none"/>
      </font>
      <alignment horizontal="left"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border outline="0">
        <bottom style="medium">
          <color rgb="FF000000"/>
        </bottom>
      </border>
    </dxf>
    <dxf>
      <alignment horizontal="left" vertical="center" textRotation="0" wrapText="0" indent="0" justifyLastLine="0" shrinkToFit="0" readingOrder="0"/>
    </dxf>
    <dxf>
      <font>
        <b/>
        <i val="0"/>
        <strike val="0"/>
        <condense val="0"/>
        <extend val="0"/>
        <outline val="0"/>
        <shadow val="0"/>
        <u val="none"/>
        <vertAlign val="baseline"/>
        <sz val="11"/>
        <color rgb="FF000000"/>
        <name val="Calibri"/>
        <family val="2"/>
        <scheme val="minor"/>
      </font>
      <fill>
        <patternFill patternType="solid">
          <fgColor indexed="64"/>
          <bgColor rgb="FFFFD966"/>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border diagonalUp="0" diagonalDown="0">
        <left/>
        <right/>
        <top style="thin">
          <color theme="9" tint="0.39997558519241921"/>
        </top>
        <bottom style="thin">
          <color theme="9" tint="0.39997558519241921"/>
        </bottom>
        <vertical/>
        <horizontal/>
      </border>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theme="9" tint="0.39997558519241921"/>
        </top>
      </border>
    </dxf>
    <dxf>
      <alignment horizontal="left" vertical="bottom" textRotation="0" wrapText="0" indent="0" justifyLastLine="0" shrinkToFit="0" readingOrder="0"/>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patternType="none">
          <fgColor indexed="64"/>
          <bgColor auto="1"/>
        </patternFill>
      </fill>
      <alignment horizontal="left"/>
    </dxf>
    <dxf>
      <fill>
        <patternFill patternType="none">
          <fgColor indexed="64"/>
          <bgColor auto="1"/>
        </patternFill>
      </fill>
      <alignment horizontal="left"/>
    </dxf>
    <dxf>
      <fill>
        <patternFill patternType="none">
          <fgColor indexed="64"/>
          <bgColor auto="1"/>
        </patternFill>
      </fill>
      <alignment horizontal="left"/>
    </dxf>
    <dxf>
      <numFmt numFmtId="166" formatCode="yyyymmdd"/>
      <fill>
        <patternFill patternType="none">
          <fgColor indexed="64"/>
          <bgColor auto="1"/>
        </patternFill>
      </fill>
      <alignment horizontal="left" vertical="bottom" textRotation="0" wrapText="0" indent="0" justifyLastLine="0" shrinkToFit="0" readingOrder="0"/>
    </dxf>
    <dxf>
      <numFmt numFmtId="30" formatCode="@"/>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dxf>
    <dxf>
      <fill>
        <patternFill patternType="none">
          <fgColor indexed="64"/>
          <bgColor auto="1"/>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6" formatCode="yyyymmdd"/>
      <alignment horizontal="left" vertical="top" textRotation="0" wrapText="0" indent="0" justifyLastLine="0" shrinkToFit="0" readingOrder="0"/>
      <border diagonalUp="0" diagonalDown="0" outline="0">
        <left/>
        <right/>
        <top style="thin">
          <color theme="9" tint="0.39997558519241921"/>
        </top>
        <bottom style="thin">
          <color theme="9" tint="0.39997558519241921"/>
        </bottom>
      </border>
    </dxf>
    <dxf>
      <numFmt numFmtId="30" formatCode="@"/>
      <alignment horizontal="left" vertical="bottom" textRotation="0" wrapText="0" indent="0" justifyLastLine="0" shrinkToFit="0" readingOrder="0"/>
      <border diagonalUp="0" diagonalDown="0" outline="0">
        <left style="thin">
          <color theme="9" tint="0.39997558519241921"/>
        </left>
        <right/>
        <top style="thin">
          <color theme="9" tint="0.39997558519241921"/>
        </top>
        <bottom style="thin">
          <color theme="9" tint="0.39997558519241921"/>
        </bottom>
      </border>
    </dxf>
    <dxf>
      <border outline="0">
        <top style="thin">
          <color theme="9" tint="0.39997558519241921"/>
        </top>
        <bottom style="thin">
          <color theme="9" tint="0.39997558519241921"/>
        </bottom>
      </border>
    </dxf>
    <dxf>
      <alignment horizontal="left" vertical="bottom" textRotation="0" wrapText="0" indent="0" justifyLastLine="0" shrinkToFit="0" readingOrder="0"/>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alignment horizontal="left" vertical="top" textRotation="0" wrapText="0" indent="0" justifyLastLine="0" shrinkToFit="0" readingOrder="0"/>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charset val="238"/>
        <scheme val="minor"/>
      </font>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none"/>
      </font>
      <alignment horizontal="left" vertical="center" textRotation="0" wrapText="1"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bottom style="thin">
          <color auto="1"/>
        </bottom>
      </border>
    </dxf>
    <dxf>
      <font>
        <b/>
        <i val="0"/>
        <strike val="0"/>
        <condense val="0"/>
        <extend val="0"/>
        <outline val="0"/>
        <shadow val="0"/>
        <u val="none"/>
        <vertAlign val="baseline"/>
        <sz val="10"/>
        <color auto="1"/>
        <name val="Calibri"/>
        <family val="2"/>
        <scheme val="none"/>
      </font>
      <fill>
        <patternFill patternType="solid">
          <fgColor rgb="FF000000"/>
          <bgColor rgb="FFFFD966"/>
        </patternFill>
      </fill>
      <alignment horizontal="center" vertical="center"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theme="9" tint="0.39997558519241921"/>
        </top>
      </border>
    </dxf>
    <dxf>
      <alignment horizontal="left" vertical="bottom" textRotation="0" wrapText="0" indent="0" justifyLastLine="0" shrinkToFit="0" readingOrder="0"/>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alignment horizontal="left" vertical="top" textRotation="0" wrapText="0" indent="0" justifyLastLine="0" shrinkToFit="0" readingOrder="0"/>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family val="2"/>
        <charset val="238"/>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rgb="FF000000"/>
        <name val="Calibri"/>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rgb="FF000000"/>
        <name val="Calibri"/>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rgb="FF000000"/>
        <name val="Calibri"/>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rgb="FF000000"/>
        <name val="Calibri"/>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rgb="FF000000"/>
        <name val="Calibri"/>
        <family val="2"/>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family val="2"/>
        <charset val="238"/>
        <scheme val="minor"/>
      </font>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family val="2"/>
        <charset val="238"/>
        <scheme val="minor"/>
      </font>
      <alignment horizontal="left" vertical="center" textRotation="0" wrapText="1" indent="0" justifyLastLine="0" shrinkToFit="0" readingOrder="0"/>
      <border diagonalUp="0" diagonalDown="0">
        <left style="medium">
          <color rgb="FF000000"/>
        </left>
        <right style="thin">
          <color rgb="FF000000"/>
        </right>
        <top style="thin">
          <color rgb="FF000000"/>
        </top>
        <bottom style="thin">
          <color rgb="FF000000"/>
        </bottom>
        <vertical/>
        <horizontal/>
      </border>
    </dxf>
    <dxf>
      <border outline="0">
        <bottom style="medium">
          <color rgb="FF000000"/>
        </bottom>
      </border>
    </dxf>
    <dxf>
      <font>
        <b/>
        <i val="0"/>
        <strike val="0"/>
        <condense val="0"/>
        <extend val="0"/>
        <outline val="0"/>
        <shadow val="0"/>
        <u val="none"/>
        <vertAlign val="baseline"/>
        <sz val="10"/>
        <color rgb="FF000000"/>
        <name val="Calibri"/>
        <family val="2"/>
        <scheme val="none"/>
      </font>
      <fill>
        <patternFill patternType="solid">
          <fgColor rgb="FF000000"/>
          <bgColor rgb="FFFFD966"/>
        </patternFill>
      </fill>
      <alignment horizontal="center" vertical="center" textRotation="0" wrapText="1" indent="0" justifyLastLine="0" shrinkToFit="0" readingOrder="0"/>
    </dxf>
    <dxf>
      <alignment horizontal="left"/>
    </dxf>
    <dxf>
      <alignment horizontal="left"/>
    </dxf>
    <dxf>
      <alignment horizontal="left" vertical="bottom" textRotation="0" wrapText="1" indent="0" justifyLastLine="0" shrinkToFit="0" readingOrder="0"/>
    </dxf>
    <dxf>
      <numFmt numFmtId="166" formatCode="yyyymmdd"/>
      <alignment horizontal="left"/>
    </dxf>
    <dxf>
      <numFmt numFmtId="30" formatCode="@"/>
      <alignment horizontal="left"/>
    </dxf>
    <dxf>
      <alignment horizontal="lef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alignment horizontal="left" vertical="bottom" textRotation="0" wrapText="0" indent="0" justifyLastLine="0" shrinkToFit="0" readingOrder="0"/>
    </dxf>
    <dxf>
      <alignment horizontal="left" vertical="bottom" textRotation="0" wrapText="0" indent="0" justifyLastLine="0" shrinkToFit="0" readingOrder="0"/>
    </dxf>
    <dxf>
      <numFmt numFmtId="166" formatCode="yyyymmdd"/>
      <alignment horizontal="left" vertical="top" textRotation="0" wrapText="0" indent="0" justifyLastLine="0" shrinkToFit="0" readingOrder="0"/>
      <border diagonalUp="0" diagonalDown="0" outline="0">
        <left/>
        <right/>
        <top style="thin">
          <color theme="9" tint="0.39997558519241921"/>
        </top>
        <bottom style="thin">
          <color theme="9" tint="0.39997558519241921"/>
        </bottom>
      </border>
    </dxf>
    <dxf>
      <numFmt numFmtId="30" formatCode="@"/>
      <alignment horizontal="left" vertical="bottom" textRotation="0" wrapText="0" indent="0" justifyLastLine="0" shrinkToFit="0" readingOrder="0"/>
      <border diagonalUp="0" diagonalDown="0" outline="0">
        <left style="thin">
          <color theme="9" tint="0.39997558519241921"/>
        </left>
        <right/>
        <top style="thin">
          <color theme="9" tint="0.39997558519241921"/>
        </top>
        <bottom style="thin">
          <color theme="9" tint="0.39997558519241921"/>
        </bottom>
      </border>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alignment horizontal="left" vertical="top" textRotation="0" wrapText="0" indent="0" justifyLastLine="0" shrinkToFit="0" readingOrder="0"/>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auto="1"/>
        <name val="Calibri"/>
        <family val="2"/>
        <charset val="238"/>
        <scheme val="minor"/>
      </font>
      <alignment horizontal="left" vertical="center" textRotation="0" wrapText="1" indent="0" justifyLastLine="0" shrinkToFit="0" readingOrder="0"/>
      <border diagonalUp="0" diagonalDown="0">
        <left style="thin">
          <color auto="1"/>
        </left>
        <right style="thin">
          <color auto="1"/>
        </right>
        <top style="thin">
          <color auto="1"/>
        </top>
        <bottom/>
        <vertical/>
        <horizontal/>
      </border>
    </dxf>
    <dxf>
      <alignment horizontal="general" vertical="center" textRotation="0" wrapText="0" indent="0" justifyLastLine="0" shrinkToFit="0" readingOrder="0"/>
      <border diagonalUp="0" diagonalDown="0">
        <left style="medium">
          <color rgb="FF000000"/>
        </left>
        <right style="thin">
          <color indexed="64"/>
        </right>
        <top style="thin">
          <color auto="1"/>
        </top>
        <bottom/>
        <vertical/>
        <horizontal/>
      </border>
    </dxf>
    <dxf>
      <border outline="0">
        <bottom style="medium">
          <color rgb="FF000000"/>
        </bottom>
      </border>
    </dxf>
    <dxf>
      <font>
        <b val="0"/>
        <i val="0"/>
        <strike val="0"/>
        <condense val="0"/>
        <extend val="0"/>
        <outline val="0"/>
        <shadow val="0"/>
        <u val="none"/>
        <vertAlign val="baseline"/>
        <sz val="10"/>
        <color auto="1"/>
        <name val="Calibri"/>
        <family val="2"/>
        <scheme val="none"/>
      </font>
      <alignment horizontal="center" vertical="center" textRotation="0" wrapText="1" indent="0" justifyLastLine="0" shrinkToFit="0" readingOrder="0"/>
    </dxf>
    <dxf>
      <font>
        <b/>
        <i val="0"/>
        <strike val="0"/>
        <condense val="0"/>
        <extend val="0"/>
        <outline val="0"/>
        <shadow val="0"/>
        <u val="none"/>
        <vertAlign val="baseline"/>
        <sz val="10"/>
        <color auto="1"/>
        <name val="Calibri"/>
        <family val="2"/>
        <scheme val="none"/>
      </font>
      <fill>
        <patternFill patternType="solid">
          <fgColor rgb="FF000000"/>
          <bgColor rgb="FFFFD966"/>
        </patternFill>
      </fill>
      <alignment horizontal="center" vertical="center" textRotation="0" wrapText="1" indent="0" justifyLastLine="0" shrinkToFit="0" readingOrder="0"/>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numFmt numFmtId="166" formatCode="yyyymmdd"/>
    </dxf>
    <dxf>
      <numFmt numFmtId="30" formatCode="@"/>
    </dxf>
    <dxf>
      <font>
        <b val="0"/>
        <i val="0"/>
        <strike val="0"/>
        <condense val="0"/>
        <extend val="0"/>
        <outline val="0"/>
        <shadow val="0"/>
        <u val="none"/>
        <vertAlign val="baseline"/>
        <sz val="10"/>
        <color theme="1"/>
        <name val="Calibri"/>
        <family val="2"/>
        <charset val="238"/>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family val="2"/>
        <charset val="238"/>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auto="1"/>
        <name val="Calibri"/>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auto="1"/>
        <name val="Calibri"/>
        <family val="2"/>
        <charset val="238"/>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auto="1"/>
        <name val="Calibri"/>
        <family val="2"/>
        <charset val="238"/>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auto="1"/>
        <name val="Calibri"/>
        <family val="2"/>
        <charset val="238"/>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auto="1"/>
        <name val="Calibri"/>
        <family val="2"/>
        <charset val="238"/>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auto="1"/>
        <name val="Calibri"/>
        <family val="2"/>
        <charset val="238"/>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family val="2"/>
        <charset val="238"/>
        <scheme val="minor"/>
      </font>
      <fill>
        <patternFill patternType="none">
          <fgColor indexed="64"/>
          <bgColor indexed="65"/>
        </patternFill>
      </fill>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family val="2"/>
        <charset val="238"/>
        <scheme val="minor"/>
      </font>
      <fill>
        <patternFill patternType="none">
          <fgColor indexed="64"/>
          <bgColor indexed="65"/>
        </patternFill>
      </fill>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border outline="0">
        <top style="thin">
          <color auto="1"/>
        </top>
        <bottom style="thin">
          <color rgb="FF000000"/>
        </bottom>
      </border>
    </dxf>
    <dxf>
      <font>
        <b/>
        <i val="0"/>
        <strike val="0"/>
        <condense val="0"/>
        <extend val="0"/>
        <outline val="0"/>
        <shadow val="0"/>
        <u val="none"/>
        <vertAlign val="baseline"/>
        <sz val="11"/>
        <color theme="1"/>
        <name val="Calibri"/>
        <family val="2"/>
        <charset val="238"/>
        <scheme val="minor"/>
      </font>
      <fill>
        <patternFill patternType="solid">
          <fgColor indexed="64"/>
          <bgColor theme="7"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fill>
        <patternFill>
          <bgColor theme="6" tint="0.5999633777886288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6" formatCode="yyyymmdd"/>
      <alignment horizontal="left" vertical="bottom" textRotation="0" wrapText="0" indent="0" justifyLastLine="0" shrinkToFit="0" readingOrder="0"/>
    </dxf>
    <dxf>
      <numFmt numFmtId="30" formatCode="@"/>
      <alignment horizontal="left" vertical="bottom" textRotation="0" wrapText="0" indent="0" justifyLastLine="0" shrinkToFit="0" readingOrder="0"/>
    </dxf>
    <dxf>
      <border outline="0">
        <top style="thin">
          <color theme="9" tint="0.39997558519241921"/>
        </top>
      </border>
    </dxf>
    <dxf>
      <alignment horizontal="left" vertical="bottom" textRotation="0" wrapText="0" indent="0" justifyLastLine="0" shrinkToFit="0" readingOrder="0"/>
    </dxf>
    <dxf>
      <border outline="0">
        <bottom style="thin">
          <color theme="9" tint="0.39997558519241921"/>
        </bottom>
      </border>
    </dxf>
    <dxf>
      <font>
        <b/>
        <i val="0"/>
        <strike val="0"/>
        <condense val="0"/>
        <extend val="0"/>
        <outline val="0"/>
        <shadow val="0"/>
        <u val="none"/>
        <vertAlign val="baseline"/>
        <sz val="11"/>
        <color theme="0"/>
        <name val="Calibri"/>
        <family val="2"/>
        <charset val="238"/>
        <scheme val="minor"/>
      </font>
      <fill>
        <patternFill patternType="solid">
          <fgColor theme="9"/>
          <bgColor theme="9"/>
        </patternFill>
      </fill>
    </dxf>
    <dxf>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Calibri"/>
        <family val="2"/>
        <scheme val="none"/>
      </font>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Calibri"/>
        <family val="2"/>
        <scheme val="none"/>
      </font>
      <alignment horizontal="general" vertical="bottom"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Calibri"/>
        <family val="2"/>
        <scheme val="none"/>
      </font>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0000"/>
        <name val="Calibri"/>
        <family val="2"/>
        <scheme val="none"/>
      </font>
      <alignment horizontal="general" vertical="bottom"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rgb="FF000000"/>
        </left>
        <right style="thin">
          <color rgb="FF000000"/>
        </right>
        <top style="thin">
          <color rgb="FF000000"/>
        </top>
        <bottom/>
        <vertical/>
        <horizontal/>
      </border>
    </dxf>
    <dxf>
      <font>
        <b val="0"/>
        <i val="0"/>
        <strike val="0"/>
        <condense val="0"/>
        <extend val="0"/>
        <outline val="0"/>
        <shadow val="0"/>
        <u val="none"/>
        <vertAlign val="baseline"/>
        <sz val="11"/>
        <color rgb="FF000000"/>
        <name val="Calibri"/>
        <family val="2"/>
        <charset val="177"/>
        <scheme val="none"/>
      </font>
      <alignment horizontal="general" vertical="bottom" textRotation="0" wrapText="1"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rgb="FF172B4D"/>
        <name val="Calibri"/>
        <family val="2"/>
        <scheme val="none"/>
      </font>
      <alignment horizontal="general" vertical="bottom" textRotation="0" wrapText="1" indent="0" justifyLastLine="0" shrinkToFit="0" readingOrder="0"/>
      <border diagonalUp="0" diagonalDown="0">
        <left style="thin">
          <color auto="1"/>
        </left>
        <right style="thin">
          <color auto="1"/>
        </right>
        <top style="thin">
          <color auto="1"/>
        </top>
        <bottom/>
        <vertical/>
        <horizontal/>
      </border>
    </dxf>
    <dxf>
      <border outline="0">
        <top style="thin">
          <color auto="1"/>
        </top>
        <bottom style="thin">
          <color rgb="FF000000"/>
        </bottom>
      </border>
    </dxf>
    <dxf>
      <font>
        <color rgb="FF9C0006"/>
      </font>
      <fill>
        <patternFill>
          <bgColor rgb="FFFFC7CE"/>
        </patternFill>
      </fill>
    </dxf>
    <dxf>
      <alignment horizontal="left" textRotation="0" indent="0" justifyLastLine="0" shrinkToFit="0" readingOrder="0"/>
    </dxf>
    <dxf>
      <alignment horizontal="left" vertical="bottom" textRotation="0" wrapText="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vertical="bottom" textRotation="0" wrapText="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vertical="bottom" textRotation="0" wrapText="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vertical="bottom" textRotation="0" wrapText="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textRotation="0" indent="0" justifyLastLine="0" shrinkToFit="0" readingOrder="0"/>
    </dxf>
    <dxf>
      <numFmt numFmtId="166" formatCode="yyyymmdd"/>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s>
  <tableStyles count="0" defaultTableStyle="TableStyleMedium2" defaultPivotStyle="PivotStyleLight16"/>
  <colors>
    <mruColors>
      <color rgb="FFE9ED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customXml" Target="../customXml/item4.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sharedStrings" Target="sharedStrings.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styles" Target="styles.xml"/><Relationship Id="rId99" Type="http://schemas.openxmlformats.org/officeDocument/2006/relationships/customXml" Target="../customXml/item1.xml"/><Relationship Id="rId10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microsoft.com/office/2017/10/relationships/person" Target="persons/perso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theme" Target="theme/theme1.xml"/><Relationship Id="rId98" Type="http://schemas.openxmlformats.org/officeDocument/2006/relationships/calcChain" Target="calcChain.xml"/><Relationship Id="rId3" Type="http://schemas.openxmlformats.org/officeDocument/2006/relationships/worksheet" Target="worksheets/sheet3.xml"/></Relationships>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Claes Stejre View" id="{51AA6BB3-3B5A-4D33-8E9E-5AF1F60A2F0A}"/>
  <namedSheetView name="Farid view" id="{73FCEB96-105F-464A-87B9-B7B86D94F940}"/>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AAFA09E7-B6AB-406C-87A5-EE366639101D}"/>
</namedSheetViews>
</file>

<file path=xl/persons/person.xml><?xml version="1.0" encoding="utf-8"?>
<personList xmlns="http://schemas.microsoft.com/office/spreadsheetml/2018/threadedcomments" xmlns:x="http://schemas.openxmlformats.org/spreadsheetml/2006/main">
  <person displayName="Kondori, Farid" id="{B9007B04-C8A9-43AF-980A-9666EBAFA92B}" userId="S::farid.kondori@aptiv.com::cd788666-aad1-4820-944b-d7adebddad7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Table12" displayName="Table12" ref="A2:AS14" totalsRowShown="0" headerRowDxfId="806" dataDxfId="805">
  <tableColumns count="45">
    <tableColumn id="1" xr3:uid="{00000000-0010-0000-0000-000001000000}" name="Description:" dataDxfId="804"/>
    <tableColumn id="2" xr3:uid="{00000000-0010-0000-0000-000002000000}" name="Date:" dataDxfId="803"/>
    <tableColumn id="13" xr3:uid="{00000000-0010-0000-0000-00000D000000}" name="AVI Protocol Version" dataDxfId="802"/>
    <tableColumn id="23" xr3:uid="{30C4D6A7-291B-4118-A210-C99068463EDB}" name="Camera_Config" dataDxfId="801"/>
    <tableColumn id="29" xr3:uid="{ACC6B102-66D7-484B-95C2-BDDC98DB7C01}" name="Common_Function_Config" dataDxfId="800"/>
    <tableColumn id="30" xr3:uid="{D4318752-741A-499C-B053-FC2794AFD113}" name="FCF_CV_Config" dataDxfId="799"/>
    <tableColumn id="31" xr3:uid="{88EB44A7-6D24-4C5A-95F9-BBC57C9936CD}" name="FCF_VD_Config" dataDxfId="798"/>
    <tableColumn id="32" xr3:uid="{F9F65FBD-F129-4F12-BA6F-D1D9A3CD78D1}" name="FCF_VRU_Config" dataDxfId="797"/>
    <tableColumn id="37" xr3:uid="{5B4466E1-989F-4476-AE00-A18F119BA34B}" name="HLB_Config" dataDxfId="796"/>
    <tableColumn id="34" xr3:uid="{5D9C619F-CDED-4A74-8EE5-F50B5B043CAF}" name="Construction_Area_Debug" dataDxfId="795"/>
    <tableColumn id="35" xr3:uid="{E534F975-E8F0-458E-B106-48146BC52343}" name="Freespace_Debug" dataDxfId="794"/>
    <tableColumn id="36" xr3:uid="{1EA27DA8-FAB2-4CFA-8B8E-4AB017859554}" name="Lanes_Adjacent_Debug" dataDxfId="793"/>
    <tableColumn id="38" xr3:uid="{83ADD748-A756-4F4F-B949-CA95A094E565}" name="LAP_Debug" dataDxfId="792"/>
    <tableColumn id="39" xr3:uid="{680DEE2D-04F0-4A24-BD2F-2F59A84CBA3E}" name="Lanes_Host_Debug" dataDxfId="791"/>
    <tableColumn id="40" xr3:uid="{EE3AB3DC-C8ED-4988-8751-D752293042B8}" name="Lanes_Road_Edge_Debug" dataDxfId="790"/>
    <tableColumn id="41" xr3:uid="{180AD29D-ED6A-42D7-8125-D63FACFF4EB2}" name="LSR_Debug" dataDxfId="789"/>
    <tableColumn id="42" xr3:uid="{ECA5EC10-E820-4F78-8D6D-BDB537F844AE}" name="LSV_Debug" dataDxfId="788"/>
    <tableColumn id="43" xr3:uid="{EC8B020B-61AD-4EEE-85EE-A63435105F60}" name="Objects_Debug" dataDxfId="787"/>
    <tableColumn id="44" xr3:uid="{4B7728A1-098C-4B54-B757-B65ED468B829}" name="Road_Markings_Debug" dataDxfId="786"/>
    <tableColumn id="46" xr3:uid="{14433150-685D-4412-81B0-18D0271CF55E}" name="Traffic_Lights_Debug" dataDxfId="785"/>
    <tableColumn id="45" xr3:uid="{BE51C172-6940-477E-B2F6-373EF4F08827}" name="Traffic_Signs_Debug" dataDxfId="784"/>
    <tableColumn id="3" xr3:uid="{00000000-0010-0000-0000-000003000000}" name="Objects" dataDxfId="783"/>
    <tableColumn id="26" xr3:uid="{A09EED4C-B42C-4A3C-A878-C82752E077DE}" name="FCF_VD" dataDxfId="782"/>
    <tableColumn id="25" xr3:uid="{33650800-77A0-4EAB-B27D-F5ABBB01B7ED}" name="FCF_VRU" dataDxfId="781"/>
    <tableColumn id="10" xr3:uid="{9BA31D27-DBC0-4264-AF3A-03B778225F17}" name="FCF_CV" dataDxfId="780"/>
    <tableColumn id="5" xr3:uid="{00000000-0010-0000-0000-000005000000}" name="Car Sensor" dataDxfId="779"/>
    <tableColumn id="6" xr3:uid="{00000000-0010-0000-0000-000006000000}" name="GPS Sensor" dataDxfId="778"/>
    <tableColumn id="12" xr3:uid="{2D69F6C8-1B23-4FFE-8949-45871E676C63}" name="Failsafe" dataDxfId="777"/>
    <tableColumn id="24" xr3:uid="{D992EDC1-6B7A-4776-A1F4-1C4D0AD6AE6F}" name="Traffic Signs" dataDxfId="776"/>
    <tableColumn id="11" xr3:uid="{BED860F4-D7AD-46E9-8506-ABD82B2D3797}" name="Traffic_Lights" dataDxfId="775"/>
    <tableColumn id="22" xr3:uid="{0A391D15-0FF2-4E25-AB29-A8344B313DE3}" name="Road Markings" dataDxfId="774"/>
    <tableColumn id="21" xr3:uid="{026DF482-8540-44B7-AD36-6837A605E019}" name="Construction Area" dataDxfId="773"/>
    <tableColumn id="8" xr3:uid="{00000000-0010-0000-0000-000008000000}" name="Road Profile" dataDxfId="772"/>
    <tableColumn id="19" xr3:uid="{FAC828C0-CABB-4432-BF98-7088C2D2F2AB}" name="Light_Scene_Vehicles" dataDxfId="771"/>
    <tableColumn id="20" xr3:uid="{23046AE1-2DBF-45E0-8479-4A478BD74AB6}" name="Light_Scene_Reflectors" dataDxfId="770"/>
    <tableColumn id="4" xr3:uid="{AB7AE0BD-4E43-4EBA-9F55-B6A6B3E5CE87}" name="HLB" dataDxfId="769"/>
    <tableColumn id="27" xr3:uid="{C3EECC45-930F-4950-BE49-1BA63FFBFA47}" name="Calibration" dataDxfId="768"/>
    <tableColumn id="7" xr3:uid="{5DCF133D-0807-4CA5-9BD9-9C3BAA163520}" name="Calibration_Dynamic" dataDxfId="767"/>
    <tableColumn id="9" xr3:uid="{B7292405-C63C-4C9A-9025-B417FF61CCE3}" name="Calibration_Static" dataDxfId="766"/>
    <tableColumn id="14" xr3:uid="{801D0477-97A8-42C8-9E61-8A69A20540B1}" name="Lanes_Host" dataDxfId="765"/>
    <tableColumn id="15" xr3:uid="{ABEDE63C-AADA-4436-80E9-48BD609988F1}" name="Lanes_Adjacent" dataDxfId="764"/>
    <tableColumn id="16" xr3:uid="{C75FE840-B2AE-4AB1-A50A-C38398A6E0DC}" name="Lanes_Applications" dataDxfId="763"/>
    <tableColumn id="18" xr3:uid="{96706484-1827-4D79-8763-7A8C7EEBDB09}" name="Lanes_Road_Edge" dataDxfId="762"/>
    <tableColumn id="28" xr3:uid="{BFB93203-0185-473F-8F39-E0F8C74DD168}" name="FreeSpace" dataDxfId="761"/>
    <tableColumn id="17" xr3:uid="{5123CC4B-C818-4965-B45C-8C0E2D5CBFF3}" name="Common" dataDxfId="760"/>
  </tableColumns>
  <tableStyleInfo name="TableStyleLight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1408763-020D-4688-A03C-09454BDAD048}" name="Table558" displayName="Table558" ref="L4:N52" totalsRowShown="0" tableBorderDxfId="758">
  <tableColumns count="3">
    <tableColumn id="1" xr3:uid="{3EFAD58B-D151-41DF-A9C6-648DE8D585A0}" name="Semantic Name" dataDxfId="757"/>
    <tableColumn id="2" xr3:uid="{4E89F977-8421-4640-97A9-A53EB4B6B773}" name="Enum Value" dataDxfId="756"/>
    <tableColumn id="3" xr3:uid="{588F91E0-7A4E-4C86-BA23-6CEAB62E006E}" name="Comment" dataDxfId="755"/>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6C4863D-CDBD-4E25-AED9-BB93F5141FEF}" name="Table10" displayName="Table10" ref="A4:C399" totalsRowShown="0" headerRowDxfId="754" headerRowBorderDxfId="753" tableBorderDxfId="752" totalsRowBorderDxfId="751">
  <tableColumns count="3">
    <tableColumn id="1" xr3:uid="{2BB18DB2-CFA2-4156-852A-E22939423A90}" name="Semantic Name" dataDxfId="750"/>
    <tableColumn id="2" xr3:uid="{DB0CDA8A-4A85-44B2-AF39-DD7FCB9CE4B5}" name="Enum Value" dataDxfId="749"/>
    <tableColumn id="3" xr3:uid="{DDC1143D-7D86-4C75-B9C2-837E2DC4E948}" name="Comment" dataDxfId="748"/>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0CD8B01-5743-4554-8588-EF67DDE3C7B5}" name="Table11" displayName="Table11" ref="F4:H84" totalsRowShown="0" headerRowDxfId="747" headerRowBorderDxfId="746" tableBorderDxfId="745" totalsRowBorderDxfId="744">
  <tableColumns count="3">
    <tableColumn id="1" xr3:uid="{7CF6E882-AB50-48FC-890E-E90BBD81BEF7}" name="Semantic Name" dataDxfId="743"/>
    <tableColumn id="2" xr3:uid="{D03CFB44-4585-4700-9015-0CB511A72B27}" name="Enum Value" dataDxfId="742"/>
    <tableColumn id="3" xr3:uid="{1758645D-8B04-445D-AFA9-0F984CB82263}" name="Comment" dataDxfId="741"/>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C21317-4578-4991-80C1-C82F3311ED02}" name="Table21" displayName="Table21" ref="A1:E35" totalsRowShown="0" headerRowDxfId="740" dataDxfId="738" headerRowBorderDxfId="739" tableBorderDxfId="737">
  <tableColumns count="5">
    <tableColumn id="1" xr3:uid="{E88A89B0-97B9-4A7E-B8F1-ED64FA0D9BD4}" name="Revision" dataDxfId="736"/>
    <tableColumn id="2" xr3:uid="{A32BA87A-35DA-4A7C-A1DB-9438F5B32AF6}" name="Date" dataDxfId="735"/>
    <tableColumn id="3" xr3:uid="{3DFE852F-11AA-48F7-AF6E-9E7871EC2758}" name="Change" dataDxfId="734"/>
    <tableColumn id="4" xr3:uid="{BD1F8FB0-0B37-400F-AAD2-B6BEF554BE08}" name="Author" dataDxfId="733"/>
    <tableColumn id="5" xr3:uid="{269E92DD-955B-4FB5-A573-E840478DABA1}" name="Status" dataDxfId="73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A2D9781A-7B36-4F6C-978B-52EFDAE462BD}" name="Table70" displayName="Table70" ref="A3:J30" totalsRowShown="0" headerRowDxfId="710" tableBorderDxfId="709" headerRowCellStyle="Normal 2 2">
  <autoFilter ref="A3:J30" xr:uid="{A2D9781A-7B36-4F6C-978B-52EFDAE462BD}"/>
  <tableColumns count="10">
    <tableColumn id="1" xr3:uid="{876AEFD3-D09B-450E-B45C-46376304429B}" name="Name" dataDxfId="708"/>
    <tableColumn id="2" xr3:uid="{C04B2C0B-F409-463E-9AF7-5B2652869B14}" name="Description" dataDxfId="707"/>
    <tableColumn id="3" xr3:uid="{18409142-45E2-445E-A706-DCD758AFCBE0}" name="Unit" dataDxfId="706" dataCellStyle="Normal 2 2"/>
    <tableColumn id="4" xr3:uid="{4F4B7332-5D9C-4EB8-AC5B-49E6AF3E6DA7}" name="Min" dataDxfId="705" dataCellStyle="Normal 2 2"/>
    <tableColumn id="5" xr3:uid="{6246837B-867A-4BF1-875C-AEBDBF692171}" name="Max" dataDxfId="704" dataCellStyle="Normal 2 2"/>
    <tableColumn id="6" xr3:uid="{203DE13E-5936-4CEF-BF83-4A732CADEF71}" name="Value" dataDxfId="703" dataCellStyle="Normal 2 2"/>
    <tableColumn id="7" xr3:uid="{63E8CAA0-55BE-410B-A08D-4E210B426B47}" name="Default" dataDxfId="702" dataCellStyle="Normal 2 2"/>
    <tableColumn id="8" xr3:uid="{19B719AB-0CA7-4025-8EE4-61E32EBDD089}" name="Size" dataDxfId="701"/>
    <tableColumn id="9" xr3:uid="{3C78F6C5-C817-4DDA-B130-FD298EC3C240}" name="Type" dataDxfId="700"/>
    <tableColumn id="10" xr3:uid="{012536F5-8217-4876-80EE-2C8DCAD9AC66}" name="ASIL Compliance" dataDxfId="699"/>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083625-5109-421D-802D-97E15E068DA1}" name="Table137810" displayName="Table137810" ref="A1:E23" totalsRowShown="0">
  <tableColumns count="5">
    <tableColumn id="1" xr3:uid="{CCCCE830-3267-4CA0-92B9-B65227638A11}" name="Revision" dataDxfId="698"/>
    <tableColumn id="5" xr3:uid="{C23DDF3A-E53D-4CE1-9D8E-007A91D9BED0}" name="Date" dataDxfId="697"/>
    <tableColumn id="2" xr3:uid="{30A33149-ADBE-4412-B992-04A65396D492}" name="Change"/>
    <tableColumn id="3" xr3:uid="{7224B9BC-EE7B-467A-BE52-71B9BD4166EA}" name="Author"/>
    <tableColumn id="4" xr3:uid="{3D7D9BE8-E4E5-471E-8FEE-AEF976823707}" name="Approval"/>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112FD1B0-ED68-450D-8ED6-B7A8F93A2BDB}" name="Table69" displayName="Table69" ref="A3:J85" totalsRowShown="0" headerRowDxfId="694" dataDxfId="693" tableBorderDxfId="692" headerRowCellStyle="Normal 2 3">
  <autoFilter ref="A3:J85" xr:uid="{112FD1B0-ED68-450D-8ED6-B7A8F93A2BDB}"/>
  <tableColumns count="10">
    <tableColumn id="1" xr3:uid="{DF191487-C508-4F85-80C8-49E2B5633444}" name="Name" dataDxfId="691"/>
    <tableColumn id="2" xr3:uid="{31FA8592-D761-42F4-AEF0-4B0987A6861B}" name="Description" dataDxfId="690" dataCellStyle="Normal 2 2 2"/>
    <tableColumn id="3" xr3:uid="{269E30B0-3617-4474-A0AF-3208B8E4147C}" name="Unit" dataDxfId="689"/>
    <tableColumn id="4" xr3:uid="{DD47E148-AE96-488F-AB53-D9A838D79E98}" name="Min" dataDxfId="688"/>
    <tableColumn id="5" xr3:uid="{0B197C77-8F83-499E-95E4-9C5E1A956BC2}" name="Max" dataDxfId="687"/>
    <tableColumn id="6" xr3:uid="{F3552068-E538-4A49-8E17-5FCFFB768E48}" name="Value" dataDxfId="686"/>
    <tableColumn id="7" xr3:uid="{6DE09BE6-38D2-4B6D-AF4E-97B811303F3F}" name="Default" dataDxfId="685"/>
    <tableColumn id="8" xr3:uid="{4E64451A-0FF1-41DC-A078-4FEBF641034E}" name="Size" dataDxfId="684"/>
    <tableColumn id="9" xr3:uid="{2224A30F-092D-4633-AAF8-9C9E7315E6FA}" name="Type" dataDxfId="683"/>
    <tableColumn id="10" xr3:uid="{D22379C4-E0AA-4C45-8AAB-D54A4F8DB650}" name="ASIL Compliance" dataDxfId="682" dataCellStyle="Normal 2 3"/>
  </tableColumns>
  <tableStyleInfo name="TableStyleMedium1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08EB36B-5E4A-450E-ACAB-181A2FA7653F}" name="Table23" displayName="Table23" ref="A1:E24" totalsRowShown="0" headerRowDxfId="681" headerRowBorderDxfId="680" tableBorderDxfId="679">
  <tableColumns count="5">
    <tableColumn id="1" xr3:uid="{21C3D467-1A2D-46E9-ADBC-F13C0E1905B4}" name="Revision" dataDxfId="678"/>
    <tableColumn id="2" xr3:uid="{5CBF35AB-D12A-4BB1-B182-ADDFA5012EF0}" name="Date" dataDxfId="677"/>
    <tableColumn id="3" xr3:uid="{A4F536B4-EC84-47F6-9C89-7ACC9B04A9DE}" name="Change"/>
    <tableColumn id="4" xr3:uid="{B5DDAF7A-E61C-4C57-8BD0-A7D64AB71DFC}" name="Author" dataDxfId="676"/>
    <tableColumn id="5" xr3:uid="{AC5696DE-BD02-491D-8A4C-424817C5D525}" name="Status" dataDxfId="67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134" displayName="Table134" ref="A1:E52" totalsRowShown="0" dataDxfId="662">
  <tableColumns count="5">
    <tableColumn id="1" xr3:uid="{00000000-0010-0000-0300-000001000000}" name="Revision" dataDxfId="661"/>
    <tableColumn id="5" xr3:uid="{00000000-0010-0000-0300-000005000000}" name="Date" dataDxfId="660"/>
    <tableColumn id="2" xr3:uid="{00000000-0010-0000-0300-000002000000}" name="Change" dataDxfId="659"/>
    <tableColumn id="3" xr3:uid="{00000000-0010-0000-0300-000003000000}" name="Author" dataDxfId="658"/>
    <tableColumn id="4" xr3:uid="{00000000-0010-0000-0300-000004000000}" name="Status" dataDxfId="657"/>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F68481DA-AEFB-428C-91C8-58705DBC27B5}" name="Table68" displayName="Table68" ref="A3:J18" totalsRowShown="0" headerRowDxfId="656" tableBorderDxfId="655">
  <autoFilter ref="A3:J18" xr:uid="{F68481DA-AEFB-428C-91C8-58705DBC27B5}"/>
  <tableColumns count="10">
    <tableColumn id="1" xr3:uid="{2933037E-5CEA-43DC-957B-60681B7E0B3E}" name="Name" dataDxfId="654" dataCellStyle="Normal 2 2"/>
    <tableColumn id="2" xr3:uid="{6B876214-BE29-45A4-9134-AD0A1AB34E0C}" name="Description" dataDxfId="653" dataCellStyle="Normal 2 2"/>
    <tableColumn id="3" xr3:uid="{D48DECD4-E90B-402B-85D6-9E5122FD441E}" name="Unit" dataDxfId="652"/>
    <tableColumn id="4" xr3:uid="{05B9ACD5-AA57-4137-9864-1D1B40D44D01}" name="Min" dataDxfId="651"/>
    <tableColumn id="5" xr3:uid="{48C5589C-0E2C-43EB-8483-2A634B3AB6C2}" name="Max" dataDxfId="650"/>
    <tableColumn id="6" xr3:uid="{0D7ECA32-C6A6-4372-BA93-84ACF3B5EFC5}" name="Value" dataDxfId="649"/>
    <tableColumn id="7" xr3:uid="{33561F30-FBD0-4128-B264-D91BD00BCC2B}" name="Default" dataDxfId="648"/>
    <tableColumn id="8" xr3:uid="{97BC1F0C-8D87-4276-9A3C-7DD809803155}" name="Size" dataDxfId="647" dataCellStyle="Normal 2 2"/>
    <tableColumn id="9" xr3:uid="{EC3869F0-32CF-468C-93BB-A6492CF37815}" name="Type" dataDxfId="646"/>
    <tableColumn id="10" xr3:uid="{814AA4F6-729A-4815-AAF2-86AFAF1EFEAB}" name="ASIL Compliance" dataDxfId="645"/>
  </tableColumns>
  <tableStyleInfo name="TableStyleMedium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9576F61-F852-4E2B-9A48-7DBA5A51BA66}" name="Table24" displayName="Table24" ref="A1:E45" totalsRowShown="0" headerRowDxfId="644" dataDxfId="642" headerRowBorderDxfId="643" tableBorderDxfId="641">
  <tableColumns count="5">
    <tableColumn id="1" xr3:uid="{E94B1F9C-9573-4C4F-B806-FB4EDEB16CBF}" name="Revision" dataDxfId="640"/>
    <tableColumn id="2" xr3:uid="{5A432FC6-7102-4813-8FA3-237A9B37837F}" name="Date" dataDxfId="639"/>
    <tableColumn id="3" xr3:uid="{78DD4DFF-2415-4800-A92E-FCC7F04DBDC3}" name="Change" dataDxfId="638"/>
    <tableColumn id="4" xr3:uid="{CE35A039-FBFE-49DC-B4E0-5B58F85D970E}" name="Author" dataDxfId="637"/>
    <tableColumn id="5" xr3:uid="{393C351F-7D27-46FA-B467-A0100D11344C}" name="Status" dataDxfId="636"/>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F599042E-44A7-4CB1-9343-E9B2C5AF2E9B}" name="Table67" displayName="Table67" ref="A3:J33" totalsRowShown="0" headerRowDxfId="635" tableBorderDxfId="634" headerRowCellStyle="Normal 2 3">
  <autoFilter ref="A3:J33" xr:uid="{F599042E-44A7-4CB1-9343-E9B2C5AF2E9B}"/>
  <tableColumns count="10">
    <tableColumn id="1" xr3:uid="{E4262847-A5DE-4C83-AC19-73353C017A9F}" name="Name" dataDxfId="633" dataCellStyle="Normal 2 3"/>
    <tableColumn id="2" xr3:uid="{B1DC55A6-98CC-494C-A774-D4280A625BE8}" name="Description" dataDxfId="632" dataCellStyle="Normal 2 2 2"/>
    <tableColumn id="3" xr3:uid="{0E326188-685B-43EC-B684-2DE7EB747975}" name="Unit" dataDxfId="631"/>
    <tableColumn id="4" xr3:uid="{613F7B93-E358-4418-8D4D-7130912A262F}" name="Min" dataDxfId="630"/>
    <tableColumn id="5" xr3:uid="{4E113F94-A38B-480E-8398-626AD5CE207A}" name="Max" dataDxfId="629"/>
    <tableColumn id="6" xr3:uid="{929B9CED-3CE1-4FA9-A99E-0CAD76532656}" name="Value" dataDxfId="628"/>
    <tableColumn id="7" xr3:uid="{9A396689-9FEC-4B69-B467-D7CDB5B13146}" name="Default" dataDxfId="627"/>
    <tableColumn id="8" xr3:uid="{E28021D5-D995-4F6F-BF69-FE07F665AE3F}" name="Size" dataDxfId="626" dataCellStyle="Normal 2 3"/>
    <tableColumn id="9" xr3:uid="{67DC9967-4739-4FE5-940F-551DCF0A7AB3}" name="Type" dataDxfId="625" dataCellStyle="Normal 2 3"/>
    <tableColumn id="10" xr3:uid="{E6BBBA59-21D7-41C5-AA5E-CB0EB2614CCA}" name="ASIL Compliance" dataDxfId="624" dataCellStyle="Normal 2 3"/>
  </tableColumns>
  <tableStyleInfo name="TableStyleMedium1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63D0AE10-1035-41AD-B13A-04F39BF62384}" name="Table25" displayName="Table25" ref="A1:E16" totalsRowShown="0" headerRowDxfId="623" dataDxfId="621" headerRowBorderDxfId="622" tableBorderDxfId="620">
  <autoFilter ref="A1:E16" xr:uid="{63D0AE10-1035-41AD-B13A-04F39BF62384}"/>
  <tableColumns count="5">
    <tableColumn id="1" xr3:uid="{F2D808E1-142F-43F5-8170-B4CA276C13B6}" name="Revision" dataDxfId="619"/>
    <tableColumn id="2" xr3:uid="{111576A9-96A4-4840-8162-97B14F70DC80}" name="Date" dataDxfId="618"/>
    <tableColumn id="3" xr3:uid="{79059C4F-DF8A-4F08-9DB2-B14AB7CD568A}" name="Change" dataDxfId="617"/>
    <tableColumn id="4" xr3:uid="{B2247495-67C1-436B-905D-6182BF583FE6}" name="Author" dataDxfId="616"/>
    <tableColumn id="5" xr3:uid="{57E3DD94-1874-4922-9241-E5B40435CB4D}" name="Status" dataDxfId="615"/>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DC9B62-DD73-402F-BED9-E69F5E61A348}" name="Table1376" displayName="Table1376" ref="A1:E52" totalsRowShown="0" headerRowDxfId="614" dataDxfId="613">
  <tableColumns count="5">
    <tableColumn id="1" xr3:uid="{81590D07-BB27-4E17-9EC0-BFE7182A1B5C}" name="Revision" dataDxfId="612"/>
    <tableColumn id="5" xr3:uid="{7A49E940-502B-47DD-9D27-FAD2CF484E67}" name="Date" dataDxfId="611"/>
    <tableColumn id="2" xr3:uid="{EDEBFF78-6CD5-46C0-B832-55CB37ECCC28}" name="Change" dataDxfId="610"/>
    <tableColumn id="3" xr3:uid="{19E4E04F-5C6E-4CB4-9FDC-83D5C3A9DD83}" name="Author" dataDxfId="609"/>
    <tableColumn id="4" xr3:uid="{8F69FD03-30DF-4811-B7AD-AAC4102FBF0E}" name="Approval" dataDxfId="608"/>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71D26C7-7355-4525-B489-9E9426EDE207}" name="Table27" displayName="Table27" ref="A1:E22" totalsRowShown="0" headerRowDxfId="604" headerRowBorderDxfId="603" tableBorderDxfId="602">
  <tableColumns count="5">
    <tableColumn id="1" xr3:uid="{7C4890FB-4CBD-49CD-8796-F2C281CBAA14}" name="Revision" dataDxfId="601"/>
    <tableColumn id="2" xr3:uid="{7B4951F3-8FA5-498C-9CF7-BBF285B67FCA}" name="Date" dataDxfId="600"/>
    <tableColumn id="3" xr3:uid="{A3EED368-CE65-4637-A03A-C97D644CE109}" name="Change"/>
    <tableColumn id="4" xr3:uid="{A2F85111-6FDB-46DF-A09B-8BA4D1AAB392}" name="Author"/>
    <tableColumn id="5" xr3:uid="{421DF6CD-9C98-4EAF-8318-CC14C8148478}" name="Approval"/>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52D4BF30-8729-42E4-905A-F4245ECD9EAF}" name="Table26" displayName="Table26" ref="A1:E45" totalsRowShown="0" headerRowDxfId="599" dataDxfId="597" headerRowBorderDxfId="598" tableBorderDxfId="596">
  <tableColumns count="5">
    <tableColumn id="1" xr3:uid="{196F1A98-329D-472E-9035-8259EC83E8CF}" name="Revision" dataDxfId="595"/>
    <tableColumn id="2" xr3:uid="{6B56C3A8-747E-466D-8756-5104667762DF}" name="Date" dataDxfId="594"/>
    <tableColumn id="3" xr3:uid="{1B81CD66-A3C2-44D1-AF1C-12651ADBC18E}" name="Change" dataDxfId="593"/>
    <tableColumn id="4" xr3:uid="{42813632-5063-4A0F-9253-6F7232F3AB01}" name="Author" dataDxfId="592"/>
    <tableColumn id="5" xr3:uid="{2D2F1146-8CB6-43B1-BF76-694FA448F609}" name="Status" dataDxfId="591"/>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1282624-ADBC-4726-A8EE-9852DF9F2DBF}" name="Table66" displayName="Table66" ref="A3:J17" totalsRowShown="0" headerRowDxfId="590" dataDxfId="589" tableBorderDxfId="588">
  <autoFilter ref="A3:J17" xr:uid="{21282624-ADBC-4726-A8EE-9852DF9F2DBF}"/>
  <tableColumns count="10">
    <tableColumn id="1" xr3:uid="{D658C289-37BB-4815-99AF-27E55EE32128}" name="Name" dataDxfId="587"/>
    <tableColumn id="2" xr3:uid="{0C63FCF2-D5CF-4AAB-B737-D8B3908DB239}" name="Description" dataDxfId="586"/>
    <tableColumn id="3" xr3:uid="{9FB7ACBC-1604-4357-9622-7C48DB4C578A}" name="Unit" dataDxfId="585"/>
    <tableColumn id="4" xr3:uid="{62AEC5B9-4253-40E6-A3EE-EDE7E8CA7050}" name="Min" dataDxfId="584"/>
    <tableColumn id="5" xr3:uid="{54B6F9F5-9BFE-43C3-85A8-6EB56A2A798C}" name="Max" dataDxfId="583"/>
    <tableColumn id="6" xr3:uid="{754C68A4-FB1F-481E-8419-2C8D0D9FF21A}" name="Value" dataDxfId="582"/>
    <tableColumn id="7" xr3:uid="{B6FD6112-BC5A-4560-867E-2BCEDD816E93}" name="Default" dataDxfId="581"/>
    <tableColumn id="8" xr3:uid="{B169ADB9-F980-45C5-9317-707E8A270316}" name="Size" dataDxfId="580"/>
    <tableColumn id="9" xr3:uid="{41BD456F-9CC5-49C5-B06E-6F4F0BAE7498}" name="Type" dataDxfId="579"/>
    <tableColumn id="10" xr3:uid="{DBE1BC49-F86F-441A-BD30-915C35ABBDEC}" name="ASIL Compliance" dataDxfId="578"/>
  </tableColumns>
  <tableStyleInfo name="TableStyleMedium1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419B0A9-B43D-4CAF-BC53-0FE6DFA01EC4}" name="Table28" displayName="Table28" ref="A1:E40" totalsRowShown="0" headerRowDxfId="577" dataDxfId="575" headerRowBorderDxfId="576" tableBorderDxfId="574">
  <tableColumns count="5">
    <tableColumn id="1" xr3:uid="{BFA3D4F8-AAEC-4B11-9ECC-F41546F11CDC}" name="Revision" dataDxfId="573"/>
    <tableColumn id="2" xr3:uid="{46C67C2C-68C9-462C-BA41-80CD79D09DEA}" name="Date" dataDxfId="572"/>
    <tableColumn id="3" xr3:uid="{6BF78264-C593-477A-87E8-B24A7E990DEA}" name="Change"/>
    <tableColumn id="4" xr3:uid="{ED957AB9-B0E2-43D7-9406-34C9C65842C8}" name="Author" dataDxfId="571"/>
    <tableColumn id="5" xr3:uid="{C175EDF5-0649-4D84-A73F-018BB717C638}" name="Status" dataDxfId="570"/>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DC114656-5FC7-4BA1-91C6-D6AE8DAF183A}" name="Table65" displayName="Table65" ref="A3:J100" totalsRowShown="0" headerRowDxfId="569" headerRowBorderDxfId="568" tableBorderDxfId="567" totalsRowBorderDxfId="566" headerRowCellStyle="Normal 2 2">
  <autoFilter ref="A3:J100" xr:uid="{DC114656-5FC7-4BA1-91C6-D6AE8DAF183A}"/>
  <tableColumns count="10">
    <tableColumn id="1" xr3:uid="{7D0721F8-09EA-4261-B80B-C3972B9746D0}" name="Name" dataDxfId="565"/>
    <tableColumn id="2" xr3:uid="{E5CEFBDA-DBF8-4D40-BEA3-A2BBE18896F5}" name="Description" dataDxfId="564"/>
    <tableColumn id="3" xr3:uid="{4E8113C9-500A-462C-83B4-E8809CE4649E}" name="Unit" dataDxfId="563"/>
    <tableColumn id="4" xr3:uid="{91604F34-1118-4A08-B285-AB3D287B2561}" name="Min"/>
    <tableColumn id="5" xr3:uid="{94C3198F-AF37-48B1-B9F0-5C8C3ED0410D}" name="Max"/>
    <tableColumn id="6" xr3:uid="{3FBE7C70-C979-41FF-A67F-5411C4DA901D}" name="Value" dataDxfId="562"/>
    <tableColumn id="7" xr3:uid="{D5A55450-273C-4A8E-8DC5-978C37D05593}" name="Default" dataDxfId="561"/>
    <tableColumn id="8" xr3:uid="{443A8590-4F23-43B0-87DA-EDB57C88215B}" name="Size" dataDxfId="560"/>
    <tableColumn id="9" xr3:uid="{3BCCBD32-EC3C-4D9B-AC2D-40A67AB1A447}" name="Type" dataDxfId="559"/>
    <tableColumn id="10" xr3:uid="{1C87BB77-FA73-4531-BA91-87F34BE2E8FD}" name="ASIL Compliance" dataDxfId="558"/>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F1202A5A-6D59-43BF-A6EC-2BB7921BA0E4}" name="Table29" displayName="Table29" ref="A1:E29" totalsRowShown="0" headerRowDxfId="557" dataDxfId="555" headerRowBorderDxfId="556" tableBorderDxfId="554">
  <tableColumns count="5">
    <tableColumn id="1" xr3:uid="{B77812FB-4D64-4D3B-B7BC-6A30268C54E4}" name="Revision" dataDxfId="553"/>
    <tableColumn id="2" xr3:uid="{E0C8B4C5-DC4C-49D9-9666-83383C3ECC8D}" name="Date" dataDxfId="552"/>
    <tableColumn id="3" xr3:uid="{B5118AE1-6C15-487B-A798-3FC42C9F4D4D}" name="Change" dataDxfId="551"/>
    <tableColumn id="4" xr3:uid="{74F216FE-0906-4F96-AAAE-BFDE3B33BA59}" name="Author" dataDxfId="550"/>
    <tableColumn id="5" xr3:uid="{7C0C406B-85DB-4EB0-8746-ABB3CE79B7B4}" name="Status" dataDxfId="549"/>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E83899DC-9ECF-450A-92AB-37669A002B5F}" name="Table64" displayName="Table64" ref="A3:J21" totalsRowShown="0" headerRowDxfId="548" dataDxfId="547" tableBorderDxfId="546">
  <autoFilter ref="A3:J21" xr:uid="{E83899DC-9ECF-450A-92AB-37669A002B5F}"/>
  <tableColumns count="10">
    <tableColumn id="1" xr3:uid="{B96D7A7D-CD28-4621-AFB2-27E3536AEC21}" name="Name" dataDxfId="545" dataCellStyle="Normal 2 2"/>
    <tableColumn id="2" xr3:uid="{6D708775-BB92-46BE-AE69-887664686BAD}" name="Description" dataDxfId="544"/>
    <tableColumn id="3" xr3:uid="{36C6E066-8990-4608-8E8B-50458152AF35}" name="Unit" dataDxfId="543" dataCellStyle="Normal 2 2"/>
    <tableColumn id="4" xr3:uid="{7D938101-415F-4B80-867E-16419CC063A1}" name="Min" dataDxfId="542" dataCellStyle="Normal 2 2"/>
    <tableColumn id="5" xr3:uid="{962AFF35-E966-4F43-A9D7-ABF12BF07DF5}" name="Max" dataDxfId="541" dataCellStyle="Normal 2 2"/>
    <tableColumn id="6" xr3:uid="{64107A38-C4EB-4981-B326-4917956AC0CF}" name="Value" dataDxfId="540" dataCellStyle="Normal 2 2"/>
    <tableColumn id="7" xr3:uid="{363A20E2-420E-471F-AECB-D0F8A3DC2335}" name="Default" dataDxfId="539"/>
    <tableColumn id="8" xr3:uid="{E600D3D3-C16F-4B58-90D8-66D3271FF144}" name="Size" dataDxfId="538"/>
    <tableColumn id="9" xr3:uid="{D7614405-D641-4F72-8152-846090AED7F3}" name="Type" dataDxfId="537"/>
    <tableColumn id="10" xr3:uid="{A433C4E9-4D48-4BA0-810D-3C349BA67507}" name="ASIL Compliance" dataDxfId="536"/>
  </tableColumns>
  <tableStyleInfo name="TableStyleMedium1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B129046-D0EF-4024-A574-EF1B3588CE64}" name="Table30" displayName="Table30" ref="A1:E67" totalsRowShown="0" headerRowDxfId="535" dataDxfId="533" headerRowBorderDxfId="534" tableBorderDxfId="532">
  <tableColumns count="5">
    <tableColumn id="1" xr3:uid="{4BDE3C95-E644-4AD5-BB44-65EFB99EF794}" name="Revision" dataDxfId="531"/>
    <tableColumn id="2" xr3:uid="{8B1891F2-C3BD-42AB-B4BB-7F6A9DBBC718}" name="Date" dataDxfId="530"/>
    <tableColumn id="3" xr3:uid="{78640D08-F9D2-4788-8257-829DCAAD3711}" name="Change"/>
    <tableColumn id="4" xr3:uid="{FC05ECD7-2F6A-409D-A831-A2323E355686}" name="Author" dataDxfId="529"/>
    <tableColumn id="5" xr3:uid="{B4D16B5A-4B1C-4E6E-AE12-002C3C1CB43F}" name="Status" dataDxfId="528"/>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510B07-DB7D-40A2-882E-607E283D0399}" name="Table63" displayName="Table63" ref="A3:J380" totalsRowShown="0" headerRowDxfId="527" dataDxfId="526" tableBorderDxfId="525" headerRowCellStyle="Normal 2">
  <autoFilter ref="A3:J380" xr:uid="{78510B07-DB7D-40A2-882E-607E283D0399}"/>
  <tableColumns count="10">
    <tableColumn id="1" xr3:uid="{376A15CC-60C3-41CE-BEA4-B1124973079B}" name="Name" dataDxfId="524"/>
    <tableColumn id="2" xr3:uid="{08861CE4-F846-4500-9ACE-170A8A8E495C}" name="Description" dataDxfId="523"/>
    <tableColumn id="3" xr3:uid="{9F65F942-506E-49F7-BC21-110CD5BA21C1}" name="Unit" dataDxfId="522"/>
    <tableColumn id="4" xr3:uid="{8DF4F0DF-0393-4025-8A36-E385C29DF7B6}" name="Min" dataDxfId="521"/>
    <tableColumn id="5" xr3:uid="{12B3FA75-CE33-45DD-BB04-34E1D2BF40AC}" name="Max" dataDxfId="520"/>
    <tableColumn id="6" xr3:uid="{812DC74F-9DF8-48A7-832A-3409A801B495}" name="Value" dataDxfId="519"/>
    <tableColumn id="7" xr3:uid="{C413A60F-3413-43A8-85E2-F5C930E60DDD}" name="Default" dataDxfId="518"/>
    <tableColumn id="8" xr3:uid="{F047A38B-2D34-4291-9E9B-FB490959701E}" name="Size" dataDxfId="517"/>
    <tableColumn id="9" xr3:uid="{0131EF07-71B6-4B76-994D-5CEFEA3DE390}" name="Type" dataDxfId="516"/>
    <tableColumn id="10" xr3:uid="{9284E517-A61F-4D9B-B002-6ED6B168BC44}" name="ASIL Compliance" dataDxfId="515"/>
  </tableColumns>
  <tableStyleInfo name="TableStyleMedium1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34DE7A50-A451-4C8E-9DDE-FA6C12B405AF}" name="Table31" displayName="Table31" ref="A1:E26" totalsRowShown="0" headerRowDxfId="514" dataDxfId="512" headerRowBorderDxfId="513" tableBorderDxfId="511">
  <tableColumns count="5">
    <tableColumn id="1" xr3:uid="{B1B7CA41-956D-44CA-AF73-FF34F768C66B}" name="Revision" dataDxfId="510"/>
    <tableColumn id="2" xr3:uid="{F4A4829C-4D33-4DA8-A6DE-16E484CB3138}" name="Date" dataDxfId="509"/>
    <tableColumn id="3" xr3:uid="{D075332F-3976-41B8-922C-41938A71FC48}" name="Change" dataDxfId="508"/>
    <tableColumn id="4" xr3:uid="{5D96741C-2DCA-4357-9BDC-5A1E47CBED72}" name="Author" dataDxfId="507"/>
    <tableColumn id="5" xr3:uid="{E88DD3A6-12B8-4E24-8980-83D18DC0A7E4}" name="Status" dataDxfId="506"/>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9F5717C4-F8F5-480A-84D7-D817582BF4A1}" name="Table62" displayName="Table62" ref="A3:J15" totalsRowShown="0" headerRowDxfId="505" dataDxfId="504" tableBorderDxfId="503">
  <autoFilter ref="A3:J15" xr:uid="{9F5717C4-F8F5-480A-84D7-D817582BF4A1}"/>
  <tableColumns count="10">
    <tableColumn id="1" xr3:uid="{2A8B05F0-1EB2-467C-BE6D-A93650F24B4B}" name="Name" dataDxfId="502" dataCellStyle="Normal 2 2"/>
    <tableColumn id="2" xr3:uid="{BE1E7884-2CFD-4191-B586-2A66697693D7}" name="Description" dataDxfId="501" dataCellStyle="Normal 2 2"/>
    <tableColumn id="3" xr3:uid="{0FACD2BB-F156-4DCE-8076-70570AB6E4A1}" name="Unit" dataDxfId="500" dataCellStyle="Explanatory Text 2"/>
    <tableColumn id="4" xr3:uid="{65D1C5FD-E3DF-4F9E-9E1B-14685B796712}" name="Min" dataDxfId="499" dataCellStyle="Explanatory Text 2"/>
    <tableColumn id="5" xr3:uid="{9F6D4F35-560B-4C92-B958-879AAD17C8A5}" name="Max" dataDxfId="498" dataCellStyle="Explanatory Text 2"/>
    <tableColumn id="6" xr3:uid="{FED37CE2-1182-4A0E-A542-55DFFBAA7425}" name="Value" dataDxfId="497" dataCellStyle="Explanatory Text 2"/>
    <tableColumn id="7" xr3:uid="{C28858C5-2DA5-4DA3-A3DB-CBE18650724F}" name="Default" dataDxfId="496"/>
    <tableColumn id="8" xr3:uid="{393DC9A0-8689-4795-B1C1-30A0C646E2B7}" name="Size" dataDxfId="495"/>
    <tableColumn id="9" xr3:uid="{68CFA59A-F4F8-444E-8366-909071AD4C0E}" name="Type" dataDxfId="494"/>
    <tableColumn id="10" xr3:uid="{21E39B70-37FF-4C77-AED2-7141089E4525}" name="ASIL Compliance" dataDxfId="493"/>
  </tableColumns>
  <tableStyleInfo name="TableStyleMedium1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B7717FC-E16C-4DF4-8A96-6F04D3F3E4C4}" name="Table32" displayName="Table32" ref="A1:E57" totalsRowShown="0" headerRowDxfId="492" headerRowBorderDxfId="491" tableBorderDxfId="490">
  <tableColumns count="5">
    <tableColumn id="1" xr3:uid="{1C9A9EFA-58F8-4046-8FE2-2A396204E510}" name="Revision" dataDxfId="489"/>
    <tableColumn id="2" xr3:uid="{7B59EEB1-7729-42B3-8FCF-76E091075A40}" name="Date" dataDxfId="488"/>
    <tableColumn id="3" xr3:uid="{F51F59E7-C528-4730-AB88-49B4FC611A04}" name="Change"/>
    <tableColumn id="4" xr3:uid="{535A440A-87DF-4303-853A-8CF8C5E45DD6}" name="Author"/>
    <tableColumn id="5" xr3:uid="{5772A2F8-C61C-41FF-9029-30FADF0474F0}" name="Status"/>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CB082854-3C36-4826-B1A6-EF7EE5DDCC15}" name="Table61" displayName="Table61" ref="A3:J204" totalsRowShown="0" headerRowDxfId="487" dataDxfId="486" tableBorderDxfId="485" headerRowCellStyle="Normal 2">
  <autoFilter ref="A3:J204" xr:uid="{CB082854-3C36-4826-B1A6-EF7EE5DDCC15}"/>
  <tableColumns count="10">
    <tableColumn id="1" xr3:uid="{439B368A-37D2-4448-9AFE-E23C92495377}" name="Name" dataDxfId="484"/>
    <tableColumn id="2" xr3:uid="{49FDE068-5235-4677-AB08-0C4BE6EB51FF}" name="Description" dataDxfId="483"/>
    <tableColumn id="3" xr3:uid="{D706723E-7CD1-4C97-8EC8-870B37D1C857}" name="Unit" dataDxfId="482"/>
    <tableColumn id="4" xr3:uid="{8ACF2AB7-13DE-4F6B-A793-F0D68E704C77}" name="Min" dataDxfId="481"/>
    <tableColumn id="5" xr3:uid="{FB1A4226-5DC4-4FDB-B31A-576C98305564}" name="Max" dataDxfId="480"/>
    <tableColumn id="6" xr3:uid="{2E95BD01-F68F-4C9F-94E2-98626262E2F9}" name="Value" dataDxfId="479"/>
    <tableColumn id="7" xr3:uid="{498FD29B-2707-4CCF-A551-815068A0CA75}" name="Default" dataDxfId="478"/>
    <tableColumn id="8" xr3:uid="{F0292478-5725-415B-831D-4854E522E7D2}" name="Size" dataDxfId="477"/>
    <tableColumn id="9" xr3:uid="{9D1FD7DC-6F89-4A91-B3D1-5D74E5DF0279}" name="Type" dataDxfId="476"/>
    <tableColumn id="10" xr3:uid="{3F3673A1-6990-4D9C-A994-CD2D2596CD49}" name="ASIL Compliance" dataDxfId="475"/>
  </tableColumns>
  <tableStyleInfo name="TableStyleMedium1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6EEE8B3-68B9-4EA5-9381-9F5E5D49EC70}" name="Table33" displayName="Table33" ref="A1:E21" totalsRowShown="0" headerRowDxfId="474" headerRowBorderDxfId="473" tableBorderDxfId="472">
  <tableColumns count="5">
    <tableColumn id="1" xr3:uid="{A0F31F83-BD40-4D5D-88C9-7A329F92F567}" name="Revision" dataDxfId="471"/>
    <tableColumn id="2" xr3:uid="{3C6EFF44-80AD-4E0C-B616-1463444C06C9}" name="Date"/>
    <tableColumn id="3" xr3:uid="{F01D6620-B24A-4CD5-BCC8-D90A486010C4}" name="Change"/>
    <tableColumn id="4" xr3:uid="{7E3DD406-4920-48C4-BC20-4C60811584C2}" name="Author"/>
    <tableColumn id="5" xr3:uid="{B06F73D8-1C29-49C9-922D-8FF73BE8F0DA}" name="Status"/>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E5DE9922-03FD-475E-AB29-44D78AFFAFEE}" name="Table137618" displayName="Table137618" ref="A1:E21" totalsRowShown="0" headerRowDxfId="470" dataDxfId="469">
  <tableColumns count="5">
    <tableColumn id="1" xr3:uid="{57630E32-2121-4758-A924-043BE6A6FBD0}" name="Revision" dataDxfId="468"/>
    <tableColumn id="5" xr3:uid="{2EBBC58B-1C37-47C0-B61B-2271167868D4}" name="Date" dataDxfId="467"/>
    <tableColumn id="2" xr3:uid="{375D7290-AE1F-42F2-88F6-3F7304BE390B}" name="Change" dataDxfId="466"/>
    <tableColumn id="3" xr3:uid="{54132BF4-F708-4A5C-B8DB-9D241031D894}" name="Author" dataDxfId="465"/>
    <tableColumn id="4" xr3:uid="{2C727BF4-D985-49F7-9C26-1F95C9580D01}" name="Approval" dataDxfId="464"/>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560EEA2-138D-4DA1-8262-EA7B7806C7E2}" name="Table34" displayName="Table34" ref="A1:E21" totalsRowShown="0" headerRowDxfId="460" dataDxfId="458" headerRowBorderDxfId="459" tableBorderDxfId="457">
  <tableColumns count="5">
    <tableColumn id="1" xr3:uid="{275CDEF9-1FBF-4CF1-88E4-3CB6F8AA7F9E}" name="Revision" dataDxfId="456"/>
    <tableColumn id="2" xr3:uid="{124887F7-5EE8-48BD-BC4C-DFBFEC289D72}" name="Date" dataDxfId="455"/>
    <tableColumn id="3" xr3:uid="{99696EBE-DA40-466D-8A8B-21BE7CA06F1F}" name="Change"/>
    <tableColumn id="4" xr3:uid="{2B1276F9-77BE-4509-AF32-BF3BA778008B}" name="Author" dataDxfId="454"/>
    <tableColumn id="5" xr3:uid="{34FDFA01-A4FB-4BE5-B1C6-805B8BEDC2CC}" name="Approval" dataDxfId="453"/>
  </tableColumns>
  <tableStyleInfo name="TableStyleMedium7"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39953FB9-E95E-45C9-A78E-A32AA4029860}" name="Table20" displayName="Table20" ref="A1:E33" totalsRowShown="0" headerRowDxfId="441" headerRowBorderDxfId="440" tableBorderDxfId="439">
  <tableColumns count="5">
    <tableColumn id="1" xr3:uid="{5E35DA35-3ED3-4F32-A5AD-020914B05D0F}" name="Revision" dataDxfId="438"/>
    <tableColumn id="2" xr3:uid="{848C62C7-5C44-4EE5-B211-7E4D28B09F19}" name="Date" dataDxfId="437"/>
    <tableColumn id="3" xr3:uid="{80871D08-6A7B-4927-B8B5-6386D96791F6}" name="Change"/>
    <tableColumn id="4" xr3:uid="{0AFB2F09-098C-4AB8-BB4A-CD5F71E6A859}" name="Author" dataDxfId="436"/>
    <tableColumn id="5" xr3:uid="{87110465-2A4D-4824-8E82-9325DFFE17AD}" name="Status" dataDxfId="435"/>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76E3C00C-D801-4703-9DB9-5F748247F0A2}" name="Table55" displayName="Table55" ref="A3:J206" totalsRowCount="1" headerRowDxfId="434" dataDxfId="433" tableBorderDxfId="432">
  <autoFilter ref="A3:J205" xr:uid="{76E3C00C-D801-4703-9DB9-5F748247F0A2}"/>
  <tableColumns count="10">
    <tableColumn id="1" xr3:uid="{00FE0C40-B7A8-43EC-97CB-AF2BE741B578}" name="Name" dataDxfId="431" totalsRowDxfId="430"/>
    <tableColumn id="2" xr3:uid="{E9665713-0565-4C46-B450-A746BD63D4FC}" name="Description" dataDxfId="429"/>
    <tableColumn id="3" xr3:uid="{22AA0DEF-CE39-4FC2-86D6-E02428758F22}" name="Unit" dataDxfId="428"/>
    <tableColumn id="4" xr3:uid="{FE0A2A6B-9155-4A2A-9EA9-4559D602B286}" name="Min" dataDxfId="427"/>
    <tableColumn id="5" xr3:uid="{B0A91742-39D0-4721-A648-3F257D635B19}" name="Max" dataDxfId="426"/>
    <tableColumn id="6" xr3:uid="{530C1F79-4A67-4231-AB5F-0D73BADCF5B1}" name="Value" dataDxfId="425" totalsRowDxfId="424"/>
    <tableColumn id="7" xr3:uid="{A110BAA1-CFB5-4CF4-8312-C6E2B80CD78F}" name="Default" dataDxfId="423"/>
    <tableColumn id="8" xr3:uid="{9A31427A-27B8-4FE0-B8C8-4D6461DB47A9}" name="Size" dataDxfId="422"/>
    <tableColumn id="9" xr3:uid="{641EF74E-1607-45A7-BA57-9BFA6C0D2D68}" name="Type" dataDxfId="421"/>
    <tableColumn id="10" xr3:uid="{7031D6FB-F0EE-4416-B0BA-C35D2ACAEF88}" name="ASIL Compliance" dataDxfId="420"/>
  </tableColumns>
  <tableStyleInfo name="TableStyleMedium19"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3C643340-980D-41A5-AFF6-7555ED15E2C3}" name="Table35" displayName="Table35" ref="A1:E23" totalsRowShown="0" headerRowDxfId="419" dataDxfId="417" headerRowBorderDxfId="418" tableBorderDxfId="416">
  <tableColumns count="5">
    <tableColumn id="1" xr3:uid="{9A4DE993-D014-49AD-88BD-09381F9C80D0}" name="Revision" dataDxfId="415"/>
    <tableColumn id="2" xr3:uid="{2125703F-D37C-486D-8170-73E11428EF90}" name="Date" dataDxfId="414"/>
    <tableColumn id="3" xr3:uid="{B974B6BC-E5EB-4C60-8B7C-F34E3E7E5942}" name="Change" dataDxfId="413"/>
    <tableColumn id="4" xr3:uid="{308F7CF6-E761-4952-A191-FBBBCB3DE7DA}" name="Author" dataDxfId="412"/>
    <tableColumn id="5" xr3:uid="{FE3766B7-1172-4C72-A213-072C66B5CC55}" name="Status" dataDxfId="411"/>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2BE31F37-7BFC-42BB-9550-1279AADEA63C}" name="Table60" displayName="Table60" ref="A3:J8" totalsRowShown="0" headerRowDxfId="410" dataDxfId="409" tableBorderDxfId="408" headerRowCellStyle="Normal 2 2">
  <autoFilter ref="A3:J8" xr:uid="{2BE31F37-7BFC-42BB-9550-1279AADEA63C}"/>
  <tableColumns count="10">
    <tableColumn id="1" xr3:uid="{1798FA61-CC97-40AA-A4DE-B265C91F027E}" name="Name" dataDxfId="407"/>
    <tableColumn id="2" xr3:uid="{EC6D0707-6E04-494F-A2BE-4C96D2793C41}" name="Description" dataDxfId="406"/>
    <tableColumn id="3" xr3:uid="{3CB976C4-5488-4BA7-A995-DF27DA26F395}" name="Unit" dataDxfId="405"/>
    <tableColumn id="4" xr3:uid="{B1A1C0E7-F2E8-4449-94B2-BB26EC48F15D}" name="Min" dataDxfId="404"/>
    <tableColumn id="5" xr3:uid="{9FA08C78-97A8-4BB9-9A9C-FB5B4D498784}" name="Max" dataDxfId="403"/>
    <tableColumn id="6" xr3:uid="{F16800D1-2E47-4275-8942-C83AE3B292F1}" name="Value" dataDxfId="402"/>
    <tableColumn id="7" xr3:uid="{E71A818D-DFE5-47E1-A83B-959182DA3D7F}" name="Default" dataDxfId="401"/>
    <tableColumn id="8" xr3:uid="{872A9B24-96AB-411F-98FC-8F791081D0F5}" name="Size" dataDxfId="400"/>
    <tableColumn id="9" xr3:uid="{E7861625-0327-4C19-A295-C58548EEB429}" name="Type" dataDxfId="399"/>
    <tableColumn id="10" xr3:uid="{F54F6A96-A797-45EB-9F1D-E9B6F49E7A66}" name="ASIL Compliance" dataDxfId="398"/>
  </tableColumns>
  <tableStyleInfo name="TableStyleMedium1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8BE2467-4DDA-4EE8-B97B-B0B9C282E604}" name="Table36" displayName="Table36" ref="A1:E41" totalsRowShown="0" headerRowDxfId="397" dataDxfId="395" headerRowBorderDxfId="396" tableBorderDxfId="394">
  <tableColumns count="5">
    <tableColumn id="1" xr3:uid="{513899FD-ED25-4FAD-8EE2-D18B394129CE}" name="Revision" dataDxfId="393"/>
    <tableColumn id="2" xr3:uid="{C372FC2B-14FD-4197-9F60-CF2745C57FF5}" name="Date" dataDxfId="392"/>
    <tableColumn id="3" xr3:uid="{2B598541-3E4A-4D9F-BE8F-5569AD5327D3}" name="Change"/>
    <tableColumn id="4" xr3:uid="{96026777-17D2-4751-8788-EEEE2A14E6E2}" name="Author" dataDxfId="391"/>
    <tableColumn id="5" xr3:uid="{123D5058-38FD-49DE-A93F-64B939FF2592}" name="Status" dataDxfId="390"/>
  </tableColumns>
  <tableStyleInfo name="TableStyleMedium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785573F1-57F6-455E-B6A7-B7322F3A411D}" name="Table37" displayName="Table37" ref="A1:E20" totalsRowShown="0" headerRowDxfId="386" headerRowBorderDxfId="385" tableBorderDxfId="384">
  <tableColumns count="5">
    <tableColumn id="1" xr3:uid="{A9DBBA74-E578-4C9A-B677-4B9C9304E50E}" name="Revision" dataDxfId="383"/>
    <tableColumn id="2" xr3:uid="{6700607C-E4E3-4B89-A91B-DCE9CB188157}" name="Date"/>
    <tableColumn id="3" xr3:uid="{B0941BF2-9D4F-4EBB-A27D-E38BD3F50BA2}" name="Change"/>
    <tableColumn id="4" xr3:uid="{FD7B35F1-014A-4834-B3DB-E38884688344}" name="Author"/>
    <tableColumn id="5" xr3:uid="{1A2D039B-4C19-4E3A-BA36-73EC60DD81FC}" name="Status"/>
  </tableColumns>
  <tableStyleInfo name="TableStyleMedium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617DACA-67CF-45F1-8E51-0010D8C6D2D7}" name="Table38" displayName="Table38" ref="A1:E51" totalsRowShown="0" headerRowDxfId="382" dataDxfId="380" headerRowBorderDxfId="381" tableBorderDxfId="379">
  <tableColumns count="5">
    <tableColumn id="1" xr3:uid="{81E1EC95-1574-4C0E-A11B-C25908764DE9}" name="Revision" dataDxfId="378"/>
    <tableColumn id="2" xr3:uid="{B4EA4DA3-4F17-47CD-9D67-E7285DAAF6EA}" name="Date" dataDxfId="377"/>
    <tableColumn id="3" xr3:uid="{97B20FC8-DC54-432D-964D-51506453D0EF}" name="Change" dataDxfId="376"/>
    <tableColumn id="4" xr3:uid="{E27FF1D4-39A9-42BD-A784-D9B28DC57B75}" name="Author" dataDxfId="375"/>
    <tableColumn id="5" xr3:uid="{00F64074-653D-4634-90C5-CBD99A0FE3CD}" name="Status" dataDxfId="374"/>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32BE437-6C0D-41FB-AFEB-22D8B25DE4C2}" name="Table39" displayName="Table39" ref="A1:E22" totalsRowShown="0" headerRowDxfId="370" dataDxfId="368" headerRowBorderDxfId="369" tableBorderDxfId="367">
  <tableColumns count="5">
    <tableColumn id="1" xr3:uid="{4B1F73A8-01F4-4E6A-AC76-64B1462CEF35}" name="Revision" dataDxfId="366"/>
    <tableColumn id="2" xr3:uid="{A7031006-B3CE-42AA-8889-CCA84DE2B727}" name="Date" dataDxfId="365"/>
    <tableColumn id="3" xr3:uid="{783E928C-DB43-42CB-B13B-CD2705A25154}" name="Change"/>
    <tableColumn id="4" xr3:uid="{1932C104-9C96-4F8F-9333-38359A255A41}" name="Author" dataDxfId="364"/>
    <tableColumn id="5" xr3:uid="{BEA1C53D-F2D4-4C44-B31C-AB23FE4FC3AB}" name="Approval" dataDxfId="363"/>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16A6A96F-A54E-47C2-A26D-952FE4B341C2}" name="Table59" displayName="Table59" ref="A3:J9" totalsRowShown="0" headerRowDxfId="362" tableBorderDxfId="361" headerRowCellStyle="Normal 2 2">
  <autoFilter ref="A3:J9" xr:uid="{16A6A96F-A54E-47C2-A26D-952FE4B341C2}"/>
  <tableColumns count="10">
    <tableColumn id="1" xr3:uid="{07916FBC-B1EF-4C4B-9EAF-1459DD152A05}" name="Name" dataDxfId="360"/>
    <tableColumn id="2" xr3:uid="{BE4EC3D0-8D2C-4DE0-A302-AF2A1AD14B14}" name="Description" dataDxfId="359"/>
    <tableColumn id="3" xr3:uid="{1CD638B4-F577-4494-9964-2EA0A22539C7}" name="Unit" dataDxfId="358"/>
    <tableColumn id="4" xr3:uid="{05035666-86A2-45AE-9BEB-FA198C728B95}" name="Min" dataDxfId="357"/>
    <tableColumn id="5" xr3:uid="{48C60592-69F2-45A5-91F3-7C3896E61F5D}" name="Max" dataDxfId="356"/>
    <tableColumn id="6" xr3:uid="{E541594E-CCA8-4AB1-B0C6-3ECAF163128A}" name="Value" dataDxfId="355"/>
    <tableColumn id="7" xr3:uid="{2F7A2CED-1F3E-4260-AB04-AAD9E6601473}" name="Default" dataDxfId="354"/>
    <tableColumn id="8" xr3:uid="{0756B5CD-2D8A-489B-A9F6-3D7602A83435}" name="Size" dataDxfId="353"/>
    <tableColumn id="9" xr3:uid="{31E7E021-BB2B-46C0-BB7E-73BD591DEB9F}" name="Type" dataDxfId="352"/>
    <tableColumn id="10" xr3:uid="{AAE6AC7F-125B-4C49-AD1F-5F0469318ADF}" name="ASIL Compliance" dataDxfId="351"/>
  </tableColumns>
  <tableStyleInfo name="TableStyleMedium1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E64D449-103A-4E20-BB47-211420062C62}" name="Table40" displayName="Table40" ref="A1:E42" totalsRowShown="0" headerRowDxfId="350" dataDxfId="348" headerRowBorderDxfId="349" tableBorderDxfId="347">
  <tableColumns count="5">
    <tableColumn id="1" xr3:uid="{02C467C1-7623-4263-B469-1D685CA7322A}" name="Revision" dataDxfId="346"/>
    <tableColumn id="2" xr3:uid="{53356D61-C618-4A54-B979-D4A0FF905A99}" name="Date" dataDxfId="345"/>
    <tableColumn id="3" xr3:uid="{50C7646D-5BD2-4D8E-B6D2-9110350857EF}" name="Change"/>
    <tableColumn id="4" xr3:uid="{64EF9C6B-817A-4C6D-8BAD-D0932F9CFA10}" name="Author" dataDxfId="344"/>
    <tableColumn id="5" xr3:uid="{7271A7FE-71F0-4242-B11A-AAE57E82278B}" name="Status" dataDxfId="343"/>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9517F2A9-DBEE-4471-B7FB-4674FF251C7A}" name="Table41" displayName="Table41" ref="A1:E18" totalsRowShown="0" headerRowDxfId="339" headerRowBorderDxfId="338" tableBorderDxfId="337">
  <tableColumns count="5">
    <tableColumn id="1" xr3:uid="{B7789424-8010-4BEB-AE17-C6E86E7A8107}" name="Revision" dataDxfId="336"/>
    <tableColumn id="2" xr3:uid="{08C8E2E4-FDDA-41A5-917F-904CDA154F41}" name="Date"/>
    <tableColumn id="3" xr3:uid="{98173B4F-77BC-4228-A4FC-DE96776068B5}" name="Change"/>
    <tableColumn id="4" xr3:uid="{44580DC4-534A-4DBB-8324-6763627BA66B}" name="Author"/>
    <tableColumn id="5" xr3:uid="{C434B6FA-08AA-4E58-B33E-3AB0ED4A55A6}" name="Status"/>
  </tableColumns>
  <tableStyleInfo name="TableStyleMedium7"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F1CC880F-52DD-40A1-AE49-C26EDA373065}" name="Table57" displayName="Table57" ref="A3:J8" totalsRowShown="0" headerRowDxfId="335" dataDxfId="334" tableBorderDxfId="333" headerRowCellStyle="Normal 2 2">
  <autoFilter ref="A3:J8" xr:uid="{F1CC880F-52DD-40A1-AE49-C26EDA373065}"/>
  <tableColumns count="10">
    <tableColumn id="1" xr3:uid="{405F08FE-5D92-4767-940F-10B604D66066}" name="Name" dataDxfId="332"/>
    <tableColumn id="2" xr3:uid="{C4CBA9FE-3A56-4EF1-B951-E17F8CDED681}" name="Description" dataDxfId="331"/>
    <tableColumn id="3" xr3:uid="{E9E103A6-6A40-4740-B56C-727A9E32250F}" name="Unit" dataDxfId="330"/>
    <tableColumn id="4" xr3:uid="{44232849-86C6-4847-9FA2-0B8D6D4A40E5}" name="Min" dataDxfId="329"/>
    <tableColumn id="5" xr3:uid="{1E1779EA-2913-49D2-B1F1-21632A45847B}" name="Max" dataDxfId="328"/>
    <tableColumn id="6" xr3:uid="{CB64EACF-9CF3-488A-8120-69A13F5042C5}" name="Value" dataDxfId="327"/>
    <tableColumn id="7" xr3:uid="{C464DBEC-BABB-461A-931B-C1C9915AAE02}" name="Default" dataDxfId="326"/>
    <tableColumn id="8" xr3:uid="{12A56F57-EA30-4CCE-BDC5-4B76340909C7}" name="Size" dataDxfId="325"/>
    <tableColumn id="9" xr3:uid="{750CB70F-9E59-4600-B02A-D05F28E88205}" name="Type" dataDxfId="324"/>
    <tableColumn id="10" xr3:uid="{3D21560C-8F26-40F3-916C-67017D5FDDE7}" name="ASIL Compliance" dataDxfId="323"/>
  </tableColumns>
  <tableStyleInfo name="TableStyleMedium1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E473D01-7537-496B-BDB1-0A9560AE3C24}" name="Table42" displayName="Table42" ref="A1:E40" totalsRowShown="0" headerRowDxfId="322" dataDxfId="320" headerRowBorderDxfId="321" tableBorderDxfId="319">
  <tableColumns count="5">
    <tableColumn id="1" xr3:uid="{49B310CA-6DD4-440E-B3C9-D4733383478F}" name="Revision" dataDxfId="318"/>
    <tableColumn id="2" xr3:uid="{1BEB66B1-B6D1-4D3F-A292-492FC507E326}" name="Date" dataDxfId="317"/>
    <tableColumn id="3" xr3:uid="{7387CE75-634A-4C8D-8F34-3DFFCEA9DBA2}" name="Change" dataDxfId="316"/>
    <tableColumn id="4" xr3:uid="{5A8E02C8-A205-47E6-BC8D-A7AD69B31B4E}" name="Author" dataDxfId="315"/>
    <tableColumn id="5" xr3:uid="{ED0B3DEC-3A8E-4241-B66D-45A62505D3BD}" name="Status" dataDxfId="314"/>
  </tableColumns>
  <tableStyleInfo name="TableStyleMedium7"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856AE110-A3E6-4B9B-9800-2B93250AA16F}" name="Table58" displayName="Table58" ref="A3:J6" totalsRowShown="0" headerRowDxfId="310" dataDxfId="309" tableBorderDxfId="308" headerRowCellStyle="Normal 2 2 2">
  <autoFilter ref="A3:J6" xr:uid="{856AE110-A3E6-4B9B-9800-2B93250AA16F}"/>
  <tableColumns count="10">
    <tableColumn id="1" xr3:uid="{61C6D08C-51E3-4F97-85D6-2600AF7DDB16}" name="Name" dataDxfId="307"/>
    <tableColumn id="2" xr3:uid="{57DF7175-8E3D-44C7-A8A6-76ED0BF47076}" name="Description" dataDxfId="306"/>
    <tableColumn id="3" xr3:uid="{90A49919-78CD-4171-B551-C76A9744C92E}" name="Unit" dataDxfId="305"/>
    <tableColumn id="4" xr3:uid="{1D5815ED-68EC-42DA-ADB0-19465A6CD6C5}" name="Min" dataDxfId="304"/>
    <tableColumn id="5" xr3:uid="{66667A3D-AFCE-40D6-8336-9AC5AB18CED9}" name="Max" dataDxfId="303"/>
    <tableColumn id="6" xr3:uid="{BB356E64-0D94-4A2C-B0A7-ABC6A85B31CF}" name="Value" dataDxfId="302"/>
    <tableColumn id="7" xr3:uid="{6580B086-492D-4540-9197-2795AFA1AEBF}" name="Default" dataDxfId="301"/>
    <tableColumn id="8" xr3:uid="{65D4FF9A-9C78-42BA-9AAD-F7AA93ECABF2}" name="Size" dataDxfId="300"/>
    <tableColumn id="9" xr3:uid="{56359471-ECB8-445C-A8DD-FB498153C3A4}" name="Type" dataDxfId="299"/>
    <tableColumn id="10" xr3:uid="{99E72DCA-790C-45DA-B661-5119FAAACE14}" name="ASIL Compliance" dataDxfId="298"/>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72C401A2-4084-4799-90B3-1090473F7B66}" name="Table43" displayName="Table43" ref="A1:E18" totalsRowShown="0" headerRowDxfId="297" headerRowBorderDxfId="296" tableBorderDxfId="295">
  <tableColumns count="5">
    <tableColumn id="1" xr3:uid="{76ED7B70-8169-488D-A467-09F6AD7FE196}" name="Revision" dataDxfId="294"/>
    <tableColumn id="2" xr3:uid="{E205D39D-8C2C-4368-AB2C-D573F5DFC991}" name="Date"/>
    <tableColumn id="3" xr3:uid="{3A70FCE2-46F3-4F29-9EFC-DD31E1757A37}" name="Change"/>
    <tableColumn id="4" xr3:uid="{6E002926-D6DD-4B8A-8EB3-1B04DB18DB3D}" name="Author"/>
    <tableColumn id="5" xr3:uid="{C4F8CDAE-EC52-40ED-AAEC-55246B518C76}" name="Status"/>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3A5980B2-5FFB-4E1B-B6E1-14391E4CA4B7}" name="Table13721415" displayName="Table13721415" ref="A1:E42" totalsRowShown="0" dataDxfId="256">
  <tableColumns count="5">
    <tableColumn id="1" xr3:uid="{7A882F62-E19E-4D6B-9442-2C69B7AA64FC}" name="Revision" dataDxfId="255"/>
    <tableColumn id="5" xr3:uid="{20FD05E7-57E2-457A-B1FF-EB0DBE177064}" name="Date" dataDxfId="254"/>
    <tableColumn id="2" xr3:uid="{E2BCE45F-BCE4-4B07-808E-5FC8CA16189C}" name="Change" dataDxfId="253"/>
    <tableColumn id="3" xr3:uid="{A1C35FFB-155F-459E-8CEB-1EA747CBCC7B}" name="Author" dataDxfId="252"/>
    <tableColumn id="4" xr3:uid="{914DD3EE-AC26-4206-9073-C68345E4095D}" name="Approval" dataDxfId="251"/>
  </tableColumns>
  <tableStyleInfo name="TableStyleMedium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9765D50-3491-4168-979F-059D01124A53}" name="Table44" displayName="Table44" ref="A1:E22" totalsRowShown="0" headerRowDxfId="246" headerRowBorderDxfId="245" tableBorderDxfId="244">
  <tableColumns count="5">
    <tableColumn id="1" xr3:uid="{DC105B2D-5661-4C7B-9A18-1E1DBE9F9088}" name="Revision" dataDxfId="243"/>
    <tableColumn id="2" xr3:uid="{74A4DFC4-79AF-4D74-8A98-4BC712FC7378}" name="Date"/>
    <tableColumn id="3" xr3:uid="{28DFBF74-C01D-4EAB-8E7A-8EB7C2D6AA29}" name="Change"/>
    <tableColumn id="4" xr3:uid="{AEBC4023-16D3-4948-A825-62041A889C4B}" name="Author"/>
    <tableColumn id="5" xr3:uid="{7996C1CA-D263-4393-98E5-03ABBDB7AABB}" name="Approval"/>
  </tableColumns>
  <tableStyleInfo name="TableStyleMedium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9086ADC-B1F4-45ED-B193-1A3E43831732}" name="Table2" displayName="Table2" ref="A3:J36" totalsRowShown="0" headerRowDxfId="194" dataDxfId="192" headerRowBorderDxfId="193" tableBorderDxfId="191" headerRowCellStyle="Normal 2 2 2" dataCellStyle="Normal 2 2 2">
  <autoFilter ref="A3:J36" xr:uid="{89086ADC-B1F4-45ED-B193-1A3E43831732}">
    <filterColumn colId="2">
      <filters>
        <filter val="m"/>
        <filter val="rad"/>
        <filter val="rad/s"/>
      </filters>
    </filterColumn>
  </autoFilter>
  <tableColumns count="10">
    <tableColumn id="1" xr3:uid="{23B2B69F-FDAD-4164-B17B-991461C4E59C}" name="Name" dataDxfId="190" totalsRowDxfId="189" dataCellStyle="Normal 2"/>
    <tableColumn id="2" xr3:uid="{57CF8872-6147-4558-ABDE-80DDB2E96D7A}" name="Description" dataDxfId="188" totalsRowDxfId="187" dataCellStyle="Normal 2 2 2"/>
    <tableColumn id="3" xr3:uid="{38AC1E3B-AA99-4710-BAC9-3704607AAE4C}" name="Unit" dataDxfId="186" totalsRowDxfId="185" dataCellStyle="Normal 2 2 2"/>
    <tableColumn id="4" xr3:uid="{B3710277-9A27-47B8-ACFE-2DEBC20840C5}" name="Min" dataDxfId="184" totalsRowDxfId="183" dataCellStyle="Normal 2 2 2"/>
    <tableColumn id="5" xr3:uid="{158685B7-9BBA-4697-90BD-AA57C6360CBE}" name="Max" dataDxfId="182" totalsRowDxfId="181" dataCellStyle="Normal 2 2 2"/>
    <tableColumn id="6" xr3:uid="{B9B047EB-ACFE-4B96-9719-6934767A85A2}" name="Value" dataDxfId="180" totalsRowDxfId="179" dataCellStyle="Normal 2 2 2"/>
    <tableColumn id="7" xr3:uid="{A121C7B0-D0E5-43BD-96B0-83216118591C}" name="Default" dataDxfId="178" totalsRowDxfId="177" dataCellStyle="Normal 2 2 2"/>
    <tableColumn id="8" xr3:uid="{2B43E142-F458-48EB-B08B-C98449B73491}" name="Size" dataDxfId="176" totalsRowDxfId="175" dataCellStyle="Normal 2 2 2"/>
    <tableColumn id="9" xr3:uid="{59367EEA-9527-48B4-8346-E15232A486FA}" name="Type" dataDxfId="174" totalsRowDxfId="173" dataCellStyle="Normal 2 2 2"/>
    <tableColumn id="10" xr3:uid="{C1ED412A-4EED-4150-9F28-A1EE3039900A}" name="ASIL Compliance" dataDxfId="172" totalsRowDxfId="171" dataCellStyle="Normal 2 2 2"/>
  </tableColumns>
  <tableStyleInfo name="TableStyleMedium19"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E1C9665-4DC8-4E31-9CF7-61282AC26659}" name="Table137214" displayName="Table137214" ref="A1:E50" totalsRowShown="0" dataDxfId="170">
  <tableColumns count="5">
    <tableColumn id="1" xr3:uid="{EA06F21F-8FCA-4575-8CC3-C7090E4043DE}" name="Revision" dataDxfId="169"/>
    <tableColumn id="5" xr3:uid="{3B0BAA78-609E-409F-9650-744A2AC1DE96}" name="Date" dataDxfId="168"/>
    <tableColumn id="2" xr3:uid="{0FD9F0F8-869B-45C1-8B48-B35FE05B408B}" name="Change" dataDxfId="167"/>
    <tableColumn id="3" xr3:uid="{E2CD1E1F-8AA4-4CED-BE4D-CD9E67E8D5BD}" name="Author" dataDxfId="166"/>
    <tableColumn id="4" xr3:uid="{408DBFED-B394-4C89-8634-ED0FAC48768C}" name="Approval" dataDxfId="165"/>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268D868-FA9D-4D58-B3DE-33900E81324E}" name="Table45" displayName="Table45" ref="A1:E21" totalsRowShown="0" headerRowDxfId="161" headerRowBorderDxfId="160" tableBorderDxfId="159">
  <tableColumns count="5">
    <tableColumn id="1" xr3:uid="{A12641B7-3650-4ADA-B119-0DB6E08968E4}" name="Revision" dataDxfId="158"/>
    <tableColumn id="2" xr3:uid="{83AA231C-F5D5-4BF0-B41D-CD0D8FCDD28D}" name="Date"/>
    <tableColumn id="3" xr3:uid="{9D7EE271-1F50-4A98-B05B-62DB8FD2F3DA}" name="Change"/>
    <tableColumn id="4" xr3:uid="{8AAEDA87-7F9A-4ED2-8B50-840E65BC6D8A}" name="Author"/>
    <tableColumn id="5" xr3:uid="{9A95BB7D-B81B-4A90-9DD5-083C1C774055}" name="Approval"/>
  </tableColumns>
  <tableStyleInfo name="TableStyleMedium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35F924D-8964-4478-984C-46BD3E1BC6C2}" name="Table46" displayName="Table46" ref="A1:E93" totalsRowShown="0" headerRowDxfId="157" dataDxfId="155" headerRowBorderDxfId="156" tableBorderDxfId="154">
  <tableColumns count="5">
    <tableColumn id="1" xr3:uid="{D7B3366A-055D-4C7F-91A3-128D976B5108}" name="Revision" dataDxfId="153"/>
    <tableColumn id="2" xr3:uid="{1B1EAEDC-45D2-42E4-8B25-36E26BFDDE22}" name="Date" dataDxfId="152"/>
    <tableColumn id="3" xr3:uid="{B830D71E-88F2-41EA-8B67-CCB8E6113523}" name="Change" dataDxfId="151"/>
    <tableColumn id="4" xr3:uid="{5E00E52B-2EAE-416A-AF1C-A26112803820}" name="Author" dataDxfId="150"/>
    <tableColumn id="5" xr3:uid="{93F5A5E8-429F-459B-B7A1-5C8E93882192}" name="Approval" dataDxfId="149"/>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06FF2FA-2E56-4A24-A9B3-4EC69C4F8B3E}" name="Table47" displayName="Table47" ref="A1:E24" totalsRowShown="0" headerRowDxfId="145" dataDxfId="143" headerRowBorderDxfId="144" tableBorderDxfId="142">
  <tableColumns count="5">
    <tableColumn id="1" xr3:uid="{AC8D8BE5-9B48-4374-965C-B43AF86F98B2}" name="Revision" dataDxfId="141"/>
    <tableColumn id="2" xr3:uid="{93A2B3C9-F404-430F-B4AE-065BDB4E9007}" name="Date" dataDxfId="140"/>
    <tableColumn id="3" xr3:uid="{47F0D799-0422-44FC-9A08-2EF6E7FFD5D6}" name="Change"/>
    <tableColumn id="4" xr3:uid="{B08AB16A-EE6F-442C-A94E-8C1F93005B3D}" name="Author" dataDxfId="139"/>
    <tableColumn id="5" xr3:uid="{75497421-2EA8-431D-9895-286308FED72A}" name="Approval" dataDxfId="138"/>
  </tableColumns>
  <tableStyleInfo name="TableStyleMedium7"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B21D567-BBC1-4160-8440-71302B4FA43D}" name="Table1379" displayName="Table1379" ref="A1:E32" totalsRowShown="0">
  <tableColumns count="5">
    <tableColumn id="1" xr3:uid="{86CA753E-D281-4A81-B129-CA78F7E86E59}" name="Revision" dataDxfId="137"/>
    <tableColumn id="6" xr3:uid="{569C380A-C7C4-42AA-B7EF-A781961AFDD4}" name="Date" dataDxfId="136"/>
    <tableColumn id="5" xr3:uid="{D3B45492-3B5D-426C-B088-9795F349BD14}" name="Change" dataDxfId="135"/>
    <tableColumn id="2" xr3:uid="{C748E521-5BA5-4FF9-9A15-942FAC1CE36F}" name="Author" dataDxfId="134"/>
    <tableColumn id="3" xr3:uid="{CE1C6E52-9A33-4817-8751-730679584C49}" name="Status" dataDxfId="133"/>
  </tableColumns>
  <tableStyleInfo name="TableStyleMedium7"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9F19609-423C-45FD-8EA4-934F23C5AAAA}" name="Table19" displayName="Table19" ref="A1:E20" totalsRowShown="0" headerRowDxfId="130" headerRowBorderDxfId="129" tableBorderDxfId="128">
  <autoFilter ref="A1:E20" xr:uid="{39F19609-423C-45FD-8EA4-934F23C5AAAA}"/>
  <tableColumns count="5">
    <tableColumn id="1" xr3:uid="{57FA262B-6E59-4FC8-9386-8C663DA730DF}" name="Revision" dataDxfId="127"/>
    <tableColumn id="2" xr3:uid="{BB60EF05-AEA8-43D5-BD93-905FF9ECF383}" name="Date"/>
    <tableColumn id="3" xr3:uid="{FA7658F0-0D5D-4A65-A5DA-F0251F5CE299}" name="Change"/>
    <tableColumn id="4" xr3:uid="{8F6D6CF6-0183-437E-9AB0-BDB8928E2F8C}" name="Author"/>
    <tableColumn id="5" xr3:uid="{0C8EEA36-324F-4682-8D8C-34B0532E17BB}" name="Approval"/>
  </tableColumns>
  <tableStyleInfo name="TableStyleMedium7"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BDA2D66E-FEB5-4FB7-BE1A-64E698B97A36}" name="Table71" displayName="Table71" ref="A3:J41" totalsRowShown="0" headerRowDxfId="126" dataDxfId="125" tableBorderDxfId="124" headerRowCellStyle="Normal 2 2" dataCellStyle="Normal 2 2">
  <autoFilter ref="A3:J41" xr:uid="{BDA2D66E-FEB5-4FB7-BE1A-64E698B97A36}"/>
  <tableColumns count="10">
    <tableColumn id="1" xr3:uid="{28F08DF7-C76E-4691-AD41-3EAF71C2209A}" name="Name" dataDxfId="123" dataCellStyle="Normal 2 2"/>
    <tableColumn id="2" xr3:uid="{66B55E52-55F0-41E6-A465-15E20F8E418D}" name="Description" dataDxfId="122" dataCellStyle="Normal 2 2"/>
    <tableColumn id="3" xr3:uid="{2B25701D-E163-467D-AB6D-CA1722ACCEA5}" name="Unit" dataDxfId="121" dataCellStyle="Normal 2 2"/>
    <tableColumn id="4" xr3:uid="{922DDC93-0E45-44FA-9023-155DAFC516BE}" name="Min" dataDxfId="120"/>
    <tableColumn id="5" xr3:uid="{F776FE23-E645-4111-9FD4-69ADE729D30C}" name="Max" dataDxfId="119" dataCellStyle="Normal 2 2"/>
    <tableColumn id="6" xr3:uid="{2225B0AA-4BE7-4097-81B2-845509F82F89}" name="Value" dataDxfId="118"/>
    <tableColumn id="7" xr3:uid="{C297BBFA-76DF-40DC-9ADB-7F5A151EC4FE}" name="Default" dataDxfId="117" dataCellStyle="Normal 2 2"/>
    <tableColumn id="8" xr3:uid="{739ACA66-8FB6-412F-9F49-CA99DD978570}" name="Size" dataDxfId="116" dataCellStyle="Normal 2 2"/>
    <tableColumn id="9" xr3:uid="{93E7797E-484F-4738-9D59-28B618F53487}" name="Type" dataDxfId="115" dataCellStyle="Normal 2 2"/>
    <tableColumn id="10" xr3:uid="{196C9CAB-A056-4AD3-AF2D-4AF3386A4883}" name="ASIL Compliance" dataDxfId="114" dataCellStyle="Normal 2 2"/>
  </tableColumns>
  <tableStyleInfo name="TableStyleMedium19"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7" displayName="Table137" ref="A1:E72" totalsRowShown="0" dataDxfId="113">
  <tableColumns count="5">
    <tableColumn id="1" xr3:uid="{00000000-0010-0000-0500-000001000000}" name="Revision" dataDxfId="112"/>
    <tableColumn id="5" xr3:uid="{00000000-0010-0000-0500-000005000000}" name="Date" dataDxfId="111"/>
    <tableColumn id="2" xr3:uid="{00000000-0010-0000-0500-000002000000}" name="Change" dataDxfId="110"/>
    <tableColumn id="3" xr3:uid="{00000000-0010-0000-0500-000003000000}" name="Author" dataDxfId="109"/>
    <tableColumn id="4" xr3:uid="{00000000-0010-0000-0500-000004000000}" name="Status" dataDxfId="108"/>
  </tableColumns>
  <tableStyleInfo name="TableStyleMedium7"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1CB89F9-D5FE-43DA-A5DE-4F5F546F927B}" name="Table22" displayName="Table22" ref="A3:J6" totalsRowShown="0" headerRowDxfId="103" tableBorderDxfId="102" headerRowCellStyle="Normal 2 2 2">
  <autoFilter ref="A3:J6" xr:uid="{81CB89F9-D5FE-43DA-A5DE-4F5F546F927B}"/>
  <tableColumns count="10">
    <tableColumn id="1" xr3:uid="{5EA5B988-E705-4FC9-85E5-EA92101F11FC}" name="Name"/>
    <tableColumn id="2" xr3:uid="{AEF57A95-CB6E-4AAA-A6E9-A813AE12BFD9}" name="Description"/>
    <tableColumn id="3" xr3:uid="{6187BCFE-8403-40D5-B366-6F48819C3A80}" name="Unit"/>
    <tableColumn id="4" xr3:uid="{E3F8EAB6-ACF7-4011-B86E-9D24F7E1B97D}" name="Min"/>
    <tableColumn id="5" xr3:uid="{C45F3B60-92F6-494E-86B5-D78A0FC491E4}" name="Max"/>
    <tableColumn id="6" xr3:uid="{4E4313B1-30D5-4AA5-9862-15EAD774C357}" name="Value"/>
    <tableColumn id="7" xr3:uid="{B1B5EE78-3F5A-4061-B25E-1044C3FF30CD}" name="Default"/>
    <tableColumn id="8" xr3:uid="{706C41E2-AAA0-4450-82C2-7B519EDA519B}" name="Size"/>
    <tableColumn id="9" xr3:uid="{1C2FBD6A-29D2-45EE-A4C9-3DB0DD525B98}" name="Type"/>
    <tableColumn id="10" xr3:uid="{66D37BB1-A922-4652-8DB5-AA47ED1C5B88}" name="ASIL Compliance"/>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471B67E-8575-4F35-B903-EB98C0A34FA0}" name="Table18" displayName="Table18" ref="A1:E21" totalsRowShown="0" headerRowDxfId="101" dataDxfId="99" headerRowBorderDxfId="100" tableBorderDxfId="98">
  <tableColumns count="5">
    <tableColumn id="1" xr3:uid="{8C4F8527-1B60-45AD-BDC0-028425F64A6E}" name="Revision" dataDxfId="97"/>
    <tableColumn id="2" xr3:uid="{836C25C4-2EC5-47EF-B742-11F35547855D}" name="Date" dataDxfId="96"/>
    <tableColumn id="3" xr3:uid="{0AB5E864-2CA4-4414-8681-B4C095ECBBF7}" name="Change" dataDxfId="95"/>
    <tableColumn id="4" xr3:uid="{2AE5AFCA-959D-4343-8030-9E0EBBF25189}" name="Author" dataDxfId="94"/>
    <tableColumn id="5" xr3:uid="{EADDBD55-7F29-40E7-B4A4-1B6060AA74B4}" name="Approval" dataDxfId="93"/>
  </tableColumns>
  <tableStyleInfo name="TableStyleMedium7"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176A9AD-CE67-428C-8CC4-D60F1232F73C}" name="Table137816" displayName="Table137816" ref="A1:E39" totalsRowShown="0" dataDxfId="65">
  <tableColumns count="5">
    <tableColumn id="1" xr3:uid="{022F0352-EF1D-4162-8D7C-A08AE5CAECD9}" name="Revision" dataDxfId="64"/>
    <tableColumn id="5" xr3:uid="{E4C48E66-3024-4A48-BA1E-5EFA5F9C5168}" name="Date" dataDxfId="63"/>
    <tableColumn id="2" xr3:uid="{5C73C7B4-04EE-4C34-87BE-F80DEB20FD2B}" name="Change" dataDxfId="62"/>
    <tableColumn id="3" xr3:uid="{189ED0BF-BCA8-41AA-88AF-C8FC35E6D166}" name="Author" dataDxfId="61"/>
    <tableColumn id="4" xr3:uid="{88C74E00-BF5E-4580-AEF8-89C658DE5AC2}" name="Approval" dataDxfId="60"/>
  </tableColumns>
  <tableStyleInfo name="TableStyleMedium7"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473B1D46-6AF3-461A-9D58-7F416FC431E1}" name="Table49" displayName="Table49" ref="A1:E44" totalsRowShown="0" headerRowDxfId="59" dataDxfId="57" headerRowBorderDxfId="58" tableBorderDxfId="56">
  <tableColumns count="5">
    <tableColumn id="1" xr3:uid="{69C2C5EA-FDA2-4D63-B325-2E193E73EB86}" name="Revision" dataDxfId="55"/>
    <tableColumn id="2" xr3:uid="{6EA9A3A4-4D00-43AC-9184-06B214D6F6C6}" name="Date" dataDxfId="54"/>
    <tableColumn id="3" xr3:uid="{9BE79773-706D-47FB-90ED-4C1AA57865B6}" name="Change" dataDxfId="53"/>
    <tableColumn id="4" xr3:uid="{5997D705-0CB6-42E6-9A34-3B16DEEDA814}" name="Author" dataDxfId="52"/>
    <tableColumn id="5" xr3:uid="{2557462C-5562-4BA4-825F-8761B6733055}" name="Approval" dataDxfId="51"/>
  </tableColumns>
  <tableStyleInfo name="TableStyleMedium7"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72686535-84CA-45BD-89BE-E5F5D18DDC03}" name="Table50" displayName="Table50" ref="A1:E28" totalsRowShown="0" headerRowDxfId="50" dataDxfId="48" headerRowBorderDxfId="49" tableBorderDxfId="47">
  <tableColumns count="5">
    <tableColumn id="1" xr3:uid="{DAC5B737-0BE6-4F45-9D52-8D577182D0D2}" name="Revision" dataDxfId="46"/>
    <tableColumn id="2" xr3:uid="{EB55BA85-CBB8-4F58-BE62-5AADDF6A7187}" name="Date" dataDxfId="45"/>
    <tableColumn id="3" xr3:uid="{0A0DBBA3-920E-46DC-A289-4B5F8BD174A1}" name="Change" dataDxfId="44"/>
    <tableColumn id="4" xr3:uid="{57A1F390-7EB6-4376-9A6F-43A99652E91A}" name="Author" dataDxfId="43"/>
    <tableColumn id="5" xr3:uid="{16F8BA1D-738A-457C-A48E-8DA213A270D6}" name="Approval" dataDxfId="42"/>
  </tableColumns>
  <tableStyleInfo name="TableStyleMedium7"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C42A77F4-429A-4AC8-B858-AE006C4B3BA5}" name="Table51" displayName="Table51" ref="A1:E25" totalsRowShown="0" headerRowDxfId="41" dataDxfId="39" headerRowBorderDxfId="40" tableBorderDxfId="38">
  <tableColumns count="5">
    <tableColumn id="1" xr3:uid="{6A4DA29F-C32C-421F-9F3B-8F2F82ABB9F9}" name="Revision" dataDxfId="37"/>
    <tableColumn id="2" xr3:uid="{B12D02F8-8462-4635-89A1-8375B045FB7F}" name="Date" dataDxfId="36"/>
    <tableColumn id="3" xr3:uid="{52E8DE7E-6A83-4140-8414-DD057A6587DB}" name="Change" dataDxfId="35"/>
    <tableColumn id="4" xr3:uid="{9A5626C4-6E83-4726-9469-808909249B6C}" name="Author" dataDxfId="34"/>
    <tableColumn id="5" xr3:uid="{E99B6324-5C3C-4768-BD08-E97000ED6851}" name="Approval" dataDxfId="33"/>
  </tableColumns>
  <tableStyleInfo name="TableStyleMedium7"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CED2DF62-BABF-4328-9EEE-62F6C7F69C3B}" name="Table52" displayName="Table52" ref="A1:E37" totalsRowShown="0" headerRowDxfId="32" dataDxfId="30" headerRowBorderDxfId="31" tableBorderDxfId="29">
  <tableColumns count="5">
    <tableColumn id="1" xr3:uid="{097E570C-7D84-4ADD-8170-89520176E17E}" name="Revision" dataDxfId="28"/>
    <tableColumn id="2" xr3:uid="{49072F6A-70B2-4D7F-9043-A8D77433B1C3}" name="Date" dataDxfId="27"/>
    <tableColumn id="3" xr3:uid="{F92306F5-4B07-4477-90EF-FBFD5823BC0D}" name="Change" dataDxfId="26"/>
    <tableColumn id="4" xr3:uid="{EA06FB9F-CAF2-4DA3-88A1-4A1A3FEB5C11}" name="Author" dataDxfId="25"/>
    <tableColumn id="5" xr3:uid="{27B22744-18AF-4271-BCCA-E13A9CB5A429}" name="Approval" dataDxfId="24"/>
  </tableColumns>
  <tableStyleInfo name="TableStyleMedium7"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37275C2F-925B-4E3B-B9B2-578F3AC15951}" name="Table53" displayName="Table53" ref="A1:E24" totalsRowShown="0" headerRowDxfId="23" dataDxfId="21" headerRowBorderDxfId="22" tableBorderDxfId="20">
  <tableColumns count="5">
    <tableColumn id="1" xr3:uid="{E6CBCF7B-B1D0-4DE7-857F-5481BE0D5DD4}" name="Revision" dataDxfId="19"/>
    <tableColumn id="2" xr3:uid="{14006919-89D1-4DFD-9B2D-17C39D48A9F1}" name="Date" dataDxfId="18"/>
    <tableColumn id="3" xr3:uid="{9A92D5E7-BD0C-4B63-B3BE-50085806B2FD}" name="Change" dataDxfId="17"/>
    <tableColumn id="4" xr3:uid="{CAEFF1E6-C092-45B0-AFD7-80C5E8AF37C4}" name="Author" dataDxfId="16"/>
    <tableColumn id="5" xr3:uid="{64250B1C-4783-4AFC-9D16-640A2EDF0E41}" name="Approval" dataDxfId="15"/>
  </tableColumns>
  <tableStyleInfo name="TableStyleMedium7"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689DD2DB-8372-469A-BEB9-4AD1BEB4AEFA}" name="Table54" displayName="Table54" ref="A1:E35" totalsRowShown="0" headerRowDxfId="14" dataDxfId="12" headerRowBorderDxfId="13" tableBorderDxfId="11">
  <tableColumns count="5">
    <tableColumn id="1" xr3:uid="{00E5DE4B-270A-4AB4-8ACC-267E9017E78A}" name="Revision" dataDxfId="10"/>
    <tableColumn id="2" xr3:uid="{5CD26C40-24DB-42A9-9912-352C84A884C2}" name="Date" dataDxfId="9"/>
    <tableColumn id="3" xr3:uid="{B890AD44-A583-46A8-AA9B-0410EBE1E595}" name="Change" dataDxfId="8"/>
    <tableColumn id="4" xr3:uid="{6DC22231-D29C-49B5-9DC8-044C7A6B88BA}" name="Author" dataDxfId="7"/>
    <tableColumn id="5" xr3:uid="{E1A85446-2162-4434-9784-2AF767F7218D}" name="Approval" dataDxfId="6"/>
  </tableColumns>
  <tableStyleInfo name="TableStyleMedium7"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224A63D-2230-4ABD-9CAE-A1C9C2F7A1D7}" name="Table137917" displayName="Table137917" ref="A1:E12" totalsRowShown="0" dataDxfId="5">
  <tableColumns count="5">
    <tableColumn id="1" xr3:uid="{A5299BF3-C67A-45B8-998F-AA37C2FE7E6F}" name="Revision" dataDxfId="4"/>
    <tableColumn id="6" xr3:uid="{2A7C23CB-2F38-44E9-8E79-67B210E8B169}" name="Date" dataDxfId="3"/>
    <tableColumn id="5" xr3:uid="{C2CDCF43-EAC5-4EAF-BF2D-59948CE9A4E6}" name="Change" dataDxfId="2"/>
    <tableColumn id="2" xr3:uid="{2C45944E-CD1D-4182-82AF-550A0F80CF19}" name="Author" dataDxfId="1"/>
    <tableColumn id="3" xr3:uid="{1FD5B0E3-075F-4A93-A978-1997E15EED20}" name="Status"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6" dT="2022-12-02T07:18:29.44" personId="{B9007B04-C8A9-43AF-980A-9666EBAFA92B}" id="{CDBF9593-7977-4589-939F-B9C32EC4D4F9}">
    <text>to replace lens &amp; imager version?</text>
  </threadedComment>
  <threadedComment ref="A6" dT="2022-12-02T09:52:52.57" personId="{B9007B04-C8A9-43AF-980A-9666EBAFA92B}" id="{3BBFC706-10C7-4CB5-96B8-CC844561621F}" parentId="{CDBF9593-7977-4589-939F-B9C32EC4D4F9}">
    <text>pending M Konkel feedback</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 Id="rId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1.bin"/></Relationships>
</file>

<file path=xl/worksheets/_rels/sheet31.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12.bin"/></Relationships>
</file>

<file path=xl/worksheets/_rels/sheet39.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35.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44.xml.rels><?xml version="1.0" encoding="UTF-8" standalone="yes"?>
<Relationships xmlns="http://schemas.openxmlformats.org/package/2006/relationships"><Relationship Id="rId1" Type="http://schemas.openxmlformats.org/officeDocument/2006/relationships/table" Target="../tables/table37.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printerSettings" Target="../printerSettings/printerSettings13.bin"/></Relationships>
</file>

<file path=xl/worksheets/_rels/sheet48.xml.rels><?xml version="1.0" encoding="UTF-8" standalone="yes"?>
<Relationships xmlns="http://schemas.openxmlformats.org/package/2006/relationships"><Relationship Id="rId1" Type="http://schemas.openxmlformats.org/officeDocument/2006/relationships/table" Target="../tables/table39.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4.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52.xml.rels><?xml version="1.0" encoding="UTF-8" standalone="yes"?>
<Relationships xmlns="http://schemas.openxmlformats.org/package/2006/relationships"><Relationship Id="rId1" Type="http://schemas.openxmlformats.org/officeDocument/2006/relationships/table" Target="../tables/table42.xml"/></Relationships>
</file>

<file path=xl/worksheets/_rels/sheet53.xml.rels><?xml version="1.0" encoding="UTF-8" standalone="yes"?>
<Relationships xmlns="http://schemas.openxmlformats.org/package/2006/relationships"><Relationship Id="rId1" Type="http://schemas.openxmlformats.org/officeDocument/2006/relationships/table" Target="../tables/table43.xml"/></Relationships>
</file>

<file path=xl/worksheets/_rels/sheet54.xml.rels><?xml version="1.0" encoding="UTF-8" standalone="yes"?>
<Relationships xmlns="http://schemas.openxmlformats.org/package/2006/relationships"><Relationship Id="rId1" Type="http://schemas.openxmlformats.org/officeDocument/2006/relationships/table" Target="../tables/table44.xml"/></Relationships>
</file>

<file path=xl/worksheets/_rels/sheet55.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46.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15.bin"/></Relationships>
</file>

<file path=xl/worksheets/_rels/sheet60.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printerSettings" Target="../printerSettings/printerSettings16.bin"/></Relationships>
</file>

<file path=xl/worksheets/_rels/sheet62.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printerSettings" Target="../printerSettings/printerSettings17.bin"/></Relationships>
</file>

<file path=xl/worksheets/_rels/sheet64.xml.rels><?xml version="1.0" encoding="UTF-8" standalone="yes"?>
<Relationships xmlns="http://schemas.openxmlformats.org/package/2006/relationships"><Relationship Id="rId1" Type="http://schemas.openxmlformats.org/officeDocument/2006/relationships/table" Target="../tables/table51.xml"/></Relationships>
</file>

<file path=xl/worksheets/_rels/sheet65.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printerSettings" Target="../printerSettings/printerSettings18.bin"/></Relationships>
</file>

<file path=xl/worksheets/_rels/sheet66.xml.rels><?xml version="1.0" encoding="UTF-8" standalone="yes"?>
<Relationships xmlns="http://schemas.openxmlformats.org/package/2006/relationships"><Relationship Id="rId2" Type="http://schemas.openxmlformats.org/officeDocument/2006/relationships/table" Target="../tables/table52.xml"/><Relationship Id="rId1" Type="http://schemas.openxmlformats.org/officeDocument/2006/relationships/printerSettings" Target="../printerSettings/printerSettings19.bin"/></Relationships>
</file>

<file path=xl/worksheets/_rels/sheet68.xml.rels><?xml version="1.0" encoding="UTF-8" standalone="yes"?>
<Relationships xmlns="http://schemas.openxmlformats.org/package/2006/relationships"><Relationship Id="rId1" Type="http://schemas.openxmlformats.org/officeDocument/2006/relationships/table" Target="../tables/table53.xml"/></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70.xml.rels><?xml version="1.0" encoding="UTF-8" standalone="yes"?>
<Relationships xmlns="http://schemas.openxmlformats.org/package/2006/relationships"><Relationship Id="rId1" Type="http://schemas.openxmlformats.org/officeDocument/2006/relationships/table" Target="../tables/table54.xml"/></Relationships>
</file>

<file path=xl/worksheets/_rels/sheet72.xml.rels><?xml version="1.0" encoding="UTF-8" standalone="yes"?>
<Relationships xmlns="http://schemas.openxmlformats.org/package/2006/relationships"><Relationship Id="rId1" Type="http://schemas.openxmlformats.org/officeDocument/2006/relationships/table" Target="../tables/table55.xml"/></Relationships>
</file>

<file path=xl/worksheets/_rels/sheet73.xml.rels><?xml version="1.0" encoding="UTF-8" standalone="yes"?>
<Relationships xmlns="http://schemas.openxmlformats.org/package/2006/relationships"><Relationship Id="rId3" Type="http://schemas.microsoft.com/office/2019/04/relationships/namedSheetView" Target="../namedSheetViews/namedSheetView2.xml"/><Relationship Id="rId2" Type="http://schemas.openxmlformats.org/officeDocument/2006/relationships/table" Target="../tables/table56.xml"/><Relationship Id="rId1" Type="http://schemas.openxmlformats.org/officeDocument/2006/relationships/printerSettings" Target="../printerSettings/printerSettings21.bin"/></Relationships>
</file>

<file path=xl/worksheets/_rels/sheet74.xml.rels><?xml version="1.0" encoding="UTF-8" standalone="yes"?>
<Relationships xmlns="http://schemas.openxmlformats.org/package/2006/relationships"><Relationship Id="rId1" Type="http://schemas.openxmlformats.org/officeDocument/2006/relationships/table" Target="../tables/table57.xml"/></Relationships>
</file>

<file path=xl/worksheets/_rels/sheet75.xml.rels><?xml version="1.0" encoding="UTF-8" standalone="yes"?>
<Relationships xmlns="http://schemas.openxmlformats.org/package/2006/relationships"><Relationship Id="rId1" Type="http://schemas.openxmlformats.org/officeDocument/2006/relationships/table" Target="../tables/table58.xml"/></Relationships>
</file>

<file path=xl/worksheets/_rels/sheet76.xml.rels><?xml version="1.0" encoding="UTF-8" standalone="yes"?>
<Relationships xmlns="http://schemas.openxmlformats.org/package/2006/relationships"><Relationship Id="rId1" Type="http://schemas.openxmlformats.org/officeDocument/2006/relationships/table" Target="../tables/table59.xml"/></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78.xml.rels><?xml version="1.0" encoding="UTF-8" standalone="yes"?>
<Relationships xmlns="http://schemas.openxmlformats.org/package/2006/relationships"><Relationship Id="rId1" Type="http://schemas.openxmlformats.org/officeDocument/2006/relationships/table" Target="../tables/table60.xml"/></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80.xml.rels><?xml version="1.0" encoding="UTF-8" standalone="yes"?>
<Relationships xmlns="http://schemas.openxmlformats.org/package/2006/relationships"><Relationship Id="rId2" Type="http://schemas.openxmlformats.org/officeDocument/2006/relationships/table" Target="../tables/table61.xml"/><Relationship Id="rId1" Type="http://schemas.openxmlformats.org/officeDocument/2006/relationships/printerSettings" Target="../printerSettings/printerSettings24.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82.xml.rels><?xml version="1.0" encoding="UTF-8" standalone="yes"?>
<Relationships xmlns="http://schemas.openxmlformats.org/package/2006/relationships"><Relationship Id="rId2" Type="http://schemas.openxmlformats.org/officeDocument/2006/relationships/table" Target="../tables/table62.xml"/><Relationship Id="rId1" Type="http://schemas.openxmlformats.org/officeDocument/2006/relationships/printerSettings" Target="../printerSettings/printerSettings26.bin"/></Relationships>
</file>

<file path=xl/worksheets/_rels/sheet84.xml.rels><?xml version="1.0" encoding="UTF-8" standalone="yes"?>
<Relationships xmlns="http://schemas.openxmlformats.org/package/2006/relationships"><Relationship Id="rId1" Type="http://schemas.openxmlformats.org/officeDocument/2006/relationships/table" Target="../tables/table63.xml"/></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86.xml.rels><?xml version="1.0" encoding="UTF-8" standalone="yes"?>
<Relationships xmlns="http://schemas.openxmlformats.org/package/2006/relationships"><Relationship Id="rId2" Type="http://schemas.openxmlformats.org/officeDocument/2006/relationships/table" Target="../tables/table64.xml"/><Relationship Id="rId1" Type="http://schemas.openxmlformats.org/officeDocument/2006/relationships/printerSettings" Target="../printerSettings/printerSettings28.bin"/></Relationships>
</file>

<file path=xl/worksheets/_rels/sheet88.xml.rels><?xml version="1.0" encoding="UTF-8" standalone="yes"?>
<Relationships xmlns="http://schemas.openxmlformats.org/package/2006/relationships"><Relationship Id="rId1" Type="http://schemas.openxmlformats.org/officeDocument/2006/relationships/table" Target="../tables/table65.xml"/></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90.xml.rels><?xml version="1.0" encoding="UTF-8" standalone="yes"?>
<Relationships xmlns="http://schemas.openxmlformats.org/package/2006/relationships"><Relationship Id="rId2" Type="http://schemas.openxmlformats.org/officeDocument/2006/relationships/table" Target="../tables/table66.xml"/><Relationship Id="rId1" Type="http://schemas.openxmlformats.org/officeDocument/2006/relationships/printerSettings" Target="../printerSettings/printerSettings30.bin"/></Relationships>
</file>

<file path=xl/worksheets/_rels/sheet9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92.xml.rels><?xml version="1.0" encoding="UTF-8" standalone="yes"?>
<Relationships xmlns="http://schemas.openxmlformats.org/package/2006/relationships"><Relationship Id="rId1" Type="http://schemas.openxmlformats.org/officeDocument/2006/relationships/table" Target="../tables/table6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V14"/>
  <sheetViews>
    <sheetView workbookViewId="0">
      <pane xSplit="3" ySplit="2" topLeftCell="M3" activePane="bottomRight" state="frozen"/>
      <selection pane="topRight" sqref="A1:AS1"/>
      <selection pane="bottomLeft" sqref="A1:AS1"/>
      <selection pane="bottomRight" activeCell="B15" sqref="B15"/>
    </sheetView>
  </sheetViews>
  <sheetFormatPr defaultColWidth="9.15625" defaultRowHeight="15" customHeight="1"/>
  <cols>
    <col min="1" max="1" width="14.15625" style="5" bestFit="1" customWidth="1"/>
    <col min="2" max="2" width="21.83984375" style="5" bestFit="1" customWidth="1"/>
    <col min="3" max="3" width="22.15625" style="5" bestFit="1" customWidth="1"/>
    <col min="4" max="4" width="16.15625" style="5" customWidth="1"/>
    <col min="5" max="5" width="24.41796875" style="5" customWidth="1"/>
    <col min="6" max="6" width="14.68359375" style="5" customWidth="1"/>
    <col min="7" max="9" width="15" style="5" customWidth="1"/>
    <col min="10" max="10" width="24.41796875" style="5" customWidth="1"/>
    <col min="11" max="11" width="15" style="5" customWidth="1"/>
    <col min="12" max="12" width="22.41796875" style="5" bestFit="1" customWidth="1"/>
    <col min="13" max="13" width="15" style="5" customWidth="1"/>
    <col min="14" max="14" width="18.41796875" style="5" bestFit="1" customWidth="1"/>
    <col min="15" max="15" width="24.41796875" style="5" bestFit="1" customWidth="1"/>
    <col min="16" max="18" width="15" style="5" customWidth="1"/>
    <col min="19" max="19" width="22.26171875" style="5" bestFit="1" customWidth="1"/>
    <col min="20" max="20" width="15" style="5" customWidth="1"/>
    <col min="21" max="21" width="19.578125" style="5" bestFit="1" customWidth="1"/>
    <col min="22" max="22" width="10.15625" style="5" customWidth="1"/>
    <col min="23" max="23" width="10" style="5" bestFit="1" customWidth="1"/>
    <col min="24" max="24" width="11.26171875" style="5" bestFit="1" customWidth="1"/>
    <col min="25" max="25" width="10" style="5" bestFit="1" customWidth="1"/>
    <col min="26" max="26" width="12.578125" style="5" bestFit="1" customWidth="1"/>
    <col min="27" max="27" width="13.26171875" style="5" bestFit="1" customWidth="1"/>
    <col min="28" max="28" width="10.15625" style="5" bestFit="1" customWidth="1"/>
    <col min="29" max="29" width="13.83984375" style="5" bestFit="1" customWidth="1"/>
    <col min="30" max="30" width="15.26171875" style="5" bestFit="1" customWidth="1"/>
    <col min="31" max="31" width="16.41796875" style="5" bestFit="1" customWidth="1"/>
    <col min="32" max="32" width="18.41796875" style="5" bestFit="1" customWidth="1"/>
    <col min="33" max="33" width="23" style="5" hidden="1" customWidth="1"/>
    <col min="34" max="34" width="22.41796875" style="5" customWidth="1"/>
    <col min="35" max="35" width="24.578125" style="5" bestFit="1" customWidth="1"/>
    <col min="36" max="36" width="6.578125" style="5" bestFit="1" customWidth="1"/>
    <col min="37" max="37" width="13.15625" style="5" bestFit="1" customWidth="1"/>
    <col min="38" max="38" width="22.26171875" style="5" hidden="1" customWidth="1"/>
    <col min="39" max="39" width="19.41796875" style="5" hidden="1" customWidth="1"/>
    <col min="40" max="40" width="13.68359375" style="5" bestFit="1" customWidth="1"/>
    <col min="41" max="41" width="17.578125" style="5" bestFit="1" customWidth="1"/>
    <col min="42" max="42" width="20.83984375" style="5" bestFit="1" customWidth="1"/>
    <col min="43" max="43" width="19.68359375" style="5" bestFit="1" customWidth="1"/>
    <col min="44" max="44" width="19.68359375" style="5" customWidth="1"/>
    <col min="45" max="48" width="11" style="5" bestFit="1" customWidth="1"/>
    <col min="49" max="16384" width="9.15625" style="5"/>
  </cols>
  <sheetData>
    <row r="1" spans="1:48" ht="14.5" customHeight="1">
      <c r="A1" s="1504" t="s">
        <v>0</v>
      </c>
      <c r="B1" s="1504"/>
      <c r="C1" s="1504"/>
      <c r="D1" s="1504"/>
      <c r="E1" s="1504"/>
      <c r="F1" s="1504"/>
      <c r="G1" s="1504"/>
      <c r="H1" s="1504"/>
      <c r="I1" s="1504"/>
      <c r="J1" s="1504"/>
      <c r="K1" s="1504"/>
      <c r="L1" s="1504"/>
      <c r="M1" s="1504"/>
      <c r="N1" s="1504"/>
      <c r="O1" s="1504"/>
      <c r="P1" s="1504"/>
      <c r="Q1" s="1504"/>
      <c r="R1" s="1504"/>
      <c r="S1" s="1504"/>
      <c r="T1" s="1504"/>
      <c r="U1" s="1504"/>
      <c r="V1" s="1504"/>
      <c r="W1" s="1504"/>
      <c r="X1" s="1504"/>
      <c r="Y1" s="1504"/>
      <c r="Z1" s="1504"/>
      <c r="AA1" s="1504"/>
      <c r="AB1" s="1504"/>
      <c r="AC1" s="1504"/>
      <c r="AD1" s="1504"/>
      <c r="AE1" s="1504"/>
      <c r="AF1" s="1504"/>
      <c r="AG1" s="1504"/>
      <c r="AH1" s="1504"/>
      <c r="AI1" s="1504"/>
      <c r="AJ1" s="1504"/>
      <c r="AK1" s="1504"/>
      <c r="AL1" s="1504"/>
      <c r="AM1" s="1504"/>
      <c r="AN1" s="1504"/>
      <c r="AO1" s="1504"/>
      <c r="AP1" s="1504"/>
      <c r="AQ1" s="1504"/>
      <c r="AR1" s="1504"/>
      <c r="AS1" s="1504"/>
      <c r="AT1" s="688"/>
    </row>
    <row r="2" spans="1:48" ht="14.4">
      <c r="A2" s="5" t="s">
        <v>1</v>
      </c>
      <c r="B2" s="5" t="s">
        <v>2</v>
      </c>
      <c r="C2" s="5" t="s">
        <v>3</v>
      </c>
      <c r="D2" s="173" t="s">
        <v>4</v>
      </c>
      <c r="E2" s="173" t="s">
        <v>5</v>
      </c>
      <c r="F2" s="173" t="s">
        <v>6</v>
      </c>
      <c r="G2" s="173" t="s">
        <v>7</v>
      </c>
      <c r="H2" s="173" t="s">
        <v>8</v>
      </c>
      <c r="I2" s="173" t="s">
        <v>9</v>
      </c>
      <c r="J2" s="173" t="s">
        <v>10</v>
      </c>
      <c r="K2" s="173" t="s">
        <v>11</v>
      </c>
      <c r="L2" s="173" t="s">
        <v>12</v>
      </c>
      <c r="M2" s="173" t="s">
        <v>13</v>
      </c>
      <c r="N2" s="173" t="s">
        <v>14</v>
      </c>
      <c r="O2" s="173" t="s">
        <v>15</v>
      </c>
      <c r="P2" s="173" t="s">
        <v>16</v>
      </c>
      <c r="Q2" s="173" t="s">
        <v>17</v>
      </c>
      <c r="R2" s="173" t="s">
        <v>18</v>
      </c>
      <c r="S2" s="173" t="s">
        <v>19</v>
      </c>
      <c r="T2" s="173" t="s">
        <v>20</v>
      </c>
      <c r="U2" s="173" t="s">
        <v>21</v>
      </c>
      <c r="V2" s="173" t="s">
        <v>22</v>
      </c>
      <c r="W2" s="173" t="s">
        <v>23</v>
      </c>
      <c r="X2" s="173" t="s">
        <v>24</v>
      </c>
      <c r="Y2" s="173" t="s">
        <v>25</v>
      </c>
      <c r="Z2" s="173" t="s">
        <v>26</v>
      </c>
      <c r="AA2" s="173" t="s">
        <v>27</v>
      </c>
      <c r="AB2" s="173" t="s">
        <v>28</v>
      </c>
      <c r="AC2" s="173" t="s">
        <v>29</v>
      </c>
      <c r="AD2" s="173" t="s">
        <v>30</v>
      </c>
      <c r="AE2" s="173" t="s">
        <v>31</v>
      </c>
      <c r="AF2" s="173" t="s">
        <v>32</v>
      </c>
      <c r="AG2" s="173" t="s">
        <v>33</v>
      </c>
      <c r="AH2" s="182" t="s">
        <v>34</v>
      </c>
      <c r="AI2" s="182" t="s">
        <v>35</v>
      </c>
      <c r="AJ2" s="173" t="s">
        <v>36</v>
      </c>
      <c r="AK2" s="173" t="s">
        <v>37</v>
      </c>
      <c r="AL2" s="173" t="s">
        <v>38</v>
      </c>
      <c r="AM2" s="173" t="s">
        <v>39</v>
      </c>
      <c r="AN2" s="173" t="s">
        <v>40</v>
      </c>
      <c r="AO2" s="173" t="s">
        <v>41</v>
      </c>
      <c r="AP2" s="173" t="s">
        <v>42</v>
      </c>
      <c r="AQ2" s="173" t="s">
        <v>43</v>
      </c>
      <c r="AR2" s="173" t="s">
        <v>44</v>
      </c>
      <c r="AS2" s="173" t="s">
        <v>45</v>
      </c>
      <c r="AT2" s="173"/>
      <c r="AU2" s="173"/>
      <c r="AV2" s="173"/>
    </row>
    <row r="3" spans="1:48" ht="14.4">
      <c r="A3" s="5" t="s">
        <v>46</v>
      </c>
      <c r="B3" s="51">
        <v>44078</v>
      </c>
      <c r="C3" s="5" t="s">
        <v>47</v>
      </c>
      <c r="D3" s="174" t="s">
        <v>48</v>
      </c>
      <c r="E3" s="174" t="s">
        <v>48</v>
      </c>
      <c r="F3" s="174" t="s">
        <v>48</v>
      </c>
      <c r="G3" s="174" t="s">
        <v>48</v>
      </c>
      <c r="H3" s="174" t="s">
        <v>48</v>
      </c>
      <c r="I3" s="174" t="s">
        <v>48</v>
      </c>
      <c r="J3" s="174" t="s">
        <v>48</v>
      </c>
      <c r="K3" s="174" t="s">
        <v>48</v>
      </c>
      <c r="L3" s="174" t="s">
        <v>48</v>
      </c>
      <c r="M3" s="174" t="s">
        <v>48</v>
      </c>
      <c r="N3" s="174" t="s">
        <v>48</v>
      </c>
      <c r="O3" s="174" t="s">
        <v>48</v>
      </c>
      <c r="P3" s="174" t="s">
        <v>48</v>
      </c>
      <c r="Q3" s="174" t="s">
        <v>48</v>
      </c>
      <c r="R3" s="174" t="s">
        <v>48</v>
      </c>
      <c r="S3" s="174" t="s">
        <v>48</v>
      </c>
      <c r="T3" s="174" t="s">
        <v>48</v>
      </c>
      <c r="U3" s="174" t="s">
        <v>48</v>
      </c>
      <c r="V3" s="174" t="s">
        <v>49</v>
      </c>
      <c r="W3" s="174" t="s">
        <v>48</v>
      </c>
      <c r="X3" s="174" t="s">
        <v>48</v>
      </c>
      <c r="Y3" s="174" t="s">
        <v>48</v>
      </c>
      <c r="Z3" s="174" t="s">
        <v>49</v>
      </c>
      <c r="AA3" s="174" t="s">
        <v>49</v>
      </c>
      <c r="AB3" s="174" t="s">
        <v>48</v>
      </c>
      <c r="AC3" s="174" t="s">
        <v>48</v>
      </c>
      <c r="AD3" s="13" t="s">
        <v>50</v>
      </c>
      <c r="AE3" s="174" t="s">
        <v>48</v>
      </c>
      <c r="AF3" s="174" t="s">
        <v>48</v>
      </c>
      <c r="AG3" s="174" t="s">
        <v>48</v>
      </c>
      <c r="AH3" s="174" t="s">
        <v>48</v>
      </c>
      <c r="AI3" s="174" t="s">
        <v>48</v>
      </c>
      <c r="AJ3" s="174" t="s">
        <v>48</v>
      </c>
      <c r="AK3" s="174" t="s">
        <v>48</v>
      </c>
      <c r="AL3" s="174" t="s">
        <v>48</v>
      </c>
      <c r="AM3" s="174" t="s">
        <v>48</v>
      </c>
      <c r="AN3" s="174" t="s">
        <v>48</v>
      </c>
      <c r="AO3" s="174" t="s">
        <v>48</v>
      </c>
      <c r="AP3" s="174" t="s">
        <v>48</v>
      </c>
      <c r="AQ3" s="174" t="s">
        <v>48</v>
      </c>
      <c r="AR3" s="174" t="s">
        <v>48</v>
      </c>
      <c r="AS3" s="174" t="s">
        <v>48</v>
      </c>
      <c r="AT3" s="174"/>
      <c r="AU3" s="174"/>
      <c r="AV3" s="174"/>
    </row>
    <row r="4" spans="1:48" ht="14.4">
      <c r="A4" s="5" t="s">
        <v>51</v>
      </c>
      <c r="B4" s="175">
        <v>44284</v>
      </c>
      <c r="C4" s="5">
        <v>1</v>
      </c>
      <c r="D4" s="174" t="s">
        <v>48</v>
      </c>
      <c r="E4" s="174" t="s">
        <v>48</v>
      </c>
      <c r="F4" s="174" t="s">
        <v>48</v>
      </c>
      <c r="G4" s="174" t="s">
        <v>48</v>
      </c>
      <c r="H4" s="174" t="s">
        <v>48</v>
      </c>
      <c r="I4" s="174" t="s">
        <v>48</v>
      </c>
      <c r="J4" s="174" t="s">
        <v>48</v>
      </c>
      <c r="K4" s="174" t="s">
        <v>48</v>
      </c>
      <c r="L4" s="174" t="s">
        <v>48</v>
      </c>
      <c r="M4" s="174" t="s">
        <v>48</v>
      </c>
      <c r="N4" s="174" t="s">
        <v>48</v>
      </c>
      <c r="O4" s="174" t="s">
        <v>48</v>
      </c>
      <c r="P4" s="174" t="s">
        <v>48</v>
      </c>
      <c r="Q4" s="174" t="s">
        <v>48</v>
      </c>
      <c r="R4" s="174" t="s">
        <v>48</v>
      </c>
      <c r="S4" s="174" t="s">
        <v>48</v>
      </c>
      <c r="T4" s="174" t="s">
        <v>48</v>
      </c>
      <c r="U4" s="174" t="s">
        <v>48</v>
      </c>
      <c r="V4" s="5">
        <v>3</v>
      </c>
      <c r="W4" s="174" t="s">
        <v>48</v>
      </c>
      <c r="X4" s="174" t="s">
        <v>48</v>
      </c>
      <c r="Y4" s="174" t="s">
        <v>48</v>
      </c>
      <c r="Z4" s="5">
        <v>2</v>
      </c>
      <c r="AA4" s="5">
        <v>2</v>
      </c>
      <c r="AB4" s="5">
        <v>1</v>
      </c>
      <c r="AC4" s="5" t="s">
        <v>48</v>
      </c>
      <c r="AD4" t="s">
        <v>48</v>
      </c>
      <c r="AE4" s="5" t="s">
        <v>48</v>
      </c>
      <c r="AF4" s="5" t="s">
        <v>48</v>
      </c>
      <c r="AG4" s="5">
        <v>2</v>
      </c>
      <c r="AH4" s="174" t="s">
        <v>48</v>
      </c>
      <c r="AI4" s="174" t="s">
        <v>48</v>
      </c>
      <c r="AJ4" s="5" t="s">
        <v>48</v>
      </c>
      <c r="AK4" s="174" t="s">
        <v>48</v>
      </c>
      <c r="AL4" s="5" t="s">
        <v>48</v>
      </c>
      <c r="AM4" s="5" t="s">
        <v>48</v>
      </c>
      <c r="AN4" s="5" t="s">
        <v>48</v>
      </c>
      <c r="AO4" s="5" t="s">
        <v>48</v>
      </c>
      <c r="AP4" s="5" t="s">
        <v>48</v>
      </c>
      <c r="AQ4" s="5" t="s">
        <v>48</v>
      </c>
      <c r="AR4" s="5" t="s">
        <v>48</v>
      </c>
      <c r="AS4" s="5" t="s">
        <v>48</v>
      </c>
    </row>
    <row r="5" spans="1:48" ht="14.4">
      <c r="A5" s="5" t="s">
        <v>52</v>
      </c>
      <c r="B5" s="51">
        <v>44341</v>
      </c>
      <c r="C5" s="5">
        <v>2</v>
      </c>
      <c r="D5" s="174" t="s">
        <v>48</v>
      </c>
      <c r="E5" s="174" t="s">
        <v>48</v>
      </c>
      <c r="F5" s="174" t="s">
        <v>48</v>
      </c>
      <c r="G5" s="174" t="s">
        <v>48</v>
      </c>
      <c r="H5" s="174" t="s">
        <v>48</v>
      </c>
      <c r="I5" s="174" t="s">
        <v>48</v>
      </c>
      <c r="J5" s="174" t="s">
        <v>48</v>
      </c>
      <c r="K5" s="174" t="s">
        <v>48</v>
      </c>
      <c r="L5" s="174" t="s">
        <v>48</v>
      </c>
      <c r="M5" s="174" t="s">
        <v>48</v>
      </c>
      <c r="N5" s="174" t="s">
        <v>48</v>
      </c>
      <c r="O5" s="174" t="s">
        <v>48</v>
      </c>
      <c r="P5" s="174" t="s">
        <v>48</v>
      </c>
      <c r="Q5" s="174" t="s">
        <v>48</v>
      </c>
      <c r="R5" s="174" t="s">
        <v>48</v>
      </c>
      <c r="S5" s="174" t="s">
        <v>48</v>
      </c>
      <c r="T5" s="174" t="s">
        <v>48</v>
      </c>
      <c r="U5" s="174" t="s">
        <v>48</v>
      </c>
      <c r="V5" s="5">
        <v>5</v>
      </c>
      <c r="W5" s="5">
        <v>1</v>
      </c>
      <c r="X5" s="5">
        <v>1</v>
      </c>
      <c r="Y5" s="174" t="s">
        <v>48</v>
      </c>
      <c r="Z5" s="5">
        <v>3</v>
      </c>
      <c r="AA5" s="5">
        <v>3</v>
      </c>
      <c r="AB5" s="5">
        <v>2</v>
      </c>
      <c r="AC5" s="5">
        <v>3</v>
      </c>
      <c r="AD5" t="s">
        <v>48</v>
      </c>
      <c r="AE5" s="5">
        <v>1</v>
      </c>
      <c r="AF5" s="5">
        <v>1</v>
      </c>
      <c r="AG5" s="5" t="s">
        <v>48</v>
      </c>
      <c r="AH5" s="5">
        <v>1</v>
      </c>
      <c r="AI5" s="5">
        <v>1</v>
      </c>
      <c r="AJ5" s="5" t="s">
        <v>48</v>
      </c>
      <c r="AK5" s="174" t="s">
        <v>48</v>
      </c>
      <c r="AL5" s="5" t="s">
        <v>48</v>
      </c>
      <c r="AM5" s="5" t="s">
        <v>48</v>
      </c>
      <c r="AN5" s="5">
        <v>1</v>
      </c>
      <c r="AO5" s="5" t="s">
        <v>48</v>
      </c>
      <c r="AP5" s="5" t="s">
        <v>48</v>
      </c>
      <c r="AQ5" s="5">
        <v>1</v>
      </c>
      <c r="AR5" s="5" t="s">
        <v>48</v>
      </c>
      <c r="AS5" s="5">
        <v>1</v>
      </c>
    </row>
    <row r="6" spans="1:48" ht="14.4">
      <c r="A6" s="5" t="s">
        <v>53</v>
      </c>
      <c r="B6" s="175">
        <v>44452</v>
      </c>
      <c r="C6" s="5">
        <v>3</v>
      </c>
      <c r="D6" s="174" t="s">
        <v>48</v>
      </c>
      <c r="E6" s="174" t="s">
        <v>48</v>
      </c>
      <c r="F6" s="174" t="s">
        <v>48</v>
      </c>
      <c r="G6" s="174" t="s">
        <v>48</v>
      </c>
      <c r="H6" s="174" t="s">
        <v>48</v>
      </c>
      <c r="I6" s="174" t="s">
        <v>48</v>
      </c>
      <c r="J6" s="174" t="s">
        <v>48</v>
      </c>
      <c r="K6" s="174" t="s">
        <v>48</v>
      </c>
      <c r="L6" s="174" t="s">
        <v>48</v>
      </c>
      <c r="M6" s="174" t="s">
        <v>48</v>
      </c>
      <c r="N6" s="174" t="s">
        <v>48</v>
      </c>
      <c r="O6" s="174" t="s">
        <v>48</v>
      </c>
      <c r="P6" s="174" t="s">
        <v>48</v>
      </c>
      <c r="Q6" s="174" t="s">
        <v>48</v>
      </c>
      <c r="R6" s="174" t="s">
        <v>48</v>
      </c>
      <c r="S6" s="174" t="s">
        <v>48</v>
      </c>
      <c r="T6" s="174" t="s">
        <v>48</v>
      </c>
      <c r="U6" s="174" t="s">
        <v>48</v>
      </c>
      <c r="V6" s="5">
        <v>5</v>
      </c>
      <c r="W6" s="174">
        <v>1</v>
      </c>
      <c r="X6" s="174">
        <v>1</v>
      </c>
      <c r="Y6" s="174" t="s">
        <v>48</v>
      </c>
      <c r="Z6" s="5">
        <v>3</v>
      </c>
      <c r="AA6" s="5">
        <v>3</v>
      </c>
      <c r="AB6" s="5">
        <v>2</v>
      </c>
      <c r="AC6" s="5">
        <v>4</v>
      </c>
      <c r="AD6" t="s">
        <v>48</v>
      </c>
      <c r="AE6" s="5">
        <v>1</v>
      </c>
      <c r="AF6" s="5">
        <v>1</v>
      </c>
      <c r="AG6" s="5" t="s">
        <v>48</v>
      </c>
      <c r="AH6" s="174">
        <v>1</v>
      </c>
      <c r="AI6" s="174">
        <v>1</v>
      </c>
      <c r="AJ6" s="174">
        <v>1</v>
      </c>
      <c r="AK6" s="174" t="s">
        <v>48</v>
      </c>
      <c r="AL6" s="5" t="s">
        <v>48</v>
      </c>
      <c r="AM6" s="5" t="s">
        <v>48</v>
      </c>
      <c r="AN6" s="5">
        <v>1</v>
      </c>
      <c r="AO6" s="5" t="s">
        <v>48</v>
      </c>
      <c r="AP6" s="5" t="s">
        <v>48</v>
      </c>
      <c r="AQ6" s="5">
        <v>1</v>
      </c>
      <c r="AR6" s="5" t="s">
        <v>48</v>
      </c>
      <c r="AS6" s="5">
        <v>1</v>
      </c>
    </row>
    <row r="7" spans="1:48" ht="14.4">
      <c r="A7" s="5" t="s">
        <v>54</v>
      </c>
      <c r="B7" s="51">
        <v>44719</v>
      </c>
      <c r="C7" s="5">
        <v>4</v>
      </c>
      <c r="D7" s="174" t="s">
        <v>48</v>
      </c>
      <c r="E7" s="174" t="s">
        <v>48</v>
      </c>
      <c r="F7" s="174" t="s">
        <v>48</v>
      </c>
      <c r="G7" s="174" t="s">
        <v>48</v>
      </c>
      <c r="H7" s="174" t="s">
        <v>48</v>
      </c>
      <c r="I7" s="174" t="s">
        <v>48</v>
      </c>
      <c r="J7" s="174" t="s">
        <v>48</v>
      </c>
      <c r="K7" s="174" t="s">
        <v>48</v>
      </c>
      <c r="L7" s="174" t="s">
        <v>48</v>
      </c>
      <c r="M7" s="174" t="s">
        <v>48</v>
      </c>
      <c r="N7" s="174" t="s">
        <v>48</v>
      </c>
      <c r="O7" s="174" t="s">
        <v>48</v>
      </c>
      <c r="P7" s="174" t="s">
        <v>48</v>
      </c>
      <c r="Q7" s="174" t="s">
        <v>48</v>
      </c>
      <c r="R7" s="174" t="s">
        <v>48</v>
      </c>
      <c r="S7" s="174" t="s">
        <v>48</v>
      </c>
      <c r="T7" s="174" t="s">
        <v>48</v>
      </c>
      <c r="U7" s="174" t="s">
        <v>48</v>
      </c>
      <c r="V7" s="5">
        <v>6</v>
      </c>
      <c r="W7" s="5">
        <v>3</v>
      </c>
      <c r="X7" s="5">
        <v>3</v>
      </c>
      <c r="Y7" s="5">
        <v>1</v>
      </c>
      <c r="Z7" s="5">
        <v>4</v>
      </c>
      <c r="AA7" s="5" t="s">
        <v>48</v>
      </c>
      <c r="AB7" s="5">
        <v>4</v>
      </c>
      <c r="AC7" s="5">
        <v>7</v>
      </c>
      <c r="AD7" s="5">
        <v>1</v>
      </c>
      <c r="AE7" s="5">
        <v>2</v>
      </c>
      <c r="AF7" s="5">
        <v>2</v>
      </c>
      <c r="AG7" s="5" t="s">
        <v>48</v>
      </c>
      <c r="AH7" s="5">
        <v>2</v>
      </c>
      <c r="AI7" s="5">
        <v>2</v>
      </c>
      <c r="AJ7" s="5">
        <v>2</v>
      </c>
      <c r="AK7" s="174" t="s">
        <v>48</v>
      </c>
      <c r="AL7" s="5">
        <v>4</v>
      </c>
      <c r="AM7" s="5">
        <v>4</v>
      </c>
      <c r="AN7" s="5">
        <v>2</v>
      </c>
      <c r="AO7" s="5">
        <v>2</v>
      </c>
      <c r="AP7" s="5">
        <v>2</v>
      </c>
      <c r="AQ7" s="5">
        <v>2</v>
      </c>
      <c r="AR7" s="5" t="s">
        <v>48</v>
      </c>
      <c r="AS7" s="5">
        <v>2</v>
      </c>
    </row>
    <row r="8" spans="1:48" ht="14.4">
      <c r="A8" s="5" t="s">
        <v>55</v>
      </c>
      <c r="B8" s="175">
        <v>44743</v>
      </c>
      <c r="C8" s="5">
        <v>5</v>
      </c>
      <c r="D8" s="174" t="s">
        <v>48</v>
      </c>
      <c r="E8" s="174" t="s">
        <v>48</v>
      </c>
      <c r="F8" s="174" t="s">
        <v>48</v>
      </c>
      <c r="G8" s="174" t="s">
        <v>48</v>
      </c>
      <c r="H8" s="174" t="s">
        <v>48</v>
      </c>
      <c r="I8" s="174" t="s">
        <v>48</v>
      </c>
      <c r="J8" s="174" t="s">
        <v>48</v>
      </c>
      <c r="K8" s="174" t="s">
        <v>48</v>
      </c>
      <c r="L8" s="174" t="s">
        <v>48</v>
      </c>
      <c r="M8" s="174" t="s">
        <v>48</v>
      </c>
      <c r="N8" s="174" t="s">
        <v>48</v>
      </c>
      <c r="O8" s="174" t="s">
        <v>48</v>
      </c>
      <c r="P8" s="174" t="s">
        <v>48</v>
      </c>
      <c r="Q8" s="174" t="s">
        <v>48</v>
      </c>
      <c r="R8" s="174" t="s">
        <v>48</v>
      </c>
      <c r="S8" s="174" t="s">
        <v>48</v>
      </c>
      <c r="T8" s="174" t="s">
        <v>48</v>
      </c>
      <c r="U8" s="174" t="s">
        <v>48</v>
      </c>
      <c r="V8" s="5">
        <v>8</v>
      </c>
      <c r="W8" s="5">
        <v>5</v>
      </c>
      <c r="X8" s="5">
        <v>5</v>
      </c>
      <c r="Y8" s="5">
        <v>2</v>
      </c>
      <c r="Z8" s="5">
        <v>4</v>
      </c>
      <c r="AA8" s="5" t="s">
        <v>48</v>
      </c>
      <c r="AB8" s="5">
        <v>4</v>
      </c>
      <c r="AC8" s="5">
        <v>8</v>
      </c>
      <c r="AD8" s="5">
        <v>1</v>
      </c>
      <c r="AE8" s="5">
        <v>4</v>
      </c>
      <c r="AF8" s="5">
        <v>2</v>
      </c>
      <c r="AG8" s="5" t="s">
        <v>48</v>
      </c>
      <c r="AH8" s="5">
        <v>2</v>
      </c>
      <c r="AI8" s="5">
        <v>2</v>
      </c>
      <c r="AJ8" s="5">
        <v>2</v>
      </c>
      <c r="AK8" s="174" t="s">
        <v>48</v>
      </c>
      <c r="AL8" s="5">
        <v>4</v>
      </c>
      <c r="AM8" s="5">
        <v>4</v>
      </c>
      <c r="AN8" s="5">
        <v>3</v>
      </c>
      <c r="AO8" s="5">
        <v>3</v>
      </c>
      <c r="AP8" s="5">
        <v>4</v>
      </c>
      <c r="AQ8" s="5">
        <v>3</v>
      </c>
      <c r="AR8" s="5" t="s">
        <v>48</v>
      </c>
      <c r="AS8" s="5">
        <v>3</v>
      </c>
    </row>
    <row r="9" spans="1:48" ht="15" customHeight="1">
      <c r="A9" s="5" t="s">
        <v>56</v>
      </c>
      <c r="B9" s="51">
        <v>44957</v>
      </c>
      <c r="C9" s="5">
        <v>6</v>
      </c>
      <c r="D9" s="5">
        <v>1</v>
      </c>
      <c r="E9" s="5">
        <v>1</v>
      </c>
      <c r="F9" s="5">
        <v>1</v>
      </c>
      <c r="G9" s="5">
        <v>1</v>
      </c>
      <c r="H9" s="5">
        <v>1</v>
      </c>
      <c r="I9" s="5">
        <v>1</v>
      </c>
      <c r="J9" s="5">
        <v>1</v>
      </c>
      <c r="K9" s="5">
        <v>1</v>
      </c>
      <c r="L9" s="5">
        <v>1</v>
      </c>
      <c r="M9" s="5">
        <v>1</v>
      </c>
      <c r="N9" s="5">
        <v>1</v>
      </c>
      <c r="O9" s="5">
        <v>1</v>
      </c>
      <c r="P9" s="5">
        <v>1</v>
      </c>
      <c r="Q9" s="5">
        <v>1</v>
      </c>
      <c r="R9" s="5">
        <v>1</v>
      </c>
      <c r="S9" s="5" t="s">
        <v>48</v>
      </c>
      <c r="T9" s="5" t="s">
        <v>48</v>
      </c>
      <c r="U9" s="5">
        <v>1</v>
      </c>
      <c r="V9" s="5">
        <v>9</v>
      </c>
      <c r="W9" s="5">
        <v>6</v>
      </c>
      <c r="X9" s="5">
        <v>6</v>
      </c>
      <c r="Y9" s="5">
        <v>3</v>
      </c>
      <c r="Z9" s="5">
        <v>5</v>
      </c>
      <c r="AA9" s="5" t="s">
        <v>48</v>
      </c>
      <c r="AB9" s="5">
        <v>5</v>
      </c>
      <c r="AC9" s="5">
        <v>9</v>
      </c>
      <c r="AD9" s="5" t="s">
        <v>48</v>
      </c>
      <c r="AE9" s="5" t="s">
        <v>48</v>
      </c>
      <c r="AF9" s="5">
        <v>3</v>
      </c>
      <c r="AG9" s="5" t="s">
        <v>48</v>
      </c>
      <c r="AH9" s="5">
        <v>3</v>
      </c>
      <c r="AI9" s="5">
        <v>3</v>
      </c>
      <c r="AJ9" s="5">
        <v>3</v>
      </c>
      <c r="AK9" s="5">
        <v>1</v>
      </c>
      <c r="AL9" s="5" t="s">
        <v>48</v>
      </c>
      <c r="AM9" s="5" t="s">
        <v>48</v>
      </c>
      <c r="AN9" s="5">
        <v>4</v>
      </c>
      <c r="AO9" s="5">
        <v>4</v>
      </c>
      <c r="AP9" s="5">
        <v>5</v>
      </c>
      <c r="AQ9" s="5">
        <v>4</v>
      </c>
      <c r="AR9" s="5">
        <v>2</v>
      </c>
      <c r="AS9" s="5">
        <v>4</v>
      </c>
    </row>
    <row r="10" spans="1:48" ht="14.4">
      <c r="A10" s="5" t="s">
        <v>57</v>
      </c>
      <c r="B10" s="51">
        <v>44977</v>
      </c>
      <c r="C10" s="5">
        <v>7</v>
      </c>
      <c r="D10" s="174">
        <v>1</v>
      </c>
      <c r="E10" s="174">
        <v>1</v>
      </c>
      <c r="F10" s="174">
        <v>2</v>
      </c>
      <c r="G10" s="174">
        <v>1</v>
      </c>
      <c r="H10" s="174">
        <v>1</v>
      </c>
      <c r="I10" s="174">
        <v>2</v>
      </c>
      <c r="J10" s="174">
        <v>1</v>
      </c>
      <c r="K10" s="174">
        <v>1</v>
      </c>
      <c r="L10" s="174">
        <v>1</v>
      </c>
      <c r="M10" s="174">
        <v>1</v>
      </c>
      <c r="N10" s="174">
        <v>1</v>
      </c>
      <c r="O10" s="174">
        <v>1</v>
      </c>
      <c r="P10" s="174">
        <v>1</v>
      </c>
      <c r="Q10" s="174">
        <v>1</v>
      </c>
      <c r="R10" s="174">
        <v>1</v>
      </c>
      <c r="S10" s="174" t="s">
        <v>48</v>
      </c>
      <c r="T10" s="174" t="s">
        <v>48</v>
      </c>
      <c r="U10" s="174">
        <v>1</v>
      </c>
      <c r="V10" s="5">
        <v>11</v>
      </c>
      <c r="W10" s="5">
        <v>7</v>
      </c>
      <c r="X10" s="5">
        <v>7</v>
      </c>
      <c r="Y10" s="5">
        <v>3</v>
      </c>
      <c r="Z10" s="5">
        <v>6</v>
      </c>
      <c r="AA10" s="5" t="s">
        <v>48</v>
      </c>
      <c r="AB10" s="5">
        <v>5</v>
      </c>
      <c r="AC10" s="5">
        <v>10</v>
      </c>
      <c r="AD10" s="5" t="s">
        <v>48</v>
      </c>
      <c r="AE10" s="5" t="s">
        <v>48</v>
      </c>
      <c r="AF10" s="5">
        <v>5</v>
      </c>
      <c r="AH10" s="5">
        <v>4</v>
      </c>
      <c r="AI10" s="5">
        <v>3</v>
      </c>
      <c r="AJ10" s="5">
        <v>3</v>
      </c>
      <c r="AK10" s="174">
        <v>1</v>
      </c>
      <c r="AN10" s="5">
        <v>4</v>
      </c>
      <c r="AO10" s="5">
        <v>4</v>
      </c>
      <c r="AP10" s="5">
        <v>5</v>
      </c>
      <c r="AQ10" s="5">
        <v>4</v>
      </c>
      <c r="AR10" s="5">
        <v>2</v>
      </c>
      <c r="AS10" s="5">
        <v>4</v>
      </c>
    </row>
    <row r="11" spans="1:48" ht="15" customHeight="1">
      <c r="A11" s="5" t="s">
        <v>58</v>
      </c>
      <c r="B11" s="51">
        <v>44998</v>
      </c>
      <c r="C11" s="746" t="s">
        <v>59</v>
      </c>
      <c r="D11" s="5">
        <v>2</v>
      </c>
      <c r="E11" s="5">
        <v>2</v>
      </c>
      <c r="F11" s="5">
        <v>3</v>
      </c>
      <c r="G11" s="5">
        <v>2</v>
      </c>
      <c r="H11" s="5">
        <v>2</v>
      </c>
      <c r="I11" s="5">
        <v>3</v>
      </c>
      <c r="J11" s="5">
        <v>2</v>
      </c>
      <c r="K11" s="5">
        <v>2</v>
      </c>
      <c r="L11" s="5">
        <v>2</v>
      </c>
      <c r="M11" s="5">
        <v>2</v>
      </c>
      <c r="N11" s="5">
        <v>2</v>
      </c>
      <c r="O11" s="5">
        <v>2</v>
      </c>
      <c r="P11" s="5">
        <v>2</v>
      </c>
      <c r="Q11" s="5">
        <v>2</v>
      </c>
      <c r="R11" s="5">
        <v>2</v>
      </c>
      <c r="S11" s="174" t="s">
        <v>48</v>
      </c>
      <c r="T11" s="174" t="s">
        <v>48</v>
      </c>
      <c r="U11" s="5">
        <v>2</v>
      </c>
      <c r="V11" s="5">
        <v>12</v>
      </c>
      <c r="W11" s="5">
        <v>8</v>
      </c>
      <c r="X11" s="5">
        <v>8</v>
      </c>
      <c r="Y11" s="5">
        <v>4</v>
      </c>
      <c r="Z11" s="5">
        <v>7</v>
      </c>
      <c r="AA11" s="5" t="s">
        <v>48</v>
      </c>
      <c r="AB11" s="5">
        <v>6</v>
      </c>
      <c r="AC11" s="5">
        <v>11</v>
      </c>
      <c r="AD11" s="5" t="s">
        <v>48</v>
      </c>
      <c r="AE11" s="5" t="s">
        <v>48</v>
      </c>
      <c r="AF11" s="5">
        <v>6</v>
      </c>
      <c r="AG11" s="5" t="s">
        <v>48</v>
      </c>
      <c r="AH11" s="5">
        <v>5</v>
      </c>
      <c r="AI11" s="5">
        <v>4</v>
      </c>
      <c r="AJ11" s="5">
        <v>4</v>
      </c>
      <c r="AK11" s="5">
        <v>2</v>
      </c>
      <c r="AL11" s="5" t="s">
        <v>48</v>
      </c>
      <c r="AM11" s="5" t="s">
        <v>48</v>
      </c>
      <c r="AN11" s="5">
        <v>5</v>
      </c>
      <c r="AO11" s="5">
        <v>5</v>
      </c>
      <c r="AP11" s="5">
        <v>6</v>
      </c>
      <c r="AQ11" s="5">
        <v>5</v>
      </c>
      <c r="AR11" s="5">
        <v>3</v>
      </c>
      <c r="AS11" s="5">
        <v>5</v>
      </c>
    </row>
    <row r="12" spans="1:48" ht="15" customHeight="1">
      <c r="A12" s="5" t="s">
        <v>60</v>
      </c>
      <c r="B12" s="51">
        <v>45085</v>
      </c>
      <c r="C12" s="5">
        <v>8</v>
      </c>
      <c r="D12" s="5">
        <v>3</v>
      </c>
      <c r="E12" s="5">
        <v>3</v>
      </c>
      <c r="F12" s="5">
        <v>4</v>
      </c>
      <c r="G12" s="5">
        <v>3</v>
      </c>
      <c r="H12" s="5">
        <v>3</v>
      </c>
      <c r="I12" s="5">
        <v>4</v>
      </c>
      <c r="J12" s="5">
        <v>3</v>
      </c>
      <c r="K12" s="5">
        <v>3</v>
      </c>
      <c r="L12" s="5">
        <v>3</v>
      </c>
      <c r="M12" s="5">
        <v>3</v>
      </c>
      <c r="N12" s="5">
        <v>3</v>
      </c>
      <c r="O12" s="5">
        <v>3</v>
      </c>
      <c r="P12" s="5">
        <v>3</v>
      </c>
      <c r="Q12" s="5">
        <v>3</v>
      </c>
      <c r="R12" s="5">
        <v>3</v>
      </c>
      <c r="S12" s="174" t="s">
        <v>48</v>
      </c>
      <c r="T12" s="5">
        <v>2</v>
      </c>
      <c r="U12" s="5">
        <v>3</v>
      </c>
      <c r="V12" s="5">
        <v>14</v>
      </c>
      <c r="W12" s="5">
        <v>11</v>
      </c>
      <c r="X12" s="5">
        <v>10</v>
      </c>
      <c r="Y12" s="5">
        <v>7</v>
      </c>
      <c r="Z12" s="5">
        <v>9</v>
      </c>
      <c r="AA12" s="5" t="s">
        <v>48</v>
      </c>
      <c r="AB12" s="5">
        <v>8</v>
      </c>
      <c r="AC12" s="5">
        <v>12</v>
      </c>
      <c r="AD12" s="5">
        <v>3</v>
      </c>
      <c r="AE12" s="5" t="s">
        <v>48</v>
      </c>
      <c r="AF12" s="5">
        <v>7</v>
      </c>
      <c r="AH12" s="5">
        <v>6</v>
      </c>
      <c r="AI12" s="5">
        <v>5</v>
      </c>
      <c r="AJ12" s="5">
        <v>5</v>
      </c>
      <c r="AK12" s="5">
        <v>3</v>
      </c>
      <c r="AN12" s="5">
        <v>6</v>
      </c>
      <c r="AO12" s="5">
        <v>6</v>
      </c>
      <c r="AP12" s="5">
        <v>7</v>
      </c>
      <c r="AQ12" s="5">
        <v>6</v>
      </c>
      <c r="AR12" s="5">
        <v>4</v>
      </c>
      <c r="AS12" s="5">
        <v>7</v>
      </c>
    </row>
    <row r="13" spans="1:48" ht="15" customHeight="1">
      <c r="A13" s="5" t="s">
        <v>61</v>
      </c>
      <c r="B13" s="51">
        <v>45097</v>
      </c>
      <c r="C13" s="1010" t="s">
        <v>62</v>
      </c>
      <c r="D13" s="5">
        <v>4</v>
      </c>
      <c r="E13" s="5">
        <v>4</v>
      </c>
      <c r="F13" s="5">
        <v>5</v>
      </c>
      <c r="G13" s="5">
        <v>4</v>
      </c>
      <c r="H13" s="5">
        <v>4</v>
      </c>
      <c r="I13" s="5">
        <v>5</v>
      </c>
      <c r="J13" s="5">
        <v>4</v>
      </c>
      <c r="K13" s="5">
        <v>4</v>
      </c>
      <c r="L13" s="5">
        <v>4</v>
      </c>
      <c r="M13" s="5">
        <v>4</v>
      </c>
      <c r="N13" s="5">
        <v>4</v>
      </c>
      <c r="O13" s="5">
        <v>4</v>
      </c>
      <c r="P13" s="5">
        <v>4</v>
      </c>
      <c r="Q13" s="5">
        <v>4</v>
      </c>
      <c r="R13" s="5">
        <v>4</v>
      </c>
      <c r="S13" s="174" t="s">
        <v>48</v>
      </c>
      <c r="T13" s="5">
        <v>3</v>
      </c>
      <c r="U13" s="5">
        <v>4</v>
      </c>
      <c r="V13" s="5">
        <v>14</v>
      </c>
      <c r="W13" s="5">
        <v>12</v>
      </c>
      <c r="X13" s="5">
        <v>11</v>
      </c>
      <c r="Y13" s="5">
        <v>8</v>
      </c>
      <c r="Z13" s="5">
        <v>10</v>
      </c>
      <c r="AA13" s="5" t="s">
        <v>48</v>
      </c>
      <c r="AB13" s="5">
        <v>9</v>
      </c>
      <c r="AC13" s="5">
        <v>12</v>
      </c>
      <c r="AD13" s="5">
        <v>4</v>
      </c>
      <c r="AE13" s="5" t="s">
        <v>48</v>
      </c>
      <c r="AF13" s="5">
        <v>7</v>
      </c>
      <c r="AH13" s="5">
        <v>7</v>
      </c>
      <c r="AI13" s="5">
        <v>6</v>
      </c>
      <c r="AJ13" s="5">
        <v>6</v>
      </c>
      <c r="AK13" s="5">
        <v>4</v>
      </c>
      <c r="AN13" s="5">
        <v>6</v>
      </c>
      <c r="AO13" s="5">
        <v>6</v>
      </c>
      <c r="AP13" s="5">
        <v>8</v>
      </c>
      <c r="AQ13" s="5">
        <v>7</v>
      </c>
      <c r="AR13" s="5">
        <v>5</v>
      </c>
      <c r="AS13" s="5">
        <v>8</v>
      </c>
    </row>
    <row r="14" spans="1:48" ht="15" customHeight="1">
      <c r="A14" s="5" t="s">
        <v>63</v>
      </c>
      <c r="B14" s="51">
        <v>45205</v>
      </c>
      <c r="C14" s="1010" t="s">
        <v>64</v>
      </c>
      <c r="D14" s="5">
        <v>4</v>
      </c>
      <c r="E14" s="5">
        <v>4</v>
      </c>
      <c r="F14" s="5">
        <v>5</v>
      </c>
      <c r="G14" s="5">
        <v>4</v>
      </c>
      <c r="H14" s="5">
        <v>4</v>
      </c>
      <c r="I14" s="5">
        <v>5</v>
      </c>
      <c r="J14" s="5">
        <v>4</v>
      </c>
      <c r="K14" s="5">
        <v>4</v>
      </c>
      <c r="L14" s="5">
        <v>4</v>
      </c>
      <c r="M14" s="5">
        <v>4</v>
      </c>
      <c r="N14" s="5">
        <v>4</v>
      </c>
      <c r="O14" s="5">
        <v>4</v>
      </c>
      <c r="P14" s="5">
        <v>4</v>
      </c>
      <c r="Q14" s="5">
        <v>4</v>
      </c>
      <c r="R14" s="5">
        <v>5</v>
      </c>
      <c r="S14" s="174" t="s">
        <v>48</v>
      </c>
      <c r="T14" s="5">
        <v>3</v>
      </c>
      <c r="U14" s="5">
        <v>4</v>
      </c>
      <c r="V14" s="5">
        <v>14</v>
      </c>
      <c r="W14" s="5">
        <v>12</v>
      </c>
      <c r="X14" s="5">
        <v>11</v>
      </c>
      <c r="Y14" s="5">
        <v>8</v>
      </c>
      <c r="Z14" s="5">
        <v>10</v>
      </c>
      <c r="AA14" s="5" t="s">
        <v>48</v>
      </c>
      <c r="AB14" s="5">
        <v>9</v>
      </c>
      <c r="AC14" s="5">
        <v>12</v>
      </c>
      <c r="AD14" s="5">
        <v>4</v>
      </c>
      <c r="AE14" s="5" t="s">
        <v>48</v>
      </c>
      <c r="AF14" s="5">
        <v>7</v>
      </c>
      <c r="AH14" s="5">
        <v>7</v>
      </c>
      <c r="AI14" s="5">
        <v>6</v>
      </c>
      <c r="AJ14" s="5">
        <v>6</v>
      </c>
      <c r="AK14" s="5">
        <v>4</v>
      </c>
      <c r="AN14" s="5">
        <v>6</v>
      </c>
      <c r="AO14" s="5">
        <v>6</v>
      </c>
      <c r="AP14" s="5">
        <v>8</v>
      </c>
      <c r="AQ14" s="5">
        <v>7</v>
      </c>
      <c r="AR14" s="5">
        <v>5</v>
      </c>
      <c r="AS14" s="5">
        <v>8</v>
      </c>
    </row>
  </sheetData>
  <mergeCells count="1">
    <mergeCell ref="A1:AS1"/>
  </mergeCells>
  <phoneticPr fontId="55" type="noConversion"/>
  <hyperlinks>
    <hyperlink ref="Z2" location="'AVI_Car_Sensor'!A1" display="Car Sensor" xr:uid="{00000000-0004-0000-0000-000002000000}"/>
    <hyperlink ref="AA2" location="AVI_GPS_Sensor!A1" display="GPS Sensor" xr:uid="{00000000-0004-0000-0000-000003000000}"/>
    <hyperlink ref="AG2" location="AVI_Road_Profile!A1" display="Road Profile Estimation" xr:uid="{00000000-0004-0000-0000-000005000000}"/>
    <hyperlink ref="AB2" location="'AVI_Failsafe'!A1" display="Failsafe" xr:uid="{C355A373-D119-4DCD-A9FE-AD42EE6485FC}"/>
    <hyperlink ref="AC2" location="'AVI_Traffic_Signs'!A1" display="Traffic Signs" xr:uid="{4D3A10A1-EA8F-419C-A5D6-8D12BFAC728F}"/>
    <hyperlink ref="AF2" location="'AVI_Construction_Area'!A1" display="Construction Area" xr:uid="{BAE87172-33BB-447D-AF77-DB9134758D10}"/>
    <hyperlink ref="AE2" location="'AVI_Road_Markings'!A1" display="Road Markings" xr:uid="{17A13B00-D99B-44C2-9505-2F778E696C5A}"/>
    <hyperlink ref="AN2" location="'AVI_Lanes_Host'!A1" display="Lanes_Host" xr:uid="{0FB6198F-5F55-45E7-A83F-314DBAECD39E}"/>
    <hyperlink ref="AQ2" location="'AVI_Lanes_Road_edge'!A1" display="Lanes_Road_edge" xr:uid="{0EDF2C3C-C41B-4D1C-B888-E637E5A6F53B}"/>
    <hyperlink ref="AS2" location="'AVI_Common'!A1" display="Common" xr:uid="{E8A597F9-C17B-4F99-AEA7-15D49D15D5ED}"/>
    <hyperlink ref="W2" location="'AVI_FCF_VD'!A1" display="FCF_VD" xr:uid="{AF1F89DC-701B-407C-B66A-E032E90525E4}"/>
    <hyperlink ref="X2" location="'AVI_FCF_VRU'!A1" display="FCF_VRU" xr:uid="{F7C917C1-D342-4AD3-A8E5-D8DB560F764C}"/>
    <hyperlink ref="AJ2" location="'AVI_HLB'!A1" display="HLB" xr:uid="{5F473492-4727-4188-B15B-9AA0B38E5DE1}"/>
    <hyperlink ref="AO2" location="AVI_Lanes_Adjacent!A1" display="Lanes_Adjacent" xr:uid="{70382598-DB77-4419-A407-F0DF1AEE1C36}"/>
    <hyperlink ref="AP2" location="AVI_Lanes_Applications!A1" display="Lanes_Applications" xr:uid="{254A6DF7-F420-4D37-B942-163EF0FC3DB1}"/>
    <hyperlink ref="AL2" location="AVI_Calibration_Dynamic!A1" display="Calibration_Dynamic" xr:uid="{98ADA5E4-753F-4083-AFB1-19385A46047F}"/>
    <hyperlink ref="AM2" location="AVI_Calibration_Static!A1" display="Calibration_Static" xr:uid="{4ECBA337-4127-4F92-964F-1AAAE87FE6DC}"/>
    <hyperlink ref="AH2" location="AVI_Light_Scene_Vehicles!A1" display="Light_Scene_Vehicles" xr:uid="{EDA26E29-FCDC-44ED-97F9-24F6EFD8D46D}"/>
    <hyperlink ref="AI2" location="AVI_Light_Scene_Reflectors!A1" display="Light_Scene_Reflectors" xr:uid="{AB250224-5226-488C-AEC0-8490C9BD6C1D}"/>
    <hyperlink ref="Y2" location="AVI_FCF_CV!A1" display="FCF_CV" xr:uid="{24DDBF77-08F5-47D4-A80D-1449C3A99BE8}"/>
    <hyperlink ref="AD2" location="AVI_Traffic_Lights!A1" display="Traffic_Lights" xr:uid="{53289D68-A5BA-46ED-8A83-6C4013CE6526}"/>
    <hyperlink ref="D2" location="AVI_Camera_Config!A1" display="Camera_Config" xr:uid="{B003A31D-8B59-457B-990F-4ABC9807F8A6}"/>
    <hyperlink ref="AK2" location="'AVI_Calibration'!A1" display="Calibration" xr:uid="{5124524F-503A-4E07-BA27-FFE11944AA70}"/>
    <hyperlink ref="AR2" location="'AVI_Freespace'!A1" display="FreeSpace" xr:uid="{4FE60A01-6B56-4648-88C6-87732DEFB485}"/>
    <hyperlink ref="V2" location="'AVI_Objects'!A1" display="Objects" xr:uid="{00000000-0004-0000-0000-000000000000}"/>
    <hyperlink ref="E2" location="AVI_Common_Function_Config!A1" display="Common_Function_Config" xr:uid="{78DAC848-3C93-4FB4-A9A9-0D65B426A137}"/>
    <hyperlink ref="F2" location="AVI_FCF_CV_Config!A1" display="FCF_CV_Config" xr:uid="{C5FAC9DA-1087-4A30-B0E6-D116860B08D6}"/>
    <hyperlink ref="G2" location="AVI_FCF_VD_Config!A1" display="FCF_VD_Config" xr:uid="{9172E605-C99C-4C3E-879F-583BB5A85075}"/>
    <hyperlink ref="H2" location="AVI_FCF_VRU_Config!A1" display="FCF_VRU_Config" xr:uid="{A23B54F8-5C0B-48E8-BF71-9306BDFE35B2}"/>
    <hyperlink ref="J2" location="AVI_Construction_Area_Debug!A1" display="Construction_Area_Debug" xr:uid="{0A56A347-D708-4997-8773-017218AAE5A7}"/>
    <hyperlink ref="K2" location="'AVI_Freespace_Debug'!A1" display="Freespace_Debug" xr:uid="{7BD7B648-2CB7-4134-A21C-A7DC5ED2FE62}"/>
    <hyperlink ref="L2" location="AVI_Lanes_Adjacent_Debug!A1" display="Lanes_Adjacent_Debug" xr:uid="{A0639A34-89A5-4C5F-946D-ABADBCB04E98}"/>
    <hyperlink ref="M2" location="AVI_LAP_Debug!A1" display="LAP_Debug" xr:uid="{2214397F-0746-451D-98D7-43D195EA98D8}"/>
    <hyperlink ref="N2" location="AVI_Lanes_Host_Debug!A1" display="Lanes_Host_Debug" xr:uid="{C614A9EA-D72A-4D9D-95BD-BF86EB42E808}"/>
    <hyperlink ref="O2" location="AVI_Lanes_Road_Edge_Debug!A1" display="Lanes_Road_Edge_Debug" xr:uid="{43666136-4249-431D-ABAC-47E1563DD029}"/>
    <hyperlink ref="P2" location="AVI_LSR_Debug!A1" display="LSR_Debug" xr:uid="{1682FC48-E4B4-4AEF-A89A-603889E9A47B}"/>
    <hyperlink ref="Q2" location="AVI_LSV_Debug!A1" display="LSV_Debug" xr:uid="{8D4DFF7F-AAD8-45B7-8519-E6189A81CD6B}"/>
    <hyperlink ref="R2" location="AVI_Objects_Debug!A1" display="Objects_Debug" xr:uid="{2D00A690-C272-4644-BC40-8AF1E8143336}"/>
    <hyperlink ref="S2" location="AVI_Road_Markings_Debug!A1" display="Road_Markings_Debug" xr:uid="{0180289D-2E40-4ED8-A8B2-6F2C3A71893B}"/>
    <hyperlink ref="T2" location="AVI_Traffic_Lights_Debug!A1" display="Traffic_Lights_Debug" xr:uid="{6EC40059-E807-4196-A55C-B3110BDEA101}"/>
    <hyperlink ref="U2" location="AVI_Traffic_Signs_Debug!A1" display="Traffic_Signs_Debug" xr:uid="{882C7B87-5891-45B5-9847-EE9BAB182AC0}"/>
    <hyperlink ref="I2" location="AVI_HLB_Config!A1" display="HLB_Config" xr:uid="{47CE6297-559B-4FF1-91C5-6E4BAD33444F}"/>
  </hyperlinks>
  <pageMargins left="0.7" right="0.7" top="0.75" bottom="0.75" header="0.3" footer="0.3"/>
  <pageSetup paperSize="9" orientation="portrait" r:id="rId1"/>
  <headerFooter>
    <oddFooter>&amp;C_x000D_&amp;1#&amp;"Calibri"&amp;11&amp;KFF0000 Internal</oddFooter>
  </headerFooter>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CDE7A-BDBC-4F0F-BE8C-75A2F7ECF2C0}">
  <sheetPr codeName="Sheet2"/>
  <dimension ref="A1:G33"/>
  <sheetViews>
    <sheetView workbookViewId="0">
      <pane ySplit="1" topLeftCell="A2" activePane="bottomLeft" state="frozen"/>
      <selection sqref="A1:AS1"/>
      <selection pane="bottomLeft" activeCell="A6" sqref="A6"/>
    </sheetView>
  </sheetViews>
  <sheetFormatPr defaultColWidth="9.15625" defaultRowHeight="15" customHeight="1"/>
  <cols>
    <col min="1" max="1" width="27.41796875" bestFit="1" customWidth="1"/>
    <col min="2" max="2" width="8" style="5" bestFit="1" customWidth="1"/>
    <col min="3" max="3" width="10.83984375" style="5" customWidth="1"/>
    <col min="4" max="4" width="11.26171875" style="5" bestFit="1" customWidth="1"/>
    <col min="5" max="5" width="7.578125" customWidth="1"/>
    <col min="6" max="6" width="15.26171875" customWidth="1"/>
    <col min="7" max="7" width="16.41796875" bestFit="1" customWidth="1"/>
    <col min="8" max="8" width="34.26171875" bestFit="1" customWidth="1"/>
    <col min="9" max="9" width="22.15625" bestFit="1" customWidth="1"/>
    <col min="13" max="13" width="16.15625" customWidth="1"/>
    <col min="14" max="14" width="15.15625" customWidth="1"/>
    <col min="15" max="15" width="17.41796875" customWidth="1"/>
    <col min="16" max="16" width="15.15625" customWidth="1"/>
    <col min="17" max="17" width="13.26171875" customWidth="1"/>
    <col min="18" max="18" width="10.83984375" customWidth="1"/>
    <col min="20" max="20" width="20.578125" customWidth="1"/>
  </cols>
  <sheetData>
    <row r="1" spans="1:7" ht="15" customHeight="1">
      <c r="A1" s="184" t="s">
        <v>65</v>
      </c>
      <c r="B1" s="185" t="s">
        <v>66</v>
      </c>
      <c r="C1" s="185" t="s">
        <v>67</v>
      </c>
      <c r="D1" s="186" t="s">
        <v>68</v>
      </c>
      <c r="E1" s="183" t="s">
        <v>69</v>
      </c>
    </row>
    <row r="2" spans="1:7" ht="14.4">
      <c r="A2" s="1115" t="s">
        <v>70</v>
      </c>
      <c r="B2" s="1116" t="str">
        <f>AVI_Car_Sensor!E1</f>
        <v>10</v>
      </c>
      <c r="C2" s="1117" t="s">
        <v>71</v>
      </c>
      <c r="D2" s="1047">
        <v>257</v>
      </c>
    </row>
    <row r="3" spans="1:7" ht="14.4">
      <c r="A3" s="1115" t="s">
        <v>72</v>
      </c>
      <c r="B3" s="1116">
        <f>AVI_Common!E1</f>
        <v>8</v>
      </c>
      <c r="C3" s="1117" t="s">
        <v>73</v>
      </c>
      <c r="D3" s="1048">
        <v>66</v>
      </c>
    </row>
    <row r="4" spans="1:7" ht="14.4">
      <c r="A4" s="1115" t="s">
        <v>74</v>
      </c>
      <c r="B4" s="1116">
        <f>AVI_Objects!E1</f>
        <v>14</v>
      </c>
      <c r="C4" s="1117" t="s">
        <v>73</v>
      </c>
      <c r="D4" s="1048">
        <v>10521</v>
      </c>
    </row>
    <row r="5" spans="1:7" ht="14.4">
      <c r="A5" s="1115" t="s">
        <v>75</v>
      </c>
      <c r="B5" s="1116">
        <f>AVI_Lanes_Host!E1</f>
        <v>6</v>
      </c>
      <c r="C5" s="1117" t="s">
        <v>73</v>
      </c>
      <c r="D5" s="1048">
        <v>246</v>
      </c>
    </row>
    <row r="6" spans="1:7" ht="14.4">
      <c r="A6" s="1115" t="s">
        <v>76</v>
      </c>
      <c r="B6" s="1116">
        <f>AVI_Lanes_Adjacent!E1</f>
        <v>6</v>
      </c>
      <c r="C6" s="1117" t="s">
        <v>73</v>
      </c>
      <c r="D6" s="1048">
        <v>884</v>
      </c>
    </row>
    <row r="7" spans="1:7" ht="14.4">
      <c r="A7" s="1115" t="s">
        <v>77</v>
      </c>
      <c r="B7" s="1116">
        <f>AVI_Lanes_Road_Edge!E1</f>
        <v>7</v>
      </c>
      <c r="C7" s="1117" t="s">
        <v>73</v>
      </c>
      <c r="D7" s="1048">
        <v>380</v>
      </c>
    </row>
    <row r="8" spans="1:7" ht="14.4">
      <c r="A8" s="1115" t="s">
        <v>78</v>
      </c>
      <c r="B8" s="1116">
        <f>AVI_Lanes_Applications!E1</f>
        <v>8</v>
      </c>
      <c r="C8" s="1117" t="s">
        <v>73</v>
      </c>
      <c r="D8" s="1048">
        <v>395</v>
      </c>
    </row>
    <row r="9" spans="1:7" ht="14.4">
      <c r="A9" s="1115" t="s">
        <v>79</v>
      </c>
      <c r="B9" s="1116">
        <f>AVI_FCF_VRU!E1</f>
        <v>11</v>
      </c>
      <c r="C9" s="1117" t="s">
        <v>73</v>
      </c>
      <c r="D9" s="1048">
        <v>236</v>
      </c>
    </row>
    <row r="10" spans="1:7" ht="14.4">
      <c r="A10" s="1115" t="s">
        <v>80</v>
      </c>
      <c r="B10" s="1116">
        <f>AVI_FCF_VD!E1</f>
        <v>12</v>
      </c>
      <c r="C10" s="1117" t="s">
        <v>73</v>
      </c>
      <c r="D10" s="1048">
        <v>411</v>
      </c>
    </row>
    <row r="11" spans="1:7" ht="14.4">
      <c r="A11" s="1115" t="s">
        <v>81</v>
      </c>
      <c r="B11" s="1116">
        <f>AVI_FCF_CV!E1</f>
        <v>8</v>
      </c>
      <c r="C11" s="1117" t="s">
        <v>73</v>
      </c>
      <c r="D11" s="1048">
        <v>364</v>
      </c>
    </row>
    <row r="12" spans="1:7" ht="14.4">
      <c r="A12" s="1115" t="s">
        <v>82</v>
      </c>
      <c r="B12" s="1116" t="str">
        <f>AVI_Calibration!E1</f>
        <v>4</v>
      </c>
      <c r="C12" s="1117" t="s">
        <v>73</v>
      </c>
      <c r="D12" s="1048">
        <v>281</v>
      </c>
    </row>
    <row r="13" spans="1:7" ht="14.4">
      <c r="A13" s="1115" t="s">
        <v>83</v>
      </c>
      <c r="B13" s="1116" t="str">
        <f>AVI_Traffic_Signs!E1</f>
        <v>12</v>
      </c>
      <c r="C13" s="1117" t="s">
        <v>73</v>
      </c>
      <c r="D13" s="1048">
        <v>1713</v>
      </c>
      <c r="G13" s="4"/>
    </row>
    <row r="14" spans="1:7" ht="14.4">
      <c r="A14" s="1115" t="s">
        <v>84</v>
      </c>
      <c r="B14" s="1116">
        <f>AVI_Traffic_Lights!E1</f>
        <v>4</v>
      </c>
      <c r="C14" s="1117" t="s">
        <v>73</v>
      </c>
      <c r="D14" s="1048">
        <v>2120</v>
      </c>
      <c r="G14" s="4"/>
    </row>
    <row r="15" spans="1:7" ht="14.4">
      <c r="A15" s="1115" t="s">
        <v>85</v>
      </c>
      <c r="B15" s="1116">
        <f>AVI_HLB!E1</f>
        <v>6</v>
      </c>
      <c r="C15" s="1117" t="s">
        <v>73</v>
      </c>
      <c r="D15" s="1048">
        <v>57</v>
      </c>
    </row>
    <row r="16" spans="1:7" ht="14.4">
      <c r="A16" s="1115" t="s">
        <v>86</v>
      </c>
      <c r="B16" s="1116">
        <f>AVI_Light_Scene_Vehicles!E1</f>
        <v>7</v>
      </c>
      <c r="C16" s="1117" t="s">
        <v>73</v>
      </c>
      <c r="D16" s="1048">
        <v>1183</v>
      </c>
    </row>
    <row r="17" spans="1:4" ht="14.4">
      <c r="A17" s="1115" t="s">
        <v>87</v>
      </c>
      <c r="B17" s="1116">
        <f>AVI_Light_Scene_Reflectors!E1</f>
        <v>6</v>
      </c>
      <c r="C17" s="1117" t="s">
        <v>73</v>
      </c>
      <c r="D17" s="1048">
        <v>583</v>
      </c>
    </row>
    <row r="18" spans="1:4" ht="14.4">
      <c r="A18" s="1115" t="s">
        <v>88</v>
      </c>
      <c r="B18" s="1116">
        <f>AVI_Failsafe!E1</f>
        <v>9</v>
      </c>
      <c r="C18" s="1117" t="s">
        <v>73</v>
      </c>
      <c r="D18" s="1048">
        <v>63</v>
      </c>
    </row>
    <row r="19" spans="1:4" ht="14.4">
      <c r="A19" s="1115" t="s">
        <v>89</v>
      </c>
      <c r="B19" s="1116">
        <f>AVI_Construction_Area!E1</f>
        <v>7</v>
      </c>
      <c r="C19" s="1117" t="s">
        <v>73</v>
      </c>
      <c r="D19" s="1048">
        <v>713</v>
      </c>
    </row>
    <row r="20" spans="1:4" ht="14.4">
      <c r="A20" s="1115" t="s">
        <v>90</v>
      </c>
      <c r="B20" s="1116">
        <f>AVI_Freespace!E1</f>
        <v>5</v>
      </c>
      <c r="C20" s="1117" t="s">
        <v>73</v>
      </c>
      <c r="D20" s="1048">
        <v>34589</v>
      </c>
    </row>
    <row r="21" spans="1:4" ht="14.4">
      <c r="A21" s="1115" t="s">
        <v>91</v>
      </c>
      <c r="B21" s="1116">
        <f>AVI_Construction_Area_Debug!E1</f>
        <v>4</v>
      </c>
      <c r="C21" s="1117" t="s">
        <v>73</v>
      </c>
      <c r="D21" s="1048">
        <v>137</v>
      </c>
    </row>
    <row r="22" spans="1:4" ht="14.4">
      <c r="A22" s="1115" t="s">
        <v>92</v>
      </c>
      <c r="B22" s="1116">
        <f>AVI_Freespace_Debug!E1</f>
        <v>4</v>
      </c>
      <c r="C22" s="1117" t="s">
        <v>73</v>
      </c>
      <c r="D22" s="1048">
        <v>3229</v>
      </c>
    </row>
    <row r="23" spans="1:4" ht="14.4">
      <c r="A23" s="1115" t="s">
        <v>93</v>
      </c>
      <c r="B23" s="1116">
        <f>AVI_Lanes_Host_Debug!E1</f>
        <v>4</v>
      </c>
      <c r="C23" s="1117" t="s">
        <v>73</v>
      </c>
      <c r="D23" s="1048">
        <v>47</v>
      </c>
    </row>
    <row r="24" spans="1:4" ht="14.4">
      <c r="A24" s="1115" t="s">
        <v>94</v>
      </c>
      <c r="B24" s="1116">
        <f>AVI_Lanes_Adjacent_Debug!E1</f>
        <v>4</v>
      </c>
      <c r="C24" s="1117" t="s">
        <v>73</v>
      </c>
      <c r="D24" s="1048">
        <v>65</v>
      </c>
    </row>
    <row r="25" spans="1:4" ht="14.4">
      <c r="A25" s="1115" t="s">
        <v>95</v>
      </c>
      <c r="B25" s="1116">
        <f>AVI_Lanes_Road_Edge_Debug!E1</f>
        <v>4</v>
      </c>
      <c r="C25" s="1117" t="s">
        <v>73</v>
      </c>
      <c r="D25" s="1048">
        <v>47</v>
      </c>
    </row>
    <row r="26" spans="1:4" ht="14.4">
      <c r="A26" s="1115" t="s">
        <v>96</v>
      </c>
      <c r="B26" s="1116">
        <f>AVI_LAP_Debug!E1</f>
        <v>4</v>
      </c>
      <c r="C26" s="1117" t="s">
        <v>73</v>
      </c>
      <c r="D26" s="1048">
        <v>98</v>
      </c>
    </row>
    <row r="27" spans="1:4" ht="14.4">
      <c r="A27" s="1115" t="s">
        <v>97</v>
      </c>
      <c r="B27" s="1116">
        <f>AVI_LSR_Debug!E1</f>
        <v>4</v>
      </c>
      <c r="C27" s="1117" t="s">
        <v>73</v>
      </c>
      <c r="D27" s="1048">
        <v>164</v>
      </c>
    </row>
    <row r="28" spans="1:4" ht="14.4">
      <c r="A28" s="1115" t="s">
        <v>98</v>
      </c>
      <c r="B28" s="1116">
        <f>AVI_LSV_Debug!E1</f>
        <v>4</v>
      </c>
      <c r="C28" s="1117" t="s">
        <v>73</v>
      </c>
      <c r="D28" s="1048">
        <v>164</v>
      </c>
    </row>
    <row r="29" spans="1:4" ht="14.4">
      <c r="A29" s="1115" t="s">
        <v>99</v>
      </c>
      <c r="B29" s="1116">
        <f>AVI_Objects_Debug!E1</f>
        <v>5</v>
      </c>
      <c r="C29" s="1117" t="s">
        <v>73</v>
      </c>
      <c r="D29" s="1048">
        <v>1349</v>
      </c>
    </row>
    <row r="30" spans="1:4" ht="14.4">
      <c r="A30" s="1115" t="s">
        <v>100</v>
      </c>
      <c r="B30" s="1116" t="str">
        <f>AVI_Traffic_Signs_Debug!E1</f>
        <v>4</v>
      </c>
      <c r="C30" s="1117" t="s">
        <v>73</v>
      </c>
      <c r="D30" s="1048">
        <v>209</v>
      </c>
    </row>
    <row r="31" spans="1:4" ht="14.4">
      <c r="A31" s="1115" t="s">
        <v>101</v>
      </c>
      <c r="B31" s="1116">
        <f>AVI_Traffic_Lights_Debug!E1</f>
        <v>3</v>
      </c>
      <c r="C31" s="1117" t="s">
        <v>73</v>
      </c>
      <c r="D31" s="1048">
        <v>209</v>
      </c>
    </row>
    <row r="32" spans="1:4" ht="15" customHeight="1">
      <c r="A32" s="1115"/>
      <c r="B32" s="1116"/>
      <c r="C32" s="1117"/>
      <c r="D32" s="1048" t="s">
        <v>102</v>
      </c>
    </row>
    <row r="33" spans="1:4" ht="15" customHeight="1">
      <c r="A33" s="716" t="s">
        <v>103</v>
      </c>
      <c r="B33" s="1069" t="s">
        <v>64</v>
      </c>
      <c r="C33" s="747"/>
      <c r="D33" s="1049">
        <f>SUM(D2:D31)</f>
        <v>60780</v>
      </c>
    </row>
  </sheetData>
  <hyperlinks>
    <hyperlink ref="E1" location="'Revision Map'!A1" display="INDEX" xr:uid="{61EC492E-EA5E-4CFF-9D3E-A6055E6B89C4}"/>
  </hyperlinks>
  <pageMargins left="0.7" right="0.7" top="0.75" bottom="0.75" header="0.3" footer="0.3"/>
  <headerFooter>
    <oddFooter>&amp;C_x000D_&amp;1#&amp;"Calibri"&amp;11&amp;KFF0000 Internal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S399"/>
  <sheetViews>
    <sheetView workbookViewId="0">
      <pane ySplit="4" topLeftCell="A5" activePane="bottomLeft" state="frozen"/>
      <selection sqref="A1:AS1"/>
      <selection pane="bottomLeft"/>
    </sheetView>
  </sheetViews>
  <sheetFormatPr defaultColWidth="9.15625" defaultRowHeight="14.4"/>
  <cols>
    <col min="1" max="1" width="33.41796875" bestFit="1" customWidth="1"/>
    <col min="2" max="2" width="20.26171875" bestFit="1" customWidth="1"/>
    <col min="3" max="3" width="27.68359375" customWidth="1"/>
    <col min="4" max="4" width="14" style="3" customWidth="1"/>
    <col min="6" max="6" width="18.15625" customWidth="1"/>
    <col min="7" max="7" width="16" customWidth="1"/>
    <col min="8" max="8" width="19" bestFit="1" customWidth="1"/>
    <col min="9" max="9" width="16.26171875" customWidth="1"/>
    <col min="11" max="11" width="12" style="3" customWidth="1"/>
    <col min="12" max="12" width="27.83984375" customWidth="1"/>
    <col min="13" max="13" width="10.26171875" bestFit="1" customWidth="1"/>
    <col min="14" max="14" width="21" customWidth="1"/>
    <col min="15" max="15" width="13.83984375" customWidth="1"/>
    <col min="16" max="16" width="9.83984375" customWidth="1"/>
    <col min="17" max="17" width="30.15625" customWidth="1"/>
    <col min="18" max="18" width="27.68359375" customWidth="1"/>
    <col min="19" max="19" width="20.68359375" customWidth="1"/>
    <col min="20" max="20" width="14.26171875" customWidth="1"/>
    <col min="21" max="21" width="25.578125" customWidth="1"/>
    <col min="23" max="23" width="12" customWidth="1"/>
  </cols>
  <sheetData>
    <row r="1" spans="1:19" ht="14.5" customHeight="1">
      <c r="A1" s="179" t="s">
        <v>104</v>
      </c>
      <c r="B1" s="1072" t="s">
        <v>105</v>
      </c>
      <c r="C1" s="178"/>
      <c r="D1" s="1071" t="s">
        <v>106</v>
      </c>
      <c r="E1" s="1071" t="str" cm="1">
        <f t="array" ref="E1">INDEX(Table21[[#All],[Revision]],COUNTA(Table21[[#All],[Revision]]))</f>
        <v>6</v>
      </c>
      <c r="F1" s="1071"/>
      <c r="G1" s="1099" t="s">
        <v>83</v>
      </c>
      <c r="H1" s="1099" t="s">
        <v>107</v>
      </c>
      <c r="I1" s="1071"/>
      <c r="J1" s="1071"/>
      <c r="K1"/>
    </row>
    <row r="2" spans="1:19">
      <c r="J2" s="3"/>
      <c r="K2"/>
    </row>
    <row r="3" spans="1:19">
      <c r="A3" t="s">
        <v>108</v>
      </c>
      <c r="F3" t="s">
        <v>109</v>
      </c>
      <c r="J3" s="3"/>
      <c r="K3"/>
      <c r="L3" t="s">
        <v>110</v>
      </c>
      <c r="Q3" t="s">
        <v>111</v>
      </c>
    </row>
    <row r="4" spans="1:19">
      <c r="A4" s="730" t="s">
        <v>112</v>
      </c>
      <c r="B4" s="732" t="s">
        <v>113</v>
      </c>
      <c r="C4" s="733" t="s">
        <v>114</v>
      </c>
      <c r="D4"/>
      <c r="F4" s="730" t="s">
        <v>112</v>
      </c>
      <c r="G4" s="732" t="s">
        <v>113</v>
      </c>
      <c r="H4" s="733" t="s">
        <v>114</v>
      </c>
      <c r="I4" s="145"/>
      <c r="K4"/>
      <c r="L4" s="731" t="s">
        <v>112</v>
      </c>
      <c r="M4" s="732" t="s">
        <v>113</v>
      </c>
      <c r="N4" s="734" t="s">
        <v>114</v>
      </c>
      <c r="Q4" s="1118" t="s">
        <v>112</v>
      </c>
      <c r="R4" s="1119" t="s">
        <v>113</v>
      </c>
      <c r="S4" s="1120" t="s">
        <v>114</v>
      </c>
    </row>
    <row r="5" spans="1:19">
      <c r="A5" s="1121" t="s">
        <v>115</v>
      </c>
      <c r="B5" s="1122">
        <v>0</v>
      </c>
      <c r="C5" s="1123"/>
      <c r="D5"/>
      <c r="F5" s="1124" t="s">
        <v>116</v>
      </c>
      <c r="G5" s="1125">
        <v>0</v>
      </c>
      <c r="H5" s="1123"/>
      <c r="I5" s="3"/>
      <c r="K5"/>
      <c r="L5" s="1126" t="s">
        <v>117</v>
      </c>
      <c r="M5" s="1127">
        <v>1</v>
      </c>
      <c r="N5" s="15"/>
      <c r="Q5" s="1128" t="s">
        <v>118</v>
      </c>
      <c r="R5" s="1122">
        <v>1</v>
      </c>
      <c r="S5" s="15"/>
    </row>
    <row r="6" spans="1:19">
      <c r="A6" s="1121" t="s">
        <v>119</v>
      </c>
      <c r="B6" s="1122">
        <v>1</v>
      </c>
      <c r="C6" s="1123"/>
      <c r="D6"/>
      <c r="F6" s="1124" t="s">
        <v>120</v>
      </c>
      <c r="G6" s="1125">
        <v>1</v>
      </c>
      <c r="H6" s="1123"/>
      <c r="I6" s="3"/>
      <c r="K6"/>
      <c r="L6" s="1126" t="s">
        <v>121</v>
      </c>
      <c r="M6" s="1127">
        <v>2</v>
      </c>
      <c r="N6" s="15"/>
      <c r="Q6" s="1128" t="s">
        <v>122</v>
      </c>
      <c r="R6" s="1122">
        <v>2</v>
      </c>
      <c r="S6" s="15"/>
    </row>
    <row r="7" spans="1:19">
      <c r="A7" s="1121" t="s">
        <v>123</v>
      </c>
      <c r="B7" s="1122">
        <v>2</v>
      </c>
      <c r="C7" s="1123"/>
      <c r="D7"/>
      <c r="F7" s="1124" t="s">
        <v>124</v>
      </c>
      <c r="G7" s="1125">
        <v>2</v>
      </c>
      <c r="H7" s="1123"/>
      <c r="I7" s="3"/>
      <c r="K7"/>
      <c r="L7" s="1126" t="s">
        <v>125</v>
      </c>
      <c r="M7" s="1127">
        <v>3</v>
      </c>
      <c r="N7" s="15"/>
      <c r="Q7" s="1128" t="s">
        <v>126</v>
      </c>
      <c r="R7" s="1122">
        <v>3</v>
      </c>
      <c r="S7" s="15"/>
    </row>
    <row r="8" spans="1:19" ht="14.5" customHeight="1">
      <c r="A8" s="1121" t="s">
        <v>127</v>
      </c>
      <c r="B8" s="1122">
        <v>3</v>
      </c>
      <c r="C8" s="1123"/>
      <c r="D8"/>
      <c r="F8" s="1124" t="s">
        <v>128</v>
      </c>
      <c r="G8" s="1125">
        <v>3</v>
      </c>
      <c r="H8" s="1123"/>
      <c r="I8" s="3"/>
      <c r="K8"/>
      <c r="L8" s="1126" t="s">
        <v>129</v>
      </c>
      <c r="M8" s="1127">
        <v>4</v>
      </c>
      <c r="N8" s="15"/>
      <c r="Q8" s="1128" t="s">
        <v>130</v>
      </c>
      <c r="R8" s="1122">
        <v>4</v>
      </c>
      <c r="S8" s="15"/>
    </row>
    <row r="9" spans="1:19" ht="14.5" customHeight="1">
      <c r="A9" s="1121" t="s">
        <v>131</v>
      </c>
      <c r="B9" s="1122">
        <v>4</v>
      </c>
      <c r="C9" s="1123"/>
      <c r="D9"/>
      <c r="F9" s="1124" t="s">
        <v>132</v>
      </c>
      <c r="G9" s="1125">
        <v>4</v>
      </c>
      <c r="H9" s="1123"/>
      <c r="I9" s="3"/>
      <c r="K9"/>
      <c r="L9" s="1126" t="s">
        <v>133</v>
      </c>
      <c r="M9" s="1127">
        <v>5</v>
      </c>
      <c r="N9" s="15"/>
      <c r="Q9" s="1128" t="s">
        <v>134</v>
      </c>
      <c r="R9" s="1122">
        <v>5</v>
      </c>
      <c r="S9" s="15"/>
    </row>
    <row r="10" spans="1:19">
      <c r="A10" s="1121" t="s">
        <v>135</v>
      </c>
      <c r="B10" s="1122">
        <v>5</v>
      </c>
      <c r="C10" s="1123"/>
      <c r="D10"/>
      <c r="F10" s="1124" t="s">
        <v>136</v>
      </c>
      <c r="G10" s="1125">
        <v>5</v>
      </c>
      <c r="H10" s="1123"/>
      <c r="I10" s="3"/>
      <c r="K10"/>
      <c r="L10" s="1126" t="s">
        <v>137</v>
      </c>
      <c r="M10" s="1127">
        <v>6</v>
      </c>
      <c r="N10" s="15"/>
      <c r="Q10" s="1128" t="s">
        <v>138</v>
      </c>
      <c r="R10" s="1122">
        <v>6</v>
      </c>
      <c r="S10" s="15"/>
    </row>
    <row r="11" spans="1:19" ht="14.5" customHeight="1">
      <c r="A11" s="1121" t="s">
        <v>139</v>
      </c>
      <c r="B11" s="1122">
        <v>6</v>
      </c>
      <c r="C11" s="1123"/>
      <c r="D11"/>
      <c r="F11" s="1124" t="s">
        <v>140</v>
      </c>
      <c r="G11" s="1125">
        <v>6</v>
      </c>
      <c r="H11" s="1123"/>
      <c r="I11" s="3"/>
      <c r="K11"/>
      <c r="L11" s="1126" t="s">
        <v>141</v>
      </c>
      <c r="M11" s="1127">
        <v>7</v>
      </c>
      <c r="N11" s="15"/>
      <c r="Q11" s="1128" t="s">
        <v>142</v>
      </c>
      <c r="R11" s="1122">
        <v>7</v>
      </c>
      <c r="S11" s="15"/>
    </row>
    <row r="12" spans="1:19" ht="14.5" customHeight="1">
      <c r="A12" s="1121" t="s">
        <v>143</v>
      </c>
      <c r="B12" s="1122">
        <v>7</v>
      </c>
      <c r="C12" s="1123"/>
      <c r="D12"/>
      <c r="F12" s="1124" t="s">
        <v>144</v>
      </c>
      <c r="G12" s="1125">
        <v>7</v>
      </c>
      <c r="H12" s="1123"/>
      <c r="I12" s="3"/>
      <c r="K12"/>
      <c r="L12" s="1126" t="s">
        <v>145</v>
      </c>
      <c r="M12" s="1129">
        <v>9</v>
      </c>
      <c r="N12" s="15"/>
      <c r="Q12" s="1128" t="s">
        <v>146</v>
      </c>
      <c r="R12" s="1122">
        <v>10</v>
      </c>
      <c r="S12" s="15"/>
    </row>
    <row r="13" spans="1:19" ht="14.5" customHeight="1">
      <c r="A13" s="1121" t="s">
        <v>147</v>
      </c>
      <c r="B13" s="1122">
        <v>8</v>
      </c>
      <c r="C13" s="1123"/>
      <c r="F13" s="1124" t="s">
        <v>148</v>
      </c>
      <c r="G13" s="1125">
        <v>8</v>
      </c>
      <c r="H13" s="1123"/>
      <c r="I13" s="3"/>
      <c r="K13"/>
      <c r="L13" s="1126" t="s">
        <v>149</v>
      </c>
      <c r="M13" s="1129">
        <v>10</v>
      </c>
      <c r="N13" s="15"/>
      <c r="Q13" s="1128" t="s">
        <v>150</v>
      </c>
      <c r="R13" s="1122">
        <v>11</v>
      </c>
      <c r="S13" s="15"/>
    </row>
    <row r="14" spans="1:19" ht="14.5" customHeight="1">
      <c r="A14" s="1121" t="s">
        <v>151</v>
      </c>
      <c r="B14" s="1122">
        <v>9</v>
      </c>
      <c r="C14" s="1123"/>
      <c r="F14" s="1124" t="s">
        <v>152</v>
      </c>
      <c r="G14" s="1125">
        <v>9</v>
      </c>
      <c r="H14" s="1123"/>
      <c r="I14" s="3"/>
      <c r="K14"/>
      <c r="L14" s="1126" t="s">
        <v>153</v>
      </c>
      <c r="M14" s="1130">
        <v>11</v>
      </c>
      <c r="N14" s="15"/>
      <c r="Q14" s="1128" t="s">
        <v>154</v>
      </c>
      <c r="R14" s="1122">
        <v>12</v>
      </c>
      <c r="S14" s="15"/>
    </row>
    <row r="15" spans="1:19" ht="14.5" customHeight="1">
      <c r="A15" s="1121" t="s">
        <v>155</v>
      </c>
      <c r="B15" s="1122">
        <v>10</v>
      </c>
      <c r="C15" s="1123"/>
      <c r="F15" s="1124" t="s">
        <v>156</v>
      </c>
      <c r="G15" s="1125">
        <v>10</v>
      </c>
      <c r="H15" s="1123"/>
      <c r="I15" s="3"/>
      <c r="K15"/>
      <c r="L15" s="1126" t="s">
        <v>157</v>
      </c>
      <c r="M15" s="1129">
        <v>12</v>
      </c>
      <c r="N15" s="15"/>
      <c r="Q15" s="1128" t="s">
        <v>158</v>
      </c>
      <c r="R15" s="1122">
        <v>20</v>
      </c>
      <c r="S15" s="192"/>
    </row>
    <row r="16" spans="1:19" ht="14.5" customHeight="1">
      <c r="A16" s="1121" t="s">
        <v>159</v>
      </c>
      <c r="B16" s="1122">
        <v>11</v>
      </c>
      <c r="C16" s="1123"/>
      <c r="F16" s="1124" t="s">
        <v>160</v>
      </c>
      <c r="G16" s="1125">
        <v>11</v>
      </c>
      <c r="H16" s="1123"/>
      <c r="I16" s="3"/>
      <c r="K16"/>
      <c r="L16" s="1126" t="s">
        <v>161</v>
      </c>
      <c r="M16" s="1129">
        <v>13</v>
      </c>
      <c r="N16" s="15"/>
      <c r="Q16" s="15" t="s">
        <v>162</v>
      </c>
      <c r="R16" s="193">
        <v>255</v>
      </c>
      <c r="S16" s="15" t="s">
        <v>163</v>
      </c>
    </row>
    <row r="17" spans="1:14" ht="14.5" customHeight="1">
      <c r="A17" s="1121" t="s">
        <v>164</v>
      </c>
      <c r="B17" s="1122">
        <v>12</v>
      </c>
      <c r="C17" s="1123"/>
      <c r="F17" s="1124" t="s">
        <v>165</v>
      </c>
      <c r="G17" s="1125">
        <v>12</v>
      </c>
      <c r="H17" s="1123"/>
      <c r="I17" s="3"/>
      <c r="K17"/>
      <c r="L17" s="1126" t="s">
        <v>166</v>
      </c>
      <c r="M17" s="1129">
        <v>14</v>
      </c>
      <c r="N17" s="15"/>
    </row>
    <row r="18" spans="1:14" ht="14.5" customHeight="1">
      <c r="A18" s="1121" t="s">
        <v>167</v>
      </c>
      <c r="B18" s="1122">
        <v>13</v>
      </c>
      <c r="C18" s="1123"/>
      <c r="F18" s="1124" t="s">
        <v>168</v>
      </c>
      <c r="G18" s="1125">
        <v>13</v>
      </c>
      <c r="H18" s="1123"/>
      <c r="I18" s="3"/>
      <c r="K18"/>
      <c r="L18" s="1126" t="s">
        <v>169</v>
      </c>
      <c r="M18" s="1129">
        <v>15</v>
      </c>
      <c r="N18" s="15"/>
    </row>
    <row r="19" spans="1:14" ht="14.5" customHeight="1">
      <c r="A19" s="1121" t="s">
        <v>170</v>
      </c>
      <c r="B19" s="1122">
        <v>20</v>
      </c>
      <c r="C19" s="1123"/>
      <c r="F19" s="1124" t="s">
        <v>171</v>
      </c>
      <c r="G19" s="1125">
        <v>14</v>
      </c>
      <c r="H19" s="1123"/>
      <c r="I19" s="3"/>
      <c r="K19"/>
      <c r="L19" s="1126" t="s">
        <v>172</v>
      </c>
      <c r="M19" s="1129">
        <v>16</v>
      </c>
      <c r="N19" s="15"/>
    </row>
    <row r="20" spans="1:14" ht="14.5" customHeight="1">
      <c r="A20" s="1121" t="s">
        <v>173</v>
      </c>
      <c r="B20" s="1122">
        <v>22</v>
      </c>
      <c r="C20" s="1123"/>
      <c r="F20" s="1124" t="s">
        <v>174</v>
      </c>
      <c r="G20" s="1125">
        <v>15</v>
      </c>
      <c r="H20" s="1123"/>
      <c r="I20" s="3"/>
      <c r="K20"/>
      <c r="L20" s="1126" t="s">
        <v>175</v>
      </c>
      <c r="M20" s="1129">
        <v>17</v>
      </c>
      <c r="N20" s="15"/>
    </row>
    <row r="21" spans="1:14" ht="14.5" customHeight="1">
      <c r="A21" s="1121" t="s">
        <v>176</v>
      </c>
      <c r="B21" s="1122">
        <v>23</v>
      </c>
      <c r="C21" s="1123"/>
      <c r="F21" s="1124" t="s">
        <v>177</v>
      </c>
      <c r="G21" s="1125">
        <v>16</v>
      </c>
      <c r="H21" s="1123"/>
      <c r="I21" s="3"/>
      <c r="K21"/>
      <c r="L21" s="1126" t="s">
        <v>178</v>
      </c>
      <c r="M21" s="1129">
        <v>18</v>
      </c>
      <c r="N21" s="15"/>
    </row>
    <row r="22" spans="1:14" ht="14.5" customHeight="1">
      <c r="A22" s="1121" t="s">
        <v>179</v>
      </c>
      <c r="B22" s="1122">
        <v>24</v>
      </c>
      <c r="C22" s="1123"/>
      <c r="F22" s="1124" t="s">
        <v>180</v>
      </c>
      <c r="G22" s="1125">
        <v>17</v>
      </c>
      <c r="H22" s="1123"/>
      <c r="I22" s="3"/>
      <c r="K22"/>
      <c r="L22" s="1126" t="s">
        <v>181</v>
      </c>
      <c r="M22" s="1129">
        <v>19</v>
      </c>
      <c r="N22" s="15"/>
    </row>
    <row r="23" spans="1:14" ht="14.5" customHeight="1">
      <c r="A23" s="1121" t="s">
        <v>182</v>
      </c>
      <c r="B23" s="1122">
        <v>25</v>
      </c>
      <c r="C23" s="1123"/>
      <c r="F23" s="1124" t="s">
        <v>183</v>
      </c>
      <c r="G23" s="1125">
        <v>18</v>
      </c>
      <c r="H23" s="1123"/>
      <c r="I23" s="3"/>
      <c r="K23"/>
      <c r="L23" s="1126" t="s">
        <v>184</v>
      </c>
      <c r="M23" s="1129">
        <v>20</v>
      </c>
      <c r="N23" s="15"/>
    </row>
    <row r="24" spans="1:14" ht="14.5" customHeight="1">
      <c r="A24" s="1121" t="s">
        <v>185</v>
      </c>
      <c r="B24" s="1122">
        <v>26</v>
      </c>
      <c r="C24" s="1123"/>
      <c r="F24" s="1124" t="s">
        <v>186</v>
      </c>
      <c r="G24" s="1125">
        <v>19</v>
      </c>
      <c r="H24" s="1123"/>
      <c r="I24" s="3"/>
      <c r="K24"/>
      <c r="L24" s="1126" t="s">
        <v>187</v>
      </c>
      <c r="M24" s="1129">
        <v>21</v>
      </c>
      <c r="N24" s="15"/>
    </row>
    <row r="25" spans="1:14" ht="14.5" customHeight="1">
      <c r="A25" s="1121" t="s">
        <v>188</v>
      </c>
      <c r="B25" s="1122">
        <v>27</v>
      </c>
      <c r="C25" s="1123"/>
      <c r="F25" s="1124" t="s">
        <v>189</v>
      </c>
      <c r="G25" s="1125">
        <v>20</v>
      </c>
      <c r="H25" s="1123"/>
      <c r="I25" s="3"/>
      <c r="K25"/>
      <c r="L25" s="1126" t="s">
        <v>190</v>
      </c>
      <c r="M25" s="1129">
        <v>22</v>
      </c>
      <c r="N25" s="15"/>
    </row>
    <row r="26" spans="1:14" ht="14.5" customHeight="1">
      <c r="A26" s="1121" t="s">
        <v>191</v>
      </c>
      <c r="B26" s="1122">
        <v>28</v>
      </c>
      <c r="C26" s="1123"/>
      <c r="F26" s="1124" t="s">
        <v>192</v>
      </c>
      <c r="G26" s="1125">
        <v>21</v>
      </c>
      <c r="H26" s="1123"/>
      <c r="I26" s="3"/>
      <c r="K26"/>
      <c r="L26" s="1126" t="s">
        <v>193</v>
      </c>
      <c r="M26" s="1129">
        <v>23</v>
      </c>
      <c r="N26" s="15"/>
    </row>
    <row r="27" spans="1:14" ht="14.5" customHeight="1">
      <c r="A27" s="1121" t="s">
        <v>194</v>
      </c>
      <c r="B27" s="1122">
        <v>29</v>
      </c>
      <c r="C27" s="1123"/>
      <c r="F27" s="1124" t="s">
        <v>195</v>
      </c>
      <c r="G27" s="1125">
        <v>22</v>
      </c>
      <c r="H27" s="1123"/>
      <c r="I27" s="3"/>
      <c r="K27"/>
      <c r="L27" s="1126" t="s">
        <v>196</v>
      </c>
      <c r="M27" s="1129">
        <v>24</v>
      </c>
      <c r="N27" s="15"/>
    </row>
    <row r="28" spans="1:14" ht="14.5" customHeight="1">
      <c r="A28" s="1121" t="s">
        <v>197</v>
      </c>
      <c r="B28" s="1122">
        <v>30</v>
      </c>
      <c r="C28" s="1123"/>
      <c r="F28" s="1124" t="s">
        <v>198</v>
      </c>
      <c r="G28" s="1125">
        <v>23</v>
      </c>
      <c r="H28" s="1123"/>
      <c r="I28" s="3"/>
      <c r="K28"/>
      <c r="L28" s="1126" t="s">
        <v>199</v>
      </c>
      <c r="M28" s="1129">
        <v>25</v>
      </c>
      <c r="N28" s="15"/>
    </row>
    <row r="29" spans="1:14" ht="14.5" customHeight="1">
      <c r="A29" s="1121" t="s">
        <v>200</v>
      </c>
      <c r="B29" s="1122">
        <v>31</v>
      </c>
      <c r="C29" s="1123"/>
      <c r="F29" s="1124" t="s">
        <v>201</v>
      </c>
      <c r="G29" s="1125">
        <v>24</v>
      </c>
      <c r="H29" s="1123"/>
      <c r="I29" s="3"/>
      <c r="K29"/>
      <c r="L29" s="1126" t="s">
        <v>202</v>
      </c>
      <c r="M29" s="1129">
        <v>26</v>
      </c>
      <c r="N29" s="15"/>
    </row>
    <row r="30" spans="1:14" ht="14.5" customHeight="1">
      <c r="A30" s="1121" t="s">
        <v>203</v>
      </c>
      <c r="B30" s="1122">
        <v>32</v>
      </c>
      <c r="C30" s="1123"/>
      <c r="F30" s="1124" t="s">
        <v>204</v>
      </c>
      <c r="G30" s="1125">
        <v>25</v>
      </c>
      <c r="H30" s="1123"/>
      <c r="I30" s="3"/>
      <c r="K30"/>
      <c r="L30" s="1126" t="s">
        <v>205</v>
      </c>
      <c r="M30" s="1129">
        <v>27</v>
      </c>
      <c r="N30" s="15"/>
    </row>
    <row r="31" spans="1:14" ht="14.5" customHeight="1">
      <c r="A31" s="1121" t="s">
        <v>206</v>
      </c>
      <c r="B31" s="1122">
        <v>33</v>
      </c>
      <c r="C31" s="1123"/>
      <c r="F31" s="1124" t="s">
        <v>207</v>
      </c>
      <c r="G31" s="1125">
        <v>26</v>
      </c>
      <c r="H31" s="1123"/>
      <c r="I31" s="3"/>
      <c r="K31"/>
      <c r="L31" s="1126" t="s">
        <v>208</v>
      </c>
      <c r="M31" s="1128">
        <v>28</v>
      </c>
      <c r="N31" s="15"/>
    </row>
    <row r="32" spans="1:14" ht="14.5" customHeight="1">
      <c r="A32" s="1121" t="s">
        <v>209</v>
      </c>
      <c r="B32" s="1122">
        <v>34</v>
      </c>
      <c r="C32" s="1123"/>
      <c r="F32" s="1124" t="s">
        <v>210</v>
      </c>
      <c r="G32" s="1125">
        <v>27</v>
      </c>
      <c r="H32" s="1123"/>
      <c r="I32" s="3"/>
      <c r="K32"/>
      <c r="L32" s="1126" t="s">
        <v>211</v>
      </c>
      <c r="M32" s="1128">
        <v>29</v>
      </c>
      <c r="N32" s="15"/>
    </row>
    <row r="33" spans="1:14" ht="14.5" customHeight="1">
      <c r="A33" s="1121" t="s">
        <v>212</v>
      </c>
      <c r="B33" s="1122">
        <v>35</v>
      </c>
      <c r="C33" s="1123"/>
      <c r="F33" s="1124" t="s">
        <v>213</v>
      </c>
      <c r="G33" s="1125">
        <v>28</v>
      </c>
      <c r="H33" s="1123"/>
      <c r="I33" s="3"/>
      <c r="K33"/>
      <c r="L33" s="1126" t="s">
        <v>214</v>
      </c>
      <c r="M33" s="1129">
        <v>30</v>
      </c>
      <c r="N33" s="15"/>
    </row>
    <row r="34" spans="1:14" ht="14.5" customHeight="1">
      <c r="A34" s="1121" t="s">
        <v>215</v>
      </c>
      <c r="B34" s="1122">
        <v>36</v>
      </c>
      <c r="C34" s="1123"/>
      <c r="F34" s="1124" t="s">
        <v>216</v>
      </c>
      <c r="G34" s="1125">
        <v>29</v>
      </c>
      <c r="H34" s="1123"/>
      <c r="I34" s="3"/>
      <c r="K34"/>
      <c r="L34" s="1126" t="s">
        <v>217</v>
      </c>
      <c r="M34" s="1129">
        <v>31</v>
      </c>
      <c r="N34" s="15"/>
    </row>
    <row r="35" spans="1:14" ht="14.5" customHeight="1">
      <c r="A35" s="1121" t="s">
        <v>218</v>
      </c>
      <c r="B35" s="1122">
        <v>37</v>
      </c>
      <c r="C35" s="1123"/>
      <c r="F35" s="1124" t="s">
        <v>219</v>
      </c>
      <c r="G35" s="1125">
        <v>30</v>
      </c>
      <c r="H35" s="1123"/>
      <c r="I35" s="3"/>
      <c r="K35"/>
      <c r="L35" s="1126" t="s">
        <v>220</v>
      </c>
      <c r="M35" s="1129">
        <v>32</v>
      </c>
      <c r="N35" s="15"/>
    </row>
    <row r="36" spans="1:14" ht="14.5" customHeight="1">
      <c r="A36" s="1121" t="s">
        <v>221</v>
      </c>
      <c r="B36" s="1122">
        <v>38</v>
      </c>
      <c r="C36" s="1123"/>
      <c r="F36" s="1124" t="s">
        <v>222</v>
      </c>
      <c r="G36" s="1125">
        <v>31</v>
      </c>
      <c r="H36" s="1123"/>
      <c r="I36" s="3"/>
      <c r="K36"/>
      <c r="L36" s="1126" t="s">
        <v>223</v>
      </c>
      <c r="M36" s="1129">
        <v>33</v>
      </c>
      <c r="N36" s="15"/>
    </row>
    <row r="37" spans="1:14" ht="14.5" customHeight="1">
      <c r="A37" s="1121" t="s">
        <v>224</v>
      </c>
      <c r="B37" s="1122">
        <v>39</v>
      </c>
      <c r="C37" s="1123"/>
      <c r="F37" s="1124" t="s">
        <v>225</v>
      </c>
      <c r="G37" s="1125">
        <v>32</v>
      </c>
      <c r="H37" s="1123"/>
      <c r="I37" s="3"/>
      <c r="K37"/>
      <c r="L37" s="1126" t="s">
        <v>226</v>
      </c>
      <c r="M37" s="1129">
        <v>34</v>
      </c>
      <c r="N37" s="15"/>
    </row>
    <row r="38" spans="1:14" ht="14.5" customHeight="1">
      <c r="A38" s="1121" t="s">
        <v>227</v>
      </c>
      <c r="B38" s="1122">
        <v>40</v>
      </c>
      <c r="C38" s="1123"/>
      <c r="F38" s="1124" t="s">
        <v>228</v>
      </c>
      <c r="G38" s="1125">
        <v>33</v>
      </c>
      <c r="H38" s="1123"/>
      <c r="I38" s="3"/>
      <c r="K38"/>
      <c r="L38" s="1126" t="s">
        <v>229</v>
      </c>
      <c r="M38" s="1129">
        <v>35</v>
      </c>
      <c r="N38" s="15"/>
    </row>
    <row r="39" spans="1:14" ht="14.5" customHeight="1">
      <c r="A39" s="1121" t="s">
        <v>230</v>
      </c>
      <c r="B39" s="1122">
        <v>41</v>
      </c>
      <c r="C39" s="1123"/>
      <c r="F39" s="1124" t="s">
        <v>231</v>
      </c>
      <c r="G39" s="1125">
        <v>34</v>
      </c>
      <c r="H39" s="1123"/>
      <c r="I39" s="3"/>
      <c r="K39"/>
      <c r="L39" s="1126" t="s">
        <v>232</v>
      </c>
      <c r="M39" s="1129">
        <v>36</v>
      </c>
      <c r="N39" s="15"/>
    </row>
    <row r="40" spans="1:14" ht="14.5" customHeight="1">
      <c r="A40" s="1121" t="s">
        <v>233</v>
      </c>
      <c r="B40" s="1122">
        <v>42</v>
      </c>
      <c r="C40" s="1123"/>
      <c r="F40" s="1124" t="s">
        <v>234</v>
      </c>
      <c r="G40" s="1125">
        <v>35</v>
      </c>
      <c r="H40" s="1123"/>
      <c r="I40" s="3"/>
      <c r="K40"/>
      <c r="L40" s="1126" t="s">
        <v>235</v>
      </c>
      <c r="M40" s="1129">
        <v>37</v>
      </c>
      <c r="N40" s="15"/>
    </row>
    <row r="41" spans="1:14" ht="14.5" customHeight="1">
      <c r="A41" s="1121" t="s">
        <v>236</v>
      </c>
      <c r="B41" s="1122">
        <v>45</v>
      </c>
      <c r="C41" s="1123"/>
      <c r="F41" s="1124" t="s">
        <v>237</v>
      </c>
      <c r="G41" s="1125">
        <v>36</v>
      </c>
      <c r="H41" s="1123"/>
      <c r="I41" s="3"/>
      <c r="K41"/>
      <c r="L41" s="1131" t="s">
        <v>238</v>
      </c>
      <c r="M41" s="1129">
        <v>38</v>
      </c>
      <c r="N41" s="15"/>
    </row>
    <row r="42" spans="1:14" ht="14.5" customHeight="1">
      <c r="A42" s="1121" t="s">
        <v>239</v>
      </c>
      <c r="B42" s="1122">
        <v>46</v>
      </c>
      <c r="C42" s="1123"/>
      <c r="D42"/>
      <c r="F42" s="1124" t="s">
        <v>240</v>
      </c>
      <c r="G42" s="1125">
        <v>37</v>
      </c>
      <c r="H42" s="1123"/>
      <c r="I42" s="3"/>
      <c r="K42"/>
      <c r="L42" s="1131" t="s">
        <v>241</v>
      </c>
      <c r="M42" s="1129">
        <v>39</v>
      </c>
      <c r="N42" s="15"/>
    </row>
    <row r="43" spans="1:14" ht="14.5" customHeight="1">
      <c r="A43" s="1121" t="s">
        <v>242</v>
      </c>
      <c r="B43" s="1122">
        <v>47</v>
      </c>
      <c r="C43" s="1123"/>
      <c r="D43"/>
      <c r="F43" s="1124" t="s">
        <v>243</v>
      </c>
      <c r="G43" s="1125">
        <v>38</v>
      </c>
      <c r="H43" s="1123"/>
      <c r="I43" s="3"/>
      <c r="K43"/>
      <c r="L43" s="1131" t="s">
        <v>244</v>
      </c>
      <c r="M43" s="1129">
        <v>40</v>
      </c>
      <c r="N43" s="15"/>
    </row>
    <row r="44" spans="1:14" ht="14.5" customHeight="1">
      <c r="A44" s="1121" t="s">
        <v>245</v>
      </c>
      <c r="B44" s="1122">
        <v>48</v>
      </c>
      <c r="C44" s="1123"/>
      <c r="F44" s="1124" t="s">
        <v>246</v>
      </c>
      <c r="G44" s="1125">
        <v>39</v>
      </c>
      <c r="H44" s="1123"/>
      <c r="I44" s="3"/>
      <c r="K44"/>
      <c r="L44" s="1131" t="s">
        <v>247</v>
      </c>
      <c r="M44" s="1129">
        <v>41</v>
      </c>
      <c r="N44" s="15"/>
    </row>
    <row r="45" spans="1:14" ht="14.5" customHeight="1">
      <c r="A45" s="1121" t="s">
        <v>248</v>
      </c>
      <c r="B45" s="1122">
        <v>50</v>
      </c>
      <c r="C45" s="1123"/>
      <c r="F45" s="1124" t="s">
        <v>249</v>
      </c>
      <c r="G45" s="1125">
        <v>40</v>
      </c>
      <c r="H45" s="1123" t="s">
        <v>250</v>
      </c>
      <c r="I45" s="3"/>
      <c r="K45"/>
      <c r="L45" s="1131" t="s">
        <v>251</v>
      </c>
      <c r="M45" s="1129">
        <v>42</v>
      </c>
      <c r="N45" s="15"/>
    </row>
    <row r="46" spans="1:14" ht="14.5" customHeight="1">
      <c r="A46" s="1121" t="s">
        <v>252</v>
      </c>
      <c r="B46" s="1122">
        <v>51</v>
      </c>
      <c r="C46" s="1123"/>
      <c r="F46" s="1124" t="s">
        <v>253</v>
      </c>
      <c r="G46" s="1125">
        <v>41</v>
      </c>
      <c r="H46" s="1123"/>
      <c r="I46" s="3"/>
      <c r="K46"/>
      <c r="L46" s="1131" t="s">
        <v>254</v>
      </c>
      <c r="M46" s="1129">
        <v>43</v>
      </c>
      <c r="N46" s="15"/>
    </row>
    <row r="47" spans="1:14" ht="14.5" customHeight="1">
      <c r="A47" s="1121" t="s">
        <v>255</v>
      </c>
      <c r="B47" s="1122">
        <v>52</v>
      </c>
      <c r="C47" s="1123"/>
      <c r="F47" s="1124" t="s">
        <v>256</v>
      </c>
      <c r="G47" s="1125">
        <v>42</v>
      </c>
      <c r="H47" s="1123"/>
      <c r="I47" s="3"/>
      <c r="K47"/>
      <c r="L47" s="1131" t="s">
        <v>257</v>
      </c>
      <c r="M47" s="1129">
        <v>44</v>
      </c>
      <c r="N47" s="15"/>
    </row>
    <row r="48" spans="1:14" ht="14.5" customHeight="1">
      <c r="A48" s="1121" t="s">
        <v>258</v>
      </c>
      <c r="B48" s="1122">
        <v>53</v>
      </c>
      <c r="C48" s="1123"/>
      <c r="F48" s="1124" t="s">
        <v>259</v>
      </c>
      <c r="G48" s="1125">
        <v>43</v>
      </c>
      <c r="H48" s="1123"/>
      <c r="I48" s="3"/>
      <c r="K48"/>
      <c r="L48" s="1131" t="s">
        <v>260</v>
      </c>
      <c r="M48" s="1129">
        <v>45</v>
      </c>
      <c r="N48" s="15"/>
    </row>
    <row r="49" spans="1:14" ht="14.5" customHeight="1">
      <c r="A49" s="1121" t="s">
        <v>261</v>
      </c>
      <c r="B49" s="1122">
        <v>54</v>
      </c>
      <c r="C49" s="1123"/>
      <c r="F49" s="1124" t="s">
        <v>262</v>
      </c>
      <c r="G49" s="1125">
        <v>44</v>
      </c>
      <c r="H49" s="1123"/>
      <c r="I49" s="3"/>
      <c r="K49"/>
      <c r="L49" s="1131" t="s">
        <v>263</v>
      </c>
      <c r="M49" s="1129">
        <v>46</v>
      </c>
      <c r="N49" s="15"/>
    </row>
    <row r="50" spans="1:14" ht="14.5" customHeight="1">
      <c r="A50" s="1121" t="s">
        <v>264</v>
      </c>
      <c r="B50" s="1122">
        <v>55</v>
      </c>
      <c r="C50" s="1123"/>
      <c r="F50" s="1124" t="s">
        <v>265</v>
      </c>
      <c r="G50" s="1125">
        <v>45</v>
      </c>
      <c r="H50" s="1123"/>
      <c r="I50" s="3"/>
      <c r="K50"/>
      <c r="L50" s="1131" t="s">
        <v>266</v>
      </c>
      <c r="M50" s="1129">
        <v>47</v>
      </c>
      <c r="N50" s="15"/>
    </row>
    <row r="51" spans="1:14" ht="14.5" customHeight="1">
      <c r="A51" s="1121" t="s">
        <v>267</v>
      </c>
      <c r="B51" s="1122">
        <v>56</v>
      </c>
      <c r="C51" s="1123"/>
      <c r="F51" s="1124" t="s">
        <v>268</v>
      </c>
      <c r="G51" s="1125">
        <v>46</v>
      </c>
      <c r="H51" s="1123"/>
      <c r="I51" s="3"/>
      <c r="K51"/>
      <c r="L51" s="1132" t="s">
        <v>269</v>
      </c>
      <c r="M51" s="1133">
        <v>48</v>
      </c>
      <c r="N51" s="192"/>
    </row>
    <row r="52" spans="1:14" ht="14.5" customHeight="1">
      <c r="A52" s="1121" t="s">
        <v>270</v>
      </c>
      <c r="B52" s="1122">
        <v>57</v>
      </c>
      <c r="C52" s="1123"/>
      <c r="F52" s="1124" t="s">
        <v>271</v>
      </c>
      <c r="G52" s="1125">
        <v>47</v>
      </c>
      <c r="H52" s="1123"/>
      <c r="I52" s="3"/>
      <c r="K52"/>
      <c r="L52" s="192" t="s">
        <v>162</v>
      </c>
      <c r="M52" s="192">
        <v>255</v>
      </c>
      <c r="N52" s="192" t="s">
        <v>163</v>
      </c>
    </row>
    <row r="53" spans="1:14" ht="14.5" customHeight="1">
      <c r="A53" s="1121" t="s">
        <v>272</v>
      </c>
      <c r="B53" s="1122">
        <v>58</v>
      </c>
      <c r="C53" s="1123"/>
      <c r="F53" s="1124" t="s">
        <v>273</v>
      </c>
      <c r="G53" s="1125">
        <v>48</v>
      </c>
      <c r="H53" s="1123"/>
      <c r="I53" s="3"/>
      <c r="K53"/>
    </row>
    <row r="54" spans="1:14" ht="14.5" customHeight="1">
      <c r="A54" s="1121" t="s">
        <v>274</v>
      </c>
      <c r="B54" s="1122">
        <v>59</v>
      </c>
      <c r="C54" s="1123"/>
      <c r="F54" s="1124" t="s">
        <v>275</v>
      </c>
      <c r="G54" s="1125">
        <v>49</v>
      </c>
      <c r="H54" s="1123"/>
      <c r="I54" s="3"/>
      <c r="K54"/>
    </row>
    <row r="55" spans="1:14" ht="14.5" customHeight="1">
      <c r="A55" s="1121" t="s">
        <v>276</v>
      </c>
      <c r="B55" s="1122">
        <v>60</v>
      </c>
      <c r="C55" s="1123"/>
      <c r="F55" s="1124" t="s">
        <v>277</v>
      </c>
      <c r="G55" s="1125">
        <v>50</v>
      </c>
      <c r="H55" s="1123"/>
      <c r="I55" s="3"/>
      <c r="K55"/>
    </row>
    <row r="56" spans="1:14" ht="14.5" customHeight="1">
      <c r="A56" s="1121" t="s">
        <v>278</v>
      </c>
      <c r="B56" s="1122">
        <v>61</v>
      </c>
      <c r="C56" s="1123"/>
      <c r="F56" s="1124" t="s">
        <v>279</v>
      </c>
      <c r="G56" s="1125">
        <v>53</v>
      </c>
      <c r="H56" s="1123"/>
      <c r="I56" s="3"/>
      <c r="K56"/>
    </row>
    <row r="57" spans="1:14" ht="14.5" customHeight="1">
      <c r="A57" s="1121" t="s">
        <v>280</v>
      </c>
      <c r="B57" s="1122">
        <v>62</v>
      </c>
      <c r="C57" s="1123"/>
      <c r="F57" s="1124" t="s">
        <v>281</v>
      </c>
      <c r="G57" s="1125">
        <v>54</v>
      </c>
      <c r="H57" s="1123"/>
      <c r="I57" s="3"/>
      <c r="K57"/>
    </row>
    <row r="58" spans="1:14" ht="14.5" customHeight="1">
      <c r="A58" s="1121" t="s">
        <v>282</v>
      </c>
      <c r="B58" s="1122">
        <v>63</v>
      </c>
      <c r="C58" s="1123"/>
      <c r="F58" s="1121" t="s">
        <v>283</v>
      </c>
      <c r="G58" s="1125">
        <v>55</v>
      </c>
      <c r="H58" s="1123"/>
      <c r="I58" s="3"/>
      <c r="K58"/>
    </row>
    <row r="59" spans="1:14" ht="14.5" customHeight="1">
      <c r="A59" s="1121" t="s">
        <v>284</v>
      </c>
      <c r="B59" s="1122">
        <v>64</v>
      </c>
      <c r="C59" s="1123"/>
      <c r="F59" s="1121" t="s">
        <v>285</v>
      </c>
      <c r="G59" s="1125">
        <v>56</v>
      </c>
      <c r="H59" s="1123"/>
      <c r="I59" s="3"/>
      <c r="K59"/>
    </row>
    <row r="60" spans="1:14" ht="14.5" customHeight="1">
      <c r="A60" s="1121" t="s">
        <v>286</v>
      </c>
      <c r="B60" s="1122">
        <v>65</v>
      </c>
      <c r="C60" s="1123"/>
      <c r="E60" s="144"/>
      <c r="F60" s="1121" t="s">
        <v>287</v>
      </c>
      <c r="G60" s="1125">
        <v>57</v>
      </c>
      <c r="H60" s="1123"/>
      <c r="I60" s="3"/>
      <c r="K60"/>
    </row>
    <row r="61" spans="1:14" ht="14.5" customHeight="1">
      <c r="A61" s="1121" t="s">
        <v>288</v>
      </c>
      <c r="B61" s="1122">
        <v>66</v>
      </c>
      <c r="C61" s="1123"/>
      <c r="F61" s="1121" t="s">
        <v>289</v>
      </c>
      <c r="G61" s="1125">
        <v>58</v>
      </c>
      <c r="H61" s="1123"/>
      <c r="I61" s="3"/>
      <c r="K61"/>
    </row>
    <row r="62" spans="1:14" ht="14.5" customHeight="1">
      <c r="A62" s="1121" t="s">
        <v>290</v>
      </c>
      <c r="B62" s="1122">
        <v>67</v>
      </c>
      <c r="C62" s="1123"/>
      <c r="F62" s="1121" t="s">
        <v>291</v>
      </c>
      <c r="G62" s="1125">
        <v>59</v>
      </c>
      <c r="H62" s="1123"/>
      <c r="I62" s="3"/>
      <c r="K62"/>
    </row>
    <row r="63" spans="1:14" ht="14.5" customHeight="1">
      <c r="A63" s="1121" t="s">
        <v>292</v>
      </c>
      <c r="B63" s="1122">
        <v>68</v>
      </c>
      <c r="C63" s="1123"/>
      <c r="F63" s="1121" t="s">
        <v>293</v>
      </c>
      <c r="G63" s="1125">
        <v>60</v>
      </c>
      <c r="H63" s="1123"/>
      <c r="I63" s="3"/>
      <c r="K63"/>
    </row>
    <row r="64" spans="1:14" ht="14.5" customHeight="1">
      <c r="A64" s="1121" t="s">
        <v>294</v>
      </c>
      <c r="B64" s="1122">
        <v>69</v>
      </c>
      <c r="C64" s="1123"/>
      <c r="F64" s="1121" t="s">
        <v>295</v>
      </c>
      <c r="G64" s="1125">
        <v>61</v>
      </c>
      <c r="H64" s="1123"/>
      <c r="I64" s="3"/>
      <c r="K64"/>
    </row>
    <row r="65" spans="1:11" ht="14.5" customHeight="1">
      <c r="A65" s="1121" t="s">
        <v>296</v>
      </c>
      <c r="B65" s="1122">
        <v>71</v>
      </c>
      <c r="C65" s="1123"/>
      <c r="F65" s="1121" t="s">
        <v>297</v>
      </c>
      <c r="G65" s="1125">
        <v>62</v>
      </c>
      <c r="H65" s="1123"/>
      <c r="I65" s="3"/>
      <c r="K65"/>
    </row>
    <row r="66" spans="1:11" ht="14.5" customHeight="1">
      <c r="A66" s="1121" t="s">
        <v>298</v>
      </c>
      <c r="B66" s="1122">
        <v>72</v>
      </c>
      <c r="C66" s="1123"/>
      <c r="F66" s="1121" t="s">
        <v>299</v>
      </c>
      <c r="G66" s="1125">
        <v>63</v>
      </c>
      <c r="H66" s="1123"/>
      <c r="I66" s="3"/>
      <c r="K66"/>
    </row>
    <row r="67" spans="1:11" ht="14.5" customHeight="1">
      <c r="A67" s="1121" t="s">
        <v>300</v>
      </c>
      <c r="B67" s="1122">
        <v>73</v>
      </c>
      <c r="C67" s="1123"/>
      <c r="F67" s="1121" t="s">
        <v>301</v>
      </c>
      <c r="G67" s="1125">
        <v>64</v>
      </c>
      <c r="H67" s="1123"/>
      <c r="I67" s="3"/>
      <c r="K67"/>
    </row>
    <row r="68" spans="1:11" ht="14.5" customHeight="1">
      <c r="A68" s="1121" t="s">
        <v>302</v>
      </c>
      <c r="B68" s="1122">
        <v>74</v>
      </c>
      <c r="C68" s="1123"/>
      <c r="F68" s="1121" t="s">
        <v>303</v>
      </c>
      <c r="G68" s="1125">
        <v>65</v>
      </c>
      <c r="H68" s="1123"/>
      <c r="I68" s="3"/>
      <c r="K68"/>
    </row>
    <row r="69" spans="1:11" ht="14.5" customHeight="1">
      <c r="A69" s="1121" t="s">
        <v>304</v>
      </c>
      <c r="B69" s="1122">
        <v>75</v>
      </c>
      <c r="C69" s="1123"/>
      <c r="F69" s="1121" t="s">
        <v>305</v>
      </c>
      <c r="G69" s="1125">
        <v>66</v>
      </c>
      <c r="H69" s="1123"/>
      <c r="I69" s="3"/>
      <c r="K69"/>
    </row>
    <row r="70" spans="1:11" ht="14.5" customHeight="1">
      <c r="A70" s="1121" t="s">
        <v>306</v>
      </c>
      <c r="B70" s="1122">
        <v>76</v>
      </c>
      <c r="C70" s="1123"/>
      <c r="F70" s="1121" t="s">
        <v>307</v>
      </c>
      <c r="G70" s="1125">
        <v>67</v>
      </c>
      <c r="H70" s="1123"/>
      <c r="I70" s="3"/>
      <c r="K70"/>
    </row>
    <row r="71" spans="1:11" ht="14.5" customHeight="1">
      <c r="A71" s="1121" t="s">
        <v>308</v>
      </c>
      <c r="B71" s="1122">
        <v>77</v>
      </c>
      <c r="C71" s="1123"/>
      <c r="F71" s="1121" t="s">
        <v>309</v>
      </c>
      <c r="G71" s="1125">
        <v>68</v>
      </c>
      <c r="H71" s="1123"/>
      <c r="I71" s="3"/>
      <c r="K71"/>
    </row>
    <row r="72" spans="1:11" ht="14.5" customHeight="1">
      <c r="A72" s="1121" t="s">
        <v>310</v>
      </c>
      <c r="B72" s="1122">
        <v>78</v>
      </c>
      <c r="C72" s="1123"/>
      <c r="F72" s="1121" t="s">
        <v>311</v>
      </c>
      <c r="G72" s="1125">
        <v>69</v>
      </c>
      <c r="H72" s="1123"/>
      <c r="I72" s="3"/>
      <c r="K72"/>
    </row>
    <row r="73" spans="1:11" ht="14.5" customHeight="1">
      <c r="A73" s="1121" t="s">
        <v>312</v>
      </c>
      <c r="B73" s="1122">
        <v>79</v>
      </c>
      <c r="C73" s="1123"/>
      <c r="D73"/>
      <c r="F73" s="1121" t="s">
        <v>313</v>
      </c>
      <c r="G73" s="1125">
        <v>70</v>
      </c>
      <c r="H73" s="1123"/>
      <c r="I73" s="3"/>
      <c r="K73"/>
    </row>
    <row r="74" spans="1:11" ht="14.5" customHeight="1">
      <c r="A74" s="1121" t="s">
        <v>314</v>
      </c>
      <c r="B74" s="1122">
        <v>80</v>
      </c>
      <c r="C74" s="1123"/>
      <c r="F74" s="1121" t="s">
        <v>315</v>
      </c>
      <c r="G74" s="1125">
        <v>71</v>
      </c>
      <c r="H74" s="1123"/>
      <c r="I74" s="3"/>
      <c r="K74"/>
    </row>
    <row r="75" spans="1:11" ht="14.5" customHeight="1">
      <c r="A75" s="1121" t="s">
        <v>316</v>
      </c>
      <c r="B75" s="1122">
        <v>81</v>
      </c>
      <c r="C75" s="1123"/>
      <c r="F75" s="1121" t="s">
        <v>317</v>
      </c>
      <c r="G75" s="1125">
        <v>72</v>
      </c>
      <c r="H75" s="1123"/>
      <c r="I75" s="3"/>
      <c r="K75"/>
    </row>
    <row r="76" spans="1:11">
      <c r="A76" s="1121" t="s">
        <v>318</v>
      </c>
      <c r="B76" s="1122">
        <v>82</v>
      </c>
      <c r="C76" s="1123"/>
      <c r="D76"/>
      <c r="F76" s="1121" t="s">
        <v>319</v>
      </c>
      <c r="G76" s="1122">
        <v>73</v>
      </c>
      <c r="H76" s="1123"/>
      <c r="I76" s="3"/>
      <c r="K76"/>
    </row>
    <row r="77" spans="1:11" ht="14.5" customHeight="1">
      <c r="A77" s="1121" t="s">
        <v>320</v>
      </c>
      <c r="B77" s="1122">
        <v>83</v>
      </c>
      <c r="C77" s="1123"/>
      <c r="D77"/>
      <c r="F77" s="1121" t="s">
        <v>321</v>
      </c>
      <c r="G77" s="1122">
        <v>74</v>
      </c>
      <c r="H77" s="1123"/>
      <c r="J77" s="3"/>
      <c r="K77"/>
    </row>
    <row r="78" spans="1:11" ht="14.5" customHeight="1">
      <c r="A78" s="1121" t="s">
        <v>322</v>
      </c>
      <c r="B78" s="1122">
        <v>84</v>
      </c>
      <c r="C78" s="1123"/>
      <c r="D78"/>
      <c r="F78" s="1121" t="s">
        <v>323</v>
      </c>
      <c r="G78" s="1122">
        <v>75</v>
      </c>
      <c r="H78" s="1123"/>
      <c r="J78" s="3"/>
      <c r="K78"/>
    </row>
    <row r="79" spans="1:11" ht="14.5" customHeight="1">
      <c r="A79" s="1121" t="s">
        <v>324</v>
      </c>
      <c r="B79" s="1122">
        <v>85</v>
      </c>
      <c r="C79" s="1123"/>
      <c r="D79"/>
      <c r="F79" s="1121" t="s">
        <v>325</v>
      </c>
      <c r="G79" s="1122">
        <v>76</v>
      </c>
      <c r="H79" s="1123"/>
      <c r="J79" s="3"/>
      <c r="K79"/>
    </row>
    <row r="80" spans="1:11" ht="14.5" customHeight="1">
      <c r="A80" s="1121" t="s">
        <v>326</v>
      </c>
      <c r="B80" s="1122">
        <v>86</v>
      </c>
      <c r="C80" s="1123"/>
      <c r="D80"/>
      <c r="F80" s="1121" t="s">
        <v>327</v>
      </c>
      <c r="G80" s="1122">
        <v>77</v>
      </c>
      <c r="H80" s="1123"/>
      <c r="J80" s="3"/>
      <c r="K80"/>
    </row>
    <row r="81" spans="1:11" ht="14.5" customHeight="1">
      <c r="A81" s="1121" t="s">
        <v>328</v>
      </c>
      <c r="B81" s="1122">
        <v>87</v>
      </c>
      <c r="C81" s="1123"/>
      <c r="D81"/>
      <c r="F81" s="1121" t="s">
        <v>329</v>
      </c>
      <c r="G81" s="1122">
        <v>78</v>
      </c>
      <c r="H81" s="1123"/>
      <c r="J81" s="3"/>
      <c r="K81"/>
    </row>
    <row r="82" spans="1:11" ht="14.5" customHeight="1">
      <c r="A82" s="1121" t="s">
        <v>330</v>
      </c>
      <c r="B82" s="1122">
        <v>88</v>
      </c>
      <c r="C82" s="1123"/>
      <c r="D82"/>
      <c r="F82" s="1121" t="s">
        <v>331</v>
      </c>
      <c r="G82" s="1122">
        <v>79</v>
      </c>
      <c r="H82" s="1123"/>
      <c r="J82" s="3"/>
      <c r="K82"/>
    </row>
    <row r="83" spans="1:11" ht="14.5" customHeight="1">
      <c r="A83" s="1121" t="s">
        <v>332</v>
      </c>
      <c r="B83" s="1122">
        <v>89</v>
      </c>
      <c r="C83" s="1123"/>
      <c r="D83"/>
      <c r="F83" s="1121" t="s">
        <v>333</v>
      </c>
      <c r="G83" s="1125">
        <v>80</v>
      </c>
      <c r="H83" s="1123"/>
      <c r="J83" s="3"/>
      <c r="K83"/>
    </row>
    <row r="84" spans="1:11" ht="14.5" customHeight="1">
      <c r="A84" s="1121" t="s">
        <v>334</v>
      </c>
      <c r="B84" s="1122">
        <v>90</v>
      </c>
      <c r="C84" s="1123"/>
      <c r="D84"/>
      <c r="F84" s="1134" t="s">
        <v>335</v>
      </c>
      <c r="G84" s="1135">
        <v>255</v>
      </c>
      <c r="H84" s="1136"/>
      <c r="J84" s="3"/>
      <c r="K84"/>
    </row>
    <row r="85" spans="1:11" ht="14.5" customHeight="1">
      <c r="A85" s="1121" t="s">
        <v>336</v>
      </c>
      <c r="B85" s="1122">
        <v>91</v>
      </c>
      <c r="C85" s="1123"/>
      <c r="D85"/>
      <c r="J85" s="3"/>
      <c r="K85"/>
    </row>
    <row r="86" spans="1:11" ht="14.5" customHeight="1">
      <c r="A86" s="1121" t="s">
        <v>337</v>
      </c>
      <c r="B86" s="1122">
        <v>95</v>
      </c>
      <c r="C86" s="1123"/>
      <c r="D86"/>
      <c r="J86" s="3"/>
      <c r="K86"/>
    </row>
    <row r="87" spans="1:11" ht="14.5" customHeight="1">
      <c r="A87" s="1121" t="s">
        <v>338</v>
      </c>
      <c r="B87" s="1122">
        <v>96</v>
      </c>
      <c r="C87" s="1123"/>
      <c r="D87"/>
      <c r="J87" s="3"/>
      <c r="K87"/>
    </row>
    <row r="88" spans="1:11">
      <c r="A88" s="1121" t="s">
        <v>339</v>
      </c>
      <c r="B88" s="1122">
        <v>97</v>
      </c>
      <c r="C88" s="1123"/>
      <c r="D88"/>
      <c r="J88" s="3"/>
      <c r="K88"/>
    </row>
    <row r="89" spans="1:11" ht="14.5" customHeight="1">
      <c r="A89" s="1121" t="s">
        <v>340</v>
      </c>
      <c r="B89" s="1122">
        <v>98</v>
      </c>
      <c r="C89" s="1123"/>
      <c r="D89"/>
      <c r="J89" s="3"/>
      <c r="K89"/>
    </row>
    <row r="90" spans="1:11" ht="14.5" customHeight="1">
      <c r="A90" s="1121" t="s">
        <v>341</v>
      </c>
      <c r="B90" s="1122">
        <v>100</v>
      </c>
      <c r="C90" s="1123"/>
      <c r="D90"/>
      <c r="J90" s="3"/>
      <c r="K90"/>
    </row>
    <row r="91" spans="1:11" ht="14.5" customHeight="1">
      <c r="A91" s="1121" t="s">
        <v>342</v>
      </c>
      <c r="B91" s="1122">
        <v>101</v>
      </c>
      <c r="C91" s="1123"/>
      <c r="D91"/>
      <c r="J91" s="3"/>
      <c r="K91"/>
    </row>
    <row r="92" spans="1:11" ht="14.5" customHeight="1">
      <c r="A92" s="1121" t="s">
        <v>343</v>
      </c>
      <c r="B92" s="1122">
        <v>102</v>
      </c>
      <c r="C92" s="1123"/>
      <c r="D92"/>
      <c r="J92" s="3"/>
      <c r="K92"/>
    </row>
    <row r="93" spans="1:11" ht="14.5" customHeight="1">
      <c r="A93" s="1121" t="s">
        <v>344</v>
      </c>
      <c r="B93" s="1122">
        <v>103</v>
      </c>
      <c r="C93" s="1123"/>
      <c r="D93"/>
      <c r="J93" s="3"/>
      <c r="K93"/>
    </row>
    <row r="94" spans="1:11" ht="14.5" customHeight="1">
      <c r="A94" s="1121" t="s">
        <v>345</v>
      </c>
      <c r="B94" s="1122">
        <v>104</v>
      </c>
      <c r="C94" s="1123"/>
      <c r="D94"/>
      <c r="J94" s="3"/>
      <c r="K94"/>
    </row>
    <row r="95" spans="1:11" ht="14.5" customHeight="1">
      <c r="A95" s="1121" t="s">
        <v>346</v>
      </c>
      <c r="B95" s="1122">
        <v>105</v>
      </c>
      <c r="C95" s="1123"/>
      <c r="D95"/>
      <c r="J95" s="3"/>
      <c r="K95"/>
    </row>
    <row r="96" spans="1:11" ht="14.5" customHeight="1">
      <c r="A96" s="1121" t="s">
        <v>347</v>
      </c>
      <c r="B96" s="1122">
        <v>106</v>
      </c>
      <c r="C96" s="1123"/>
      <c r="D96"/>
      <c r="J96" s="3"/>
      <c r="K96"/>
    </row>
    <row r="97" spans="1:11" ht="14.5" customHeight="1">
      <c r="A97" s="1121" t="s">
        <v>348</v>
      </c>
      <c r="B97" s="1122">
        <v>107</v>
      </c>
      <c r="C97" s="1123"/>
      <c r="D97"/>
      <c r="J97" s="3"/>
      <c r="K97"/>
    </row>
    <row r="98" spans="1:11">
      <c r="A98" s="1121" t="s">
        <v>349</v>
      </c>
      <c r="B98" s="1122">
        <v>108</v>
      </c>
      <c r="C98" s="1123"/>
      <c r="D98"/>
      <c r="J98" s="3"/>
      <c r="K98"/>
    </row>
    <row r="99" spans="1:11" ht="14.5" customHeight="1">
      <c r="A99" s="1121" t="s">
        <v>350</v>
      </c>
      <c r="B99" s="1122">
        <v>109</v>
      </c>
      <c r="C99" s="1123"/>
      <c r="D99"/>
      <c r="J99" s="3"/>
      <c r="K99"/>
    </row>
    <row r="100" spans="1:11" ht="14.5" customHeight="1">
      <c r="A100" s="1121" t="s">
        <v>351</v>
      </c>
      <c r="B100" s="1122">
        <v>110</v>
      </c>
      <c r="C100" s="1123"/>
      <c r="D100"/>
      <c r="J100" s="3"/>
      <c r="K100"/>
    </row>
    <row r="101" spans="1:11" ht="14.5" customHeight="1">
      <c r="A101" s="1121" t="s">
        <v>352</v>
      </c>
      <c r="B101" s="1122">
        <v>111</v>
      </c>
      <c r="C101" s="1123"/>
      <c r="D101"/>
      <c r="J101" s="3"/>
      <c r="K101"/>
    </row>
    <row r="102" spans="1:11" ht="14.5" customHeight="1">
      <c r="A102" s="1121" t="s">
        <v>353</v>
      </c>
      <c r="B102" s="1122">
        <v>112</v>
      </c>
      <c r="C102" s="1123"/>
      <c r="D102"/>
      <c r="J102" s="3"/>
      <c r="K102"/>
    </row>
    <row r="103" spans="1:11" ht="14.5" customHeight="1">
      <c r="A103" s="1121" t="s">
        <v>354</v>
      </c>
      <c r="B103" s="1122">
        <v>113</v>
      </c>
      <c r="C103" s="1123"/>
      <c r="D103"/>
      <c r="J103" s="3"/>
      <c r="K103"/>
    </row>
    <row r="104" spans="1:11" ht="14.5" customHeight="1">
      <c r="A104" s="1121" t="s">
        <v>355</v>
      </c>
      <c r="B104" s="1122">
        <v>114</v>
      </c>
      <c r="C104" s="1123"/>
      <c r="D104"/>
      <c r="J104" s="3"/>
      <c r="K104"/>
    </row>
    <row r="105" spans="1:11" ht="14.5" customHeight="1">
      <c r="A105" s="1121" t="s">
        <v>356</v>
      </c>
      <c r="B105" s="1122">
        <v>115</v>
      </c>
      <c r="C105" s="1123"/>
      <c r="D105"/>
      <c r="J105" s="3"/>
      <c r="K105"/>
    </row>
    <row r="106" spans="1:11">
      <c r="A106" s="1121" t="s">
        <v>357</v>
      </c>
      <c r="B106" s="1122">
        <v>116</v>
      </c>
      <c r="C106" s="1123"/>
      <c r="D106"/>
      <c r="J106" s="3"/>
      <c r="K106"/>
    </row>
    <row r="107" spans="1:11" ht="14.5" customHeight="1">
      <c r="A107" s="1121" t="s">
        <v>358</v>
      </c>
      <c r="B107" s="1122">
        <v>117</v>
      </c>
      <c r="C107" s="1123"/>
      <c r="D107"/>
      <c r="J107" s="3"/>
      <c r="K107"/>
    </row>
    <row r="108" spans="1:11" ht="14.5" customHeight="1">
      <c r="A108" s="1121" t="s">
        <v>359</v>
      </c>
      <c r="B108" s="1122">
        <v>118</v>
      </c>
      <c r="C108" s="1123"/>
      <c r="D108"/>
      <c r="J108" s="3"/>
      <c r="K108"/>
    </row>
    <row r="109" spans="1:11" ht="14.5" customHeight="1">
      <c r="A109" s="1121" t="s">
        <v>360</v>
      </c>
      <c r="B109" s="1122">
        <v>119</v>
      </c>
      <c r="C109" s="1123"/>
      <c r="D109"/>
      <c r="J109" s="3"/>
      <c r="K109"/>
    </row>
    <row r="110" spans="1:11" ht="14.5" customHeight="1">
      <c r="A110" s="1121" t="s">
        <v>361</v>
      </c>
      <c r="B110" s="1122">
        <v>120</v>
      </c>
      <c r="C110" s="1123"/>
      <c r="D110"/>
      <c r="J110" s="3"/>
      <c r="K110"/>
    </row>
    <row r="111" spans="1:11" ht="14.5" customHeight="1">
      <c r="A111" s="1121" t="s">
        <v>362</v>
      </c>
      <c r="B111" s="1122">
        <v>121</v>
      </c>
      <c r="C111" s="1123"/>
      <c r="D111"/>
      <c r="J111" s="3"/>
      <c r="K111"/>
    </row>
    <row r="112" spans="1:11" ht="14.5" customHeight="1">
      <c r="A112" s="1121" t="s">
        <v>363</v>
      </c>
      <c r="B112" s="1122">
        <v>122</v>
      </c>
      <c r="C112" s="1123"/>
      <c r="D112"/>
      <c r="J112" s="3"/>
      <c r="K112"/>
    </row>
    <row r="113" spans="1:11" ht="14.5" customHeight="1">
      <c r="A113" s="1121" t="s">
        <v>364</v>
      </c>
      <c r="B113" s="1122">
        <v>123</v>
      </c>
      <c r="C113" s="1123"/>
      <c r="D113"/>
      <c r="J113" s="3"/>
      <c r="K113"/>
    </row>
    <row r="114" spans="1:11" ht="14.5" customHeight="1">
      <c r="A114" s="1121" t="s">
        <v>365</v>
      </c>
      <c r="B114" s="1122">
        <v>124</v>
      </c>
      <c r="C114" s="1123"/>
      <c r="D114"/>
      <c r="J114" s="3"/>
      <c r="K114"/>
    </row>
    <row r="115" spans="1:11" ht="14.5" customHeight="1">
      <c r="A115" s="1121" t="s">
        <v>366</v>
      </c>
      <c r="B115" s="1122">
        <v>125</v>
      </c>
      <c r="C115" s="1123"/>
      <c r="D115"/>
      <c r="J115" s="3"/>
      <c r="K115"/>
    </row>
    <row r="116" spans="1:11" ht="14.5" customHeight="1">
      <c r="A116" s="1121" t="s">
        <v>367</v>
      </c>
      <c r="B116" s="1122">
        <v>126</v>
      </c>
      <c r="C116" s="1123"/>
      <c r="D116"/>
      <c r="J116" s="3"/>
      <c r="K116"/>
    </row>
    <row r="117" spans="1:11" ht="14.5" customHeight="1">
      <c r="A117" s="1121" t="s">
        <v>368</v>
      </c>
      <c r="B117" s="1122">
        <v>127</v>
      </c>
      <c r="C117" s="1123"/>
      <c r="D117"/>
      <c r="J117" s="3"/>
      <c r="K117"/>
    </row>
    <row r="118" spans="1:11" ht="14.5" customHeight="1">
      <c r="A118" s="1121" t="s">
        <v>369</v>
      </c>
      <c r="B118" s="1122">
        <v>130</v>
      </c>
      <c r="C118" s="1123"/>
      <c r="D118"/>
      <c r="J118" s="3"/>
      <c r="K118"/>
    </row>
    <row r="119" spans="1:11" ht="14.5" customHeight="1">
      <c r="A119" s="1121" t="s">
        <v>370</v>
      </c>
      <c r="B119" s="1122">
        <v>131</v>
      </c>
      <c r="C119" s="1123"/>
      <c r="D119"/>
      <c r="J119" s="3"/>
      <c r="K119"/>
    </row>
    <row r="120" spans="1:11" ht="14.5" customHeight="1">
      <c r="A120" s="1121" t="s">
        <v>371</v>
      </c>
      <c r="B120" s="1122">
        <v>132</v>
      </c>
      <c r="C120" s="1123"/>
      <c r="D120"/>
      <c r="J120" s="3"/>
      <c r="K120"/>
    </row>
    <row r="121" spans="1:11" ht="14.5" customHeight="1">
      <c r="A121" s="1121" t="s">
        <v>372</v>
      </c>
      <c r="B121" s="1122">
        <v>133</v>
      </c>
      <c r="C121" s="1123"/>
      <c r="D121"/>
      <c r="J121" s="3"/>
      <c r="K121"/>
    </row>
    <row r="122" spans="1:11" ht="14.5" customHeight="1">
      <c r="A122" s="1121" t="s">
        <v>373</v>
      </c>
      <c r="B122" s="1122">
        <v>134</v>
      </c>
      <c r="C122" s="1123"/>
      <c r="D122"/>
      <c r="J122" s="3"/>
      <c r="K122"/>
    </row>
    <row r="123" spans="1:11" ht="14.5" customHeight="1">
      <c r="A123" s="1121" t="s">
        <v>374</v>
      </c>
      <c r="B123" s="1122">
        <v>135</v>
      </c>
      <c r="C123" s="1123"/>
      <c r="D123"/>
      <c r="J123" s="3"/>
      <c r="K123"/>
    </row>
    <row r="124" spans="1:11" ht="14.5" customHeight="1">
      <c r="A124" s="1121" t="s">
        <v>375</v>
      </c>
      <c r="B124" s="1122">
        <v>136</v>
      </c>
      <c r="C124" s="1123"/>
      <c r="D124"/>
      <c r="J124" s="3"/>
      <c r="K124"/>
    </row>
    <row r="125" spans="1:11" ht="14.5" customHeight="1">
      <c r="A125" s="1121" t="s">
        <v>376</v>
      </c>
      <c r="B125" s="1122">
        <v>137</v>
      </c>
      <c r="C125" s="1123"/>
      <c r="D125"/>
      <c r="J125" s="3"/>
      <c r="K125"/>
    </row>
    <row r="126" spans="1:11" ht="14.5" customHeight="1">
      <c r="A126" s="1121" t="s">
        <v>377</v>
      </c>
      <c r="B126" s="1122">
        <v>138</v>
      </c>
      <c r="C126" s="1123"/>
      <c r="D126"/>
      <c r="J126" s="3"/>
      <c r="K126"/>
    </row>
    <row r="127" spans="1:11" ht="14.5" customHeight="1">
      <c r="A127" s="1121" t="s">
        <v>378</v>
      </c>
      <c r="B127" s="1122">
        <v>139</v>
      </c>
      <c r="C127" s="1123"/>
      <c r="D127"/>
      <c r="J127" s="3"/>
      <c r="K127"/>
    </row>
    <row r="128" spans="1:11" ht="14.5" customHeight="1">
      <c r="A128" s="1121" t="s">
        <v>379</v>
      </c>
      <c r="B128" s="1122">
        <v>140</v>
      </c>
      <c r="C128" s="1123"/>
      <c r="D128"/>
      <c r="J128" s="3"/>
      <c r="K128"/>
    </row>
    <row r="129" spans="1:11" ht="14.5" customHeight="1">
      <c r="A129" s="1121" t="s">
        <v>380</v>
      </c>
      <c r="B129" s="1122">
        <v>141</v>
      </c>
      <c r="C129" s="1123"/>
      <c r="D129"/>
      <c r="J129" s="3"/>
      <c r="K129"/>
    </row>
    <row r="130" spans="1:11" ht="14.5" customHeight="1">
      <c r="A130" s="1121" t="s">
        <v>381</v>
      </c>
      <c r="B130" s="1122">
        <v>142</v>
      </c>
      <c r="C130" s="1123"/>
      <c r="D130"/>
      <c r="J130" s="3"/>
      <c r="K130"/>
    </row>
    <row r="131" spans="1:11" ht="14.5" customHeight="1">
      <c r="A131" s="1121" t="s">
        <v>382</v>
      </c>
      <c r="B131" s="1122">
        <v>143</v>
      </c>
      <c r="C131" s="1123"/>
      <c r="D131"/>
      <c r="J131" s="3"/>
      <c r="K131"/>
    </row>
    <row r="132" spans="1:11" ht="14.5" customHeight="1">
      <c r="A132" s="1121" t="s">
        <v>383</v>
      </c>
      <c r="B132" s="1122">
        <v>144</v>
      </c>
      <c r="C132" s="1123"/>
      <c r="D132"/>
      <c r="J132" s="3"/>
      <c r="K132"/>
    </row>
    <row r="133" spans="1:11" ht="14.5" customHeight="1">
      <c r="A133" s="1121" t="s">
        <v>384</v>
      </c>
      <c r="B133" s="1122">
        <v>145</v>
      </c>
      <c r="C133" s="1123"/>
      <c r="D133"/>
      <c r="J133" s="3"/>
      <c r="K133"/>
    </row>
    <row r="134" spans="1:11" ht="14.5" customHeight="1">
      <c r="A134" s="1121" t="s">
        <v>385</v>
      </c>
      <c r="B134" s="1122">
        <v>146</v>
      </c>
      <c r="C134" s="1123"/>
      <c r="D134"/>
      <c r="J134" s="3"/>
      <c r="K134"/>
    </row>
    <row r="135" spans="1:11" ht="14.5" customHeight="1">
      <c r="A135" s="1121" t="s">
        <v>386</v>
      </c>
      <c r="B135" s="1122">
        <v>147</v>
      </c>
      <c r="C135" s="1123"/>
      <c r="D135"/>
      <c r="J135" s="3"/>
      <c r="K135"/>
    </row>
    <row r="136" spans="1:11" ht="14.5" customHeight="1">
      <c r="A136" s="1121" t="s">
        <v>387</v>
      </c>
      <c r="B136" s="1122">
        <v>148</v>
      </c>
      <c r="C136" s="1123"/>
      <c r="D136"/>
      <c r="J136" s="3"/>
      <c r="K136"/>
    </row>
    <row r="137" spans="1:11" ht="14.5" customHeight="1">
      <c r="A137" s="1121" t="s">
        <v>388</v>
      </c>
      <c r="B137" s="1122">
        <v>149</v>
      </c>
      <c r="C137" s="1123"/>
      <c r="D137"/>
      <c r="J137" s="3"/>
      <c r="K137"/>
    </row>
    <row r="138" spans="1:11" ht="14.5" customHeight="1">
      <c r="A138" s="1121" t="s">
        <v>389</v>
      </c>
      <c r="B138" s="1122">
        <v>150</v>
      </c>
      <c r="C138" s="1123"/>
      <c r="D138"/>
      <c r="J138" s="3"/>
      <c r="K138"/>
    </row>
    <row r="139" spans="1:11">
      <c r="A139" s="1121" t="s">
        <v>390</v>
      </c>
      <c r="B139" s="1122">
        <v>151</v>
      </c>
      <c r="C139" s="1123"/>
      <c r="D139"/>
      <c r="J139" s="3"/>
      <c r="K139"/>
    </row>
    <row r="140" spans="1:11" ht="14.5" customHeight="1">
      <c r="A140" s="1121" t="s">
        <v>391</v>
      </c>
      <c r="B140" s="1122">
        <v>152</v>
      </c>
      <c r="C140" s="1123"/>
      <c r="D140"/>
      <c r="J140" s="3"/>
      <c r="K140"/>
    </row>
    <row r="141" spans="1:11" ht="14.5" customHeight="1">
      <c r="A141" s="1121" t="s">
        <v>392</v>
      </c>
      <c r="B141" s="1122">
        <v>153</v>
      </c>
      <c r="C141" s="1123"/>
      <c r="D141"/>
      <c r="J141" s="3"/>
      <c r="K141"/>
    </row>
    <row r="142" spans="1:11" ht="14.5" customHeight="1">
      <c r="A142" s="1121" t="s">
        <v>393</v>
      </c>
      <c r="B142" s="1122">
        <v>154</v>
      </c>
      <c r="C142" s="1123"/>
      <c r="D142"/>
      <c r="J142" s="3"/>
      <c r="K142"/>
    </row>
    <row r="143" spans="1:11" ht="14.5" customHeight="1">
      <c r="A143" s="1121" t="s">
        <v>394</v>
      </c>
      <c r="B143" s="1122">
        <v>155</v>
      </c>
      <c r="C143" s="1123"/>
      <c r="D143"/>
      <c r="J143" s="3"/>
      <c r="K143"/>
    </row>
    <row r="144" spans="1:11" ht="14.5" customHeight="1">
      <c r="A144" s="1121" t="s">
        <v>395</v>
      </c>
      <c r="B144" s="1122">
        <v>156</v>
      </c>
      <c r="C144" s="1123"/>
      <c r="D144"/>
      <c r="J144" s="3"/>
      <c r="K144"/>
    </row>
    <row r="145" spans="1:11" ht="14.5" customHeight="1">
      <c r="A145" s="1121" t="s">
        <v>396</v>
      </c>
      <c r="B145" s="1122">
        <v>157</v>
      </c>
      <c r="C145" s="1123"/>
      <c r="D145"/>
      <c r="J145" s="3"/>
      <c r="K145"/>
    </row>
    <row r="146" spans="1:11" ht="14.5" customHeight="1">
      <c r="A146" s="1121" t="s">
        <v>397</v>
      </c>
      <c r="B146" s="1122">
        <v>158</v>
      </c>
      <c r="C146" s="1123"/>
      <c r="D146"/>
      <c r="J146" s="3"/>
      <c r="K146"/>
    </row>
    <row r="147" spans="1:11" ht="14.5" customHeight="1">
      <c r="A147" s="1121" t="s">
        <v>398</v>
      </c>
      <c r="B147" s="1122">
        <v>159</v>
      </c>
      <c r="C147" s="1123"/>
      <c r="D147"/>
      <c r="J147" s="3"/>
      <c r="K147"/>
    </row>
    <row r="148" spans="1:11" ht="14.5" customHeight="1">
      <c r="A148" s="1121" t="s">
        <v>399</v>
      </c>
      <c r="B148" s="1122">
        <v>160</v>
      </c>
      <c r="C148" s="1123"/>
      <c r="D148"/>
      <c r="J148" s="3"/>
      <c r="K148"/>
    </row>
    <row r="149" spans="1:11" ht="14.5" customHeight="1">
      <c r="A149" s="1121" t="s">
        <v>400</v>
      </c>
      <c r="B149" s="1122">
        <v>161</v>
      </c>
      <c r="C149" s="1123"/>
      <c r="D149"/>
      <c r="J149" s="3"/>
      <c r="K149"/>
    </row>
    <row r="150" spans="1:11">
      <c r="A150" s="1121" t="s">
        <v>401</v>
      </c>
      <c r="B150" s="1122">
        <v>162</v>
      </c>
      <c r="C150" s="1123"/>
      <c r="D150"/>
      <c r="J150" s="3"/>
      <c r="K150"/>
    </row>
    <row r="151" spans="1:11" ht="14.5" customHeight="1">
      <c r="A151" s="1121" t="s">
        <v>402</v>
      </c>
      <c r="B151" s="1122">
        <v>163</v>
      </c>
      <c r="C151" s="1123"/>
      <c r="D151"/>
      <c r="J151" s="3"/>
      <c r="K151"/>
    </row>
    <row r="152" spans="1:11" ht="14.5" customHeight="1">
      <c r="A152" s="1121" t="s">
        <v>403</v>
      </c>
      <c r="B152" s="1122">
        <v>164</v>
      </c>
      <c r="C152" s="1123"/>
      <c r="D152"/>
      <c r="J152" s="3"/>
      <c r="K152"/>
    </row>
    <row r="153" spans="1:11" ht="14.5" customHeight="1">
      <c r="A153" s="1121" t="s">
        <v>404</v>
      </c>
      <c r="B153" s="1122">
        <v>165</v>
      </c>
      <c r="C153" s="1123"/>
      <c r="D153"/>
      <c r="J153" s="3"/>
      <c r="K153"/>
    </row>
    <row r="154" spans="1:11" ht="14.5" customHeight="1">
      <c r="A154" s="1121" t="s">
        <v>405</v>
      </c>
      <c r="B154" s="1122">
        <v>166</v>
      </c>
      <c r="C154" s="1123"/>
      <c r="D154"/>
      <c r="J154" s="3"/>
      <c r="K154"/>
    </row>
    <row r="155" spans="1:11" ht="14.5" customHeight="1">
      <c r="A155" s="1121" t="s">
        <v>406</v>
      </c>
      <c r="B155" s="1122">
        <v>167</v>
      </c>
      <c r="C155" s="1123"/>
      <c r="D155"/>
      <c r="J155" s="3"/>
      <c r="K155"/>
    </row>
    <row r="156" spans="1:11" ht="14.5" customHeight="1">
      <c r="A156" s="1121" t="s">
        <v>407</v>
      </c>
      <c r="B156" s="1122">
        <v>168</v>
      </c>
      <c r="C156" s="1123"/>
      <c r="D156"/>
      <c r="J156" s="3"/>
      <c r="K156"/>
    </row>
    <row r="157" spans="1:11" ht="14.5" customHeight="1">
      <c r="A157" s="1121" t="s">
        <v>408</v>
      </c>
      <c r="B157" s="1122">
        <v>169</v>
      </c>
      <c r="C157" s="1123"/>
      <c r="D157"/>
      <c r="J157" s="3"/>
      <c r="K157"/>
    </row>
    <row r="158" spans="1:11" ht="14.5" customHeight="1">
      <c r="A158" s="1121" t="s">
        <v>409</v>
      </c>
      <c r="B158" s="1122">
        <v>170</v>
      </c>
      <c r="C158" s="1123"/>
      <c r="D158"/>
      <c r="J158" s="3"/>
      <c r="K158"/>
    </row>
    <row r="159" spans="1:11">
      <c r="A159" s="1121" t="s">
        <v>410</v>
      </c>
      <c r="B159" s="1122">
        <v>171</v>
      </c>
      <c r="C159" s="1123"/>
      <c r="D159"/>
      <c r="J159" s="3"/>
      <c r="K159"/>
    </row>
    <row r="160" spans="1:11" ht="14.5" customHeight="1">
      <c r="A160" s="1121" t="s">
        <v>411</v>
      </c>
      <c r="B160" s="1122">
        <v>172</v>
      </c>
      <c r="C160" s="1123"/>
      <c r="D160"/>
      <c r="J160" s="3"/>
      <c r="K160"/>
    </row>
    <row r="161" spans="1:11" ht="14.5" customHeight="1">
      <c r="A161" s="1121" t="s">
        <v>412</v>
      </c>
      <c r="B161" s="1122">
        <v>173</v>
      </c>
      <c r="C161" s="1123"/>
      <c r="D161"/>
      <c r="J161" s="3"/>
      <c r="K161"/>
    </row>
    <row r="162" spans="1:11" ht="14.5" customHeight="1">
      <c r="A162" s="1121" t="s">
        <v>413</v>
      </c>
      <c r="B162" s="1122">
        <v>174</v>
      </c>
      <c r="C162" s="1123"/>
      <c r="D162"/>
      <c r="J162" s="3"/>
      <c r="K162"/>
    </row>
    <row r="163" spans="1:11" ht="14.5" customHeight="1">
      <c r="A163" s="1121" t="s">
        <v>414</v>
      </c>
      <c r="B163" s="1122">
        <v>175</v>
      </c>
      <c r="C163" s="1123"/>
      <c r="D163"/>
      <c r="J163" s="3"/>
      <c r="K163"/>
    </row>
    <row r="164" spans="1:11" ht="14.5" customHeight="1">
      <c r="A164" s="1121" t="s">
        <v>415</v>
      </c>
      <c r="B164" s="1122">
        <v>176</v>
      </c>
      <c r="C164" s="1123"/>
      <c r="D164"/>
      <c r="J164" s="3"/>
      <c r="K164"/>
    </row>
    <row r="165" spans="1:11" ht="14.5" customHeight="1">
      <c r="A165" s="1121" t="s">
        <v>416</v>
      </c>
      <c r="B165" s="1122">
        <v>177</v>
      </c>
      <c r="C165" s="1123"/>
      <c r="D165"/>
      <c r="J165" s="3"/>
      <c r="K165"/>
    </row>
    <row r="166" spans="1:11" ht="14.5" customHeight="1">
      <c r="A166" s="1121" t="s">
        <v>417</v>
      </c>
      <c r="B166" s="1122">
        <v>178</v>
      </c>
      <c r="C166" s="1123"/>
      <c r="D166"/>
      <c r="J166" s="3"/>
      <c r="K166"/>
    </row>
    <row r="167" spans="1:11" ht="14.5" customHeight="1">
      <c r="A167" s="1121" t="s">
        <v>418</v>
      </c>
      <c r="B167" s="1122">
        <v>179</v>
      </c>
      <c r="C167" s="1123"/>
      <c r="D167"/>
      <c r="J167" s="3"/>
      <c r="K167"/>
    </row>
    <row r="168" spans="1:11">
      <c r="A168" s="1137" t="s">
        <v>419</v>
      </c>
      <c r="B168" s="1122">
        <v>180</v>
      </c>
      <c r="C168" s="1123"/>
      <c r="D168"/>
      <c r="J168" s="3"/>
      <c r="K168"/>
    </row>
    <row r="169" spans="1:11" ht="14.5" customHeight="1">
      <c r="A169" s="1137" t="s">
        <v>420</v>
      </c>
      <c r="B169" s="1122">
        <v>181</v>
      </c>
      <c r="C169" s="1123"/>
      <c r="D169"/>
      <c r="J169" s="3"/>
      <c r="K169"/>
    </row>
    <row r="170" spans="1:11" ht="14.5" customHeight="1">
      <c r="A170" s="1121" t="s">
        <v>421</v>
      </c>
      <c r="B170" s="1122">
        <v>182</v>
      </c>
      <c r="C170" s="1123"/>
      <c r="D170"/>
      <c r="J170" s="3"/>
      <c r="K170"/>
    </row>
    <row r="171" spans="1:11" ht="14.5" customHeight="1">
      <c r="A171" s="1121" t="s">
        <v>422</v>
      </c>
      <c r="B171" s="1122">
        <v>183</v>
      </c>
      <c r="C171" s="1123"/>
      <c r="D171"/>
      <c r="J171" s="3"/>
      <c r="K171"/>
    </row>
    <row r="172" spans="1:11" ht="14.5" customHeight="1">
      <c r="A172" s="1121" t="s">
        <v>423</v>
      </c>
      <c r="B172" s="1122">
        <v>184</v>
      </c>
      <c r="C172" s="1123"/>
      <c r="D172"/>
      <c r="J172" s="3"/>
      <c r="K172"/>
    </row>
    <row r="173" spans="1:11" ht="14.5" customHeight="1">
      <c r="A173" s="1121" t="s">
        <v>424</v>
      </c>
      <c r="B173" s="1122">
        <v>185</v>
      </c>
      <c r="C173" s="1123"/>
      <c r="D173"/>
      <c r="J173" s="3"/>
      <c r="K173"/>
    </row>
    <row r="174" spans="1:11" ht="14.5" customHeight="1">
      <c r="A174" s="1121" t="s">
        <v>246</v>
      </c>
      <c r="B174" s="1122">
        <v>186</v>
      </c>
      <c r="C174" s="1123"/>
      <c r="D174"/>
      <c r="J174" s="3"/>
      <c r="K174"/>
    </row>
    <row r="175" spans="1:11" ht="14.5" customHeight="1">
      <c r="A175" s="1121" t="s">
        <v>425</v>
      </c>
      <c r="B175" s="1122">
        <v>187</v>
      </c>
      <c r="C175" s="1123"/>
      <c r="D175"/>
      <c r="J175" s="3"/>
      <c r="K175"/>
    </row>
    <row r="176" spans="1:11" ht="14.5" customHeight="1">
      <c r="A176" s="1121" t="s">
        <v>426</v>
      </c>
      <c r="B176" s="1122">
        <v>188</v>
      </c>
      <c r="C176" s="1123"/>
      <c r="D176"/>
      <c r="J176" s="3"/>
      <c r="K176"/>
    </row>
    <row r="177" spans="1:11" ht="14.5" customHeight="1">
      <c r="A177" s="1121" t="s">
        <v>427</v>
      </c>
      <c r="B177" s="1122">
        <v>189</v>
      </c>
      <c r="C177" s="1123"/>
      <c r="D177"/>
      <c r="J177" s="3"/>
      <c r="K177"/>
    </row>
    <row r="178" spans="1:11" ht="14.5" customHeight="1">
      <c r="A178" s="1121" t="s">
        <v>428</v>
      </c>
      <c r="B178" s="1122">
        <v>190</v>
      </c>
      <c r="C178" s="1123"/>
      <c r="D178"/>
      <c r="J178" s="3"/>
      <c r="K178"/>
    </row>
    <row r="179" spans="1:11" ht="14.5" customHeight="1">
      <c r="A179" s="1121" t="s">
        <v>429</v>
      </c>
      <c r="B179" s="1122">
        <v>191</v>
      </c>
      <c r="C179" s="1123"/>
      <c r="D179"/>
      <c r="J179" s="3"/>
      <c r="K179"/>
    </row>
    <row r="180" spans="1:11" ht="14.5" customHeight="1">
      <c r="A180" s="1121" t="s">
        <v>430</v>
      </c>
      <c r="B180" s="1122">
        <v>192</v>
      </c>
      <c r="C180" s="1123"/>
      <c r="D180"/>
      <c r="J180" s="3"/>
      <c r="K180"/>
    </row>
    <row r="181" spans="1:11" ht="14.5" customHeight="1">
      <c r="A181" s="1121" t="s">
        <v>431</v>
      </c>
      <c r="B181" s="1122">
        <v>193</v>
      </c>
      <c r="C181" s="1123"/>
      <c r="D181"/>
      <c r="J181" s="3"/>
      <c r="K181"/>
    </row>
    <row r="182" spans="1:11" ht="14.5" customHeight="1">
      <c r="A182" s="1121" t="s">
        <v>432</v>
      </c>
      <c r="B182" s="1122">
        <v>194</v>
      </c>
      <c r="C182" s="1123"/>
      <c r="D182"/>
      <c r="J182" s="3"/>
      <c r="K182"/>
    </row>
    <row r="183" spans="1:11" ht="14.5" customHeight="1">
      <c r="A183" s="1121" t="s">
        <v>433</v>
      </c>
      <c r="B183" s="1122">
        <v>195</v>
      </c>
      <c r="C183" s="1123"/>
      <c r="D183"/>
      <c r="J183" s="3"/>
      <c r="K183"/>
    </row>
    <row r="184" spans="1:11" ht="14.5" customHeight="1">
      <c r="A184" s="1121" t="s">
        <v>434</v>
      </c>
      <c r="B184" s="1122">
        <v>196</v>
      </c>
      <c r="C184" s="1123"/>
      <c r="D184"/>
      <c r="J184" s="3"/>
      <c r="K184"/>
    </row>
    <row r="185" spans="1:11" ht="14.5" customHeight="1">
      <c r="A185" s="1121" t="s">
        <v>435</v>
      </c>
      <c r="B185" s="1122">
        <v>197</v>
      </c>
      <c r="C185" s="1123"/>
      <c r="D185"/>
      <c r="J185" s="3"/>
      <c r="K185"/>
    </row>
    <row r="186" spans="1:11" ht="14.5" customHeight="1">
      <c r="A186" s="1121" t="s">
        <v>436</v>
      </c>
      <c r="B186" s="1122">
        <v>199</v>
      </c>
      <c r="C186" s="1123"/>
      <c r="D186"/>
      <c r="J186" s="3"/>
      <c r="K186"/>
    </row>
    <row r="187" spans="1:11" ht="14.5" customHeight="1">
      <c r="A187" s="1121" t="s">
        <v>437</v>
      </c>
      <c r="B187" s="1122">
        <v>200</v>
      </c>
      <c r="C187" s="1123"/>
      <c r="D187"/>
      <c r="J187" s="3"/>
      <c r="K187"/>
    </row>
    <row r="188" spans="1:11" ht="14.5" customHeight="1">
      <c r="A188" s="1121" t="s">
        <v>438</v>
      </c>
      <c r="B188" s="1122">
        <v>201</v>
      </c>
      <c r="C188" s="1123"/>
      <c r="D188"/>
      <c r="J188" s="3"/>
      <c r="K188"/>
    </row>
    <row r="189" spans="1:11" ht="14.5" customHeight="1">
      <c r="A189" s="1121" t="s">
        <v>439</v>
      </c>
      <c r="B189" s="1122">
        <v>202</v>
      </c>
      <c r="C189" s="1123"/>
      <c r="D189"/>
      <c r="J189" s="3"/>
      <c r="K189"/>
    </row>
    <row r="190" spans="1:11" ht="14.5" customHeight="1">
      <c r="A190" s="1121" t="s">
        <v>440</v>
      </c>
      <c r="B190" s="1122">
        <v>203</v>
      </c>
      <c r="C190" s="1123"/>
      <c r="D190"/>
      <c r="J190" s="3"/>
      <c r="K190"/>
    </row>
    <row r="191" spans="1:11" ht="14.5" customHeight="1">
      <c r="A191" s="1121" t="s">
        <v>441</v>
      </c>
      <c r="B191" s="1122">
        <v>204</v>
      </c>
      <c r="C191" s="1123"/>
      <c r="D191"/>
      <c r="J191" s="3"/>
      <c r="K191"/>
    </row>
    <row r="192" spans="1:11" ht="14.5" customHeight="1">
      <c r="A192" s="1121" t="s">
        <v>442</v>
      </c>
      <c r="B192" s="1122">
        <v>205</v>
      </c>
      <c r="C192" s="1123"/>
      <c r="D192"/>
      <c r="J192" s="3"/>
      <c r="K192"/>
    </row>
    <row r="193" spans="1:11" ht="14.5" customHeight="1">
      <c r="A193" s="1121" t="s">
        <v>443</v>
      </c>
      <c r="B193" s="1122">
        <v>206</v>
      </c>
      <c r="C193" s="1123"/>
      <c r="D193"/>
      <c r="J193" s="3"/>
      <c r="K193"/>
    </row>
    <row r="194" spans="1:11" ht="14.5" customHeight="1">
      <c r="A194" s="1121" t="s">
        <v>444</v>
      </c>
      <c r="B194" s="1122">
        <v>207</v>
      </c>
      <c r="C194" s="1123"/>
      <c r="D194"/>
      <c r="J194" s="3"/>
      <c r="K194"/>
    </row>
    <row r="195" spans="1:11" ht="14.5" customHeight="1">
      <c r="A195" s="1121" t="s">
        <v>445</v>
      </c>
      <c r="B195" s="1122">
        <v>208</v>
      </c>
      <c r="C195" s="1123"/>
      <c r="D195"/>
      <c r="J195" s="3"/>
      <c r="K195"/>
    </row>
    <row r="196" spans="1:11" ht="14.5" customHeight="1">
      <c r="A196" s="1121" t="s">
        <v>446</v>
      </c>
      <c r="B196" s="1122">
        <v>210</v>
      </c>
      <c r="C196" s="1123"/>
      <c r="D196"/>
      <c r="J196" s="3"/>
      <c r="K196"/>
    </row>
    <row r="197" spans="1:11" ht="14.5" customHeight="1">
      <c r="A197" s="1121" t="s">
        <v>447</v>
      </c>
      <c r="B197" s="1122">
        <v>211</v>
      </c>
      <c r="C197" s="1123"/>
      <c r="D197"/>
      <c r="J197" s="3"/>
      <c r="K197"/>
    </row>
    <row r="198" spans="1:11" ht="14.5" customHeight="1">
      <c r="A198" s="1121" t="s">
        <v>448</v>
      </c>
      <c r="B198" s="1122">
        <v>212</v>
      </c>
      <c r="C198" s="1123"/>
      <c r="D198"/>
      <c r="J198" s="3"/>
      <c r="K198"/>
    </row>
    <row r="199" spans="1:11" ht="14.5" customHeight="1">
      <c r="A199" s="1121" t="s">
        <v>449</v>
      </c>
      <c r="B199" s="1122">
        <v>213</v>
      </c>
      <c r="C199" s="1123"/>
      <c r="D199"/>
      <c r="J199" s="3"/>
      <c r="K199"/>
    </row>
    <row r="200" spans="1:11" ht="14.5" customHeight="1">
      <c r="A200" s="1121" t="s">
        <v>450</v>
      </c>
      <c r="B200" s="1122">
        <v>214</v>
      </c>
      <c r="C200" s="1123"/>
      <c r="D200"/>
      <c r="J200" s="3"/>
      <c r="K200"/>
    </row>
    <row r="201" spans="1:11" ht="14.5" customHeight="1">
      <c r="A201" s="1121" t="s">
        <v>451</v>
      </c>
      <c r="B201" s="1122">
        <v>215</v>
      </c>
      <c r="C201" s="1123"/>
      <c r="D201"/>
      <c r="J201" s="3"/>
      <c r="K201"/>
    </row>
    <row r="202" spans="1:11" ht="14.5" customHeight="1">
      <c r="A202" s="1121" t="s">
        <v>452</v>
      </c>
      <c r="B202" s="1122">
        <v>216</v>
      </c>
      <c r="C202" s="1123"/>
      <c r="D202"/>
      <c r="J202" s="3"/>
      <c r="K202"/>
    </row>
    <row r="203" spans="1:11" ht="14.5" customHeight="1">
      <c r="A203" s="1121" t="s">
        <v>453</v>
      </c>
      <c r="B203" s="1122">
        <v>217</v>
      </c>
      <c r="C203" s="1123"/>
      <c r="D203"/>
      <c r="J203" s="3"/>
      <c r="K203"/>
    </row>
    <row r="204" spans="1:11" ht="14.5" customHeight="1">
      <c r="A204" s="1121" t="s">
        <v>243</v>
      </c>
      <c r="B204" s="1122">
        <v>218</v>
      </c>
      <c r="C204" s="1123"/>
      <c r="D204"/>
      <c r="J204" s="3"/>
      <c r="K204"/>
    </row>
    <row r="205" spans="1:11" ht="14.5" customHeight="1">
      <c r="A205" s="1121" t="s">
        <v>454</v>
      </c>
      <c r="B205" s="1122">
        <v>219</v>
      </c>
      <c r="C205" s="1123"/>
      <c r="D205"/>
      <c r="J205" s="3"/>
      <c r="K205"/>
    </row>
    <row r="206" spans="1:11" ht="14.5" customHeight="1">
      <c r="A206" s="1121" t="s">
        <v>455</v>
      </c>
      <c r="B206" s="1122">
        <v>220</v>
      </c>
      <c r="C206" s="1123"/>
      <c r="D206"/>
      <c r="J206" s="3"/>
      <c r="K206"/>
    </row>
    <row r="207" spans="1:11" ht="14.5" customHeight="1">
      <c r="A207" s="1121" t="s">
        <v>456</v>
      </c>
      <c r="B207" s="1122">
        <v>221</v>
      </c>
      <c r="C207" s="1123"/>
      <c r="D207"/>
      <c r="J207" s="3"/>
      <c r="K207"/>
    </row>
    <row r="208" spans="1:11" ht="14.5" customHeight="1">
      <c r="A208" s="1121" t="s">
        <v>457</v>
      </c>
      <c r="B208" s="1122">
        <v>222</v>
      </c>
      <c r="C208" s="1123"/>
      <c r="D208"/>
      <c r="J208" s="3"/>
      <c r="K208"/>
    </row>
    <row r="209" spans="1:11" ht="14.5" customHeight="1">
      <c r="A209" s="1121" t="s">
        <v>458</v>
      </c>
      <c r="B209" s="1122">
        <v>223</v>
      </c>
      <c r="C209" s="1123"/>
      <c r="D209"/>
      <c r="J209" s="3"/>
      <c r="K209"/>
    </row>
    <row r="210" spans="1:11" ht="14.5" customHeight="1">
      <c r="A210" s="1121" t="s">
        <v>459</v>
      </c>
      <c r="B210" s="1122">
        <v>224</v>
      </c>
      <c r="C210" s="1123"/>
      <c r="D210"/>
      <c r="J210" s="3"/>
      <c r="K210"/>
    </row>
    <row r="211" spans="1:11" ht="14.5" customHeight="1">
      <c r="A211" s="1121" t="s">
        <v>460</v>
      </c>
      <c r="B211" s="1122">
        <v>225</v>
      </c>
      <c r="C211" s="1123"/>
      <c r="D211"/>
      <c r="J211" s="3"/>
      <c r="K211"/>
    </row>
    <row r="212" spans="1:11">
      <c r="A212" s="1121" t="s">
        <v>461</v>
      </c>
      <c r="B212" s="1122">
        <v>226</v>
      </c>
      <c r="C212" s="1123"/>
      <c r="D212"/>
      <c r="J212" s="3"/>
      <c r="K212"/>
    </row>
    <row r="213" spans="1:11" ht="14.5" customHeight="1">
      <c r="A213" s="1121" t="s">
        <v>462</v>
      </c>
      <c r="B213" s="1122">
        <v>228</v>
      </c>
      <c r="C213" s="1123"/>
      <c r="D213"/>
      <c r="J213" s="3"/>
      <c r="K213"/>
    </row>
    <row r="214" spans="1:11" ht="14.5" customHeight="1">
      <c r="A214" s="1121" t="s">
        <v>463</v>
      </c>
      <c r="B214" s="1122">
        <v>229</v>
      </c>
      <c r="C214" s="1123"/>
      <c r="D214"/>
      <c r="J214" s="3"/>
      <c r="K214"/>
    </row>
    <row r="215" spans="1:11" ht="14.5" customHeight="1">
      <c r="A215" s="1121" t="s">
        <v>464</v>
      </c>
      <c r="B215" s="1122">
        <v>240</v>
      </c>
      <c r="C215" s="1123"/>
      <c r="D215"/>
      <c r="J215" s="3"/>
      <c r="K215"/>
    </row>
    <row r="216" spans="1:11" ht="14.5" customHeight="1">
      <c r="A216" s="1121" t="s">
        <v>140</v>
      </c>
      <c r="B216" s="1122">
        <v>241</v>
      </c>
      <c r="C216" s="1123"/>
      <c r="D216"/>
      <c r="J216" s="3"/>
      <c r="K216"/>
    </row>
    <row r="217" spans="1:11" ht="14.5" customHeight="1">
      <c r="A217" s="1121" t="s">
        <v>136</v>
      </c>
      <c r="B217" s="1122">
        <v>242</v>
      </c>
      <c r="C217" s="1123"/>
      <c r="D217"/>
      <c r="J217" s="3"/>
      <c r="K217"/>
    </row>
    <row r="218" spans="1:11" ht="14.5" customHeight="1">
      <c r="A218" s="1121" t="s">
        <v>465</v>
      </c>
      <c r="B218" s="1122">
        <v>243</v>
      </c>
      <c r="C218" s="1123"/>
      <c r="D218"/>
      <c r="J218" s="3"/>
      <c r="K218"/>
    </row>
    <row r="219" spans="1:11" ht="14.5" customHeight="1">
      <c r="A219" s="1121" t="s">
        <v>466</v>
      </c>
      <c r="B219" s="1122">
        <v>244</v>
      </c>
      <c r="C219" s="1123"/>
      <c r="D219"/>
      <c r="J219" s="3"/>
      <c r="K219"/>
    </row>
    <row r="220" spans="1:11" ht="14.5" customHeight="1">
      <c r="A220" s="1121" t="s">
        <v>467</v>
      </c>
      <c r="B220" s="1122">
        <v>245</v>
      </c>
      <c r="C220" s="1123"/>
      <c r="D220"/>
      <c r="J220" s="3"/>
      <c r="K220"/>
    </row>
    <row r="221" spans="1:11" ht="14.5" customHeight="1">
      <c r="A221" s="1121" t="s">
        <v>468</v>
      </c>
      <c r="B221" s="1122">
        <v>246</v>
      </c>
      <c r="C221" s="1123"/>
      <c r="D221"/>
      <c r="J221" s="3"/>
      <c r="K221"/>
    </row>
    <row r="222" spans="1:11" ht="14.5" customHeight="1">
      <c r="A222" s="1121" t="s">
        <v>469</v>
      </c>
      <c r="B222" s="1122">
        <v>247</v>
      </c>
      <c r="C222" s="1123"/>
      <c r="D222"/>
      <c r="J222" s="3"/>
      <c r="K222"/>
    </row>
    <row r="223" spans="1:11" ht="14.5" customHeight="1">
      <c r="A223" s="1121" t="s">
        <v>470</v>
      </c>
      <c r="B223" s="1122">
        <v>248</v>
      </c>
      <c r="C223" s="1123"/>
      <c r="D223"/>
      <c r="J223" s="3"/>
      <c r="K223"/>
    </row>
    <row r="224" spans="1:11" ht="14.5" customHeight="1">
      <c r="A224" s="1121" t="s">
        <v>471</v>
      </c>
      <c r="B224" s="1122">
        <v>249</v>
      </c>
      <c r="C224" s="1123"/>
      <c r="D224"/>
      <c r="J224" s="3"/>
      <c r="K224"/>
    </row>
    <row r="225" spans="1:11" ht="14.5" customHeight="1">
      <c r="A225" s="1121" t="s">
        <v>472</v>
      </c>
      <c r="B225" s="1122">
        <v>250</v>
      </c>
      <c r="C225" s="1123"/>
      <c r="D225"/>
      <c r="J225" s="3"/>
      <c r="K225"/>
    </row>
    <row r="226" spans="1:11" ht="14.5" customHeight="1">
      <c r="A226" s="1121" t="s">
        <v>473</v>
      </c>
      <c r="B226" s="1122">
        <v>256</v>
      </c>
      <c r="C226" s="1123"/>
      <c r="D226"/>
      <c r="J226" s="3"/>
      <c r="K226"/>
    </row>
    <row r="227" spans="1:11" ht="14.5" customHeight="1">
      <c r="A227" s="1121" t="s">
        <v>474</v>
      </c>
      <c r="B227" s="1122">
        <v>257</v>
      </c>
      <c r="C227" s="1123"/>
      <c r="D227"/>
      <c r="J227" s="3"/>
      <c r="K227"/>
    </row>
    <row r="228" spans="1:11" ht="14.5" customHeight="1">
      <c r="A228" s="1121" t="s">
        <v>475</v>
      </c>
      <c r="B228" s="1122">
        <v>258</v>
      </c>
      <c r="C228" s="1123"/>
      <c r="D228"/>
      <c r="J228" s="3"/>
      <c r="K228"/>
    </row>
    <row r="229" spans="1:11" ht="14.5" customHeight="1">
      <c r="A229" s="1121" t="s">
        <v>476</v>
      </c>
      <c r="B229" s="1122">
        <v>259</v>
      </c>
      <c r="C229" s="1123"/>
      <c r="D229"/>
      <c r="J229" s="3"/>
      <c r="K229"/>
    </row>
    <row r="230" spans="1:11" ht="14.5" customHeight="1">
      <c r="A230" s="1121" t="s">
        <v>477</v>
      </c>
      <c r="B230" s="1122">
        <v>260</v>
      </c>
      <c r="C230" s="1123"/>
      <c r="D230"/>
      <c r="J230" s="3"/>
      <c r="K230"/>
    </row>
    <row r="231" spans="1:11" ht="14.5" customHeight="1">
      <c r="A231" s="1121" t="s">
        <v>478</v>
      </c>
      <c r="B231" s="1122">
        <v>261</v>
      </c>
      <c r="C231" s="1123"/>
      <c r="D231"/>
      <c r="J231" s="3"/>
      <c r="K231"/>
    </row>
    <row r="232" spans="1:11" ht="14.5" customHeight="1">
      <c r="A232" s="1121" t="s">
        <v>479</v>
      </c>
      <c r="B232" s="1122">
        <v>262</v>
      </c>
      <c r="C232" s="1123"/>
      <c r="D232"/>
      <c r="J232" s="3"/>
      <c r="K232"/>
    </row>
    <row r="233" spans="1:11" ht="14.5" customHeight="1">
      <c r="A233" s="1121" t="s">
        <v>480</v>
      </c>
      <c r="B233" s="1122">
        <v>263</v>
      </c>
      <c r="C233" s="1123"/>
      <c r="D233"/>
      <c r="J233" s="3"/>
      <c r="K233"/>
    </row>
    <row r="234" spans="1:11" ht="14.5" customHeight="1">
      <c r="A234" s="1121" t="s">
        <v>481</v>
      </c>
      <c r="B234" s="1122">
        <v>264</v>
      </c>
      <c r="C234" s="1123"/>
      <c r="D234"/>
      <c r="J234" s="3"/>
      <c r="K234"/>
    </row>
    <row r="235" spans="1:11" ht="14.5" customHeight="1">
      <c r="A235" s="1121" t="s">
        <v>482</v>
      </c>
      <c r="B235" s="1122">
        <v>265</v>
      </c>
      <c r="C235" s="1123"/>
      <c r="D235"/>
      <c r="J235" s="3"/>
      <c r="K235"/>
    </row>
    <row r="236" spans="1:11" ht="14.5" customHeight="1">
      <c r="A236" s="1121" t="s">
        <v>483</v>
      </c>
      <c r="B236" s="1122">
        <v>266</v>
      </c>
      <c r="C236" s="1123"/>
      <c r="D236"/>
      <c r="J236" s="3"/>
      <c r="K236"/>
    </row>
    <row r="237" spans="1:11" ht="14.5" customHeight="1">
      <c r="A237" s="1121" t="s">
        <v>484</v>
      </c>
      <c r="B237" s="1122">
        <v>267</v>
      </c>
      <c r="C237" s="1123"/>
      <c r="D237"/>
      <c r="J237" s="3"/>
      <c r="K237"/>
    </row>
    <row r="238" spans="1:11" ht="14.5" customHeight="1">
      <c r="A238" s="1121" t="s">
        <v>485</v>
      </c>
      <c r="B238" s="1122">
        <v>268</v>
      </c>
      <c r="C238" s="1123"/>
      <c r="D238"/>
      <c r="J238" s="3"/>
      <c r="K238"/>
    </row>
    <row r="239" spans="1:11" ht="14.5" customHeight="1">
      <c r="A239" s="1121" t="s">
        <v>486</v>
      </c>
      <c r="B239" s="1122">
        <v>269</v>
      </c>
      <c r="C239" s="1123"/>
      <c r="D239"/>
      <c r="J239" s="3"/>
      <c r="K239"/>
    </row>
    <row r="240" spans="1:11" ht="14.5" customHeight="1">
      <c r="A240" s="1121" t="s">
        <v>487</v>
      </c>
      <c r="B240" s="1122">
        <v>270</v>
      </c>
      <c r="C240" s="1123"/>
      <c r="D240"/>
      <c r="J240" s="3"/>
      <c r="K240"/>
    </row>
    <row r="241" spans="1:11" ht="14.5" customHeight="1">
      <c r="A241" s="1121" t="s">
        <v>488</v>
      </c>
      <c r="B241" s="1122">
        <v>271</v>
      </c>
      <c r="C241" s="1123"/>
      <c r="D241"/>
      <c r="J241" s="3"/>
      <c r="K241"/>
    </row>
    <row r="242" spans="1:11" ht="14.5" customHeight="1">
      <c r="A242" s="1121" t="s">
        <v>489</v>
      </c>
      <c r="B242" s="1122">
        <v>272</v>
      </c>
      <c r="C242" s="1123"/>
      <c r="D242"/>
      <c r="J242" s="3"/>
      <c r="K242"/>
    </row>
    <row r="243" spans="1:11" ht="14.5" customHeight="1">
      <c r="A243" s="1121" t="s">
        <v>490</v>
      </c>
      <c r="B243" s="1122">
        <v>275</v>
      </c>
      <c r="C243" s="1123"/>
      <c r="D243"/>
      <c r="J243" s="3"/>
      <c r="K243"/>
    </row>
    <row r="244" spans="1:11" ht="14.5" customHeight="1">
      <c r="A244" s="1121" t="s">
        <v>491</v>
      </c>
      <c r="B244" s="1122">
        <v>277</v>
      </c>
      <c r="C244" s="1123"/>
      <c r="D244"/>
      <c r="J244" s="3"/>
      <c r="K244"/>
    </row>
    <row r="245" spans="1:11" ht="14.5" customHeight="1">
      <c r="A245" s="1121" t="s">
        <v>492</v>
      </c>
      <c r="B245" s="1122">
        <v>278</v>
      </c>
      <c r="C245" s="1123"/>
      <c r="D245"/>
      <c r="J245" s="3"/>
      <c r="K245"/>
    </row>
    <row r="246" spans="1:11" ht="14.5" customHeight="1">
      <c r="A246" s="1121" t="s">
        <v>493</v>
      </c>
      <c r="B246" s="1122">
        <v>280</v>
      </c>
      <c r="C246" s="1123"/>
      <c r="D246"/>
      <c r="J246" s="3"/>
      <c r="K246"/>
    </row>
    <row r="247" spans="1:11" ht="14.5" customHeight="1">
      <c r="A247" s="1121" t="s">
        <v>494</v>
      </c>
      <c r="B247" s="1122">
        <v>295</v>
      </c>
      <c r="C247" s="1123"/>
      <c r="D247"/>
      <c r="J247" s="3"/>
      <c r="K247"/>
    </row>
    <row r="248" spans="1:11" ht="14.5" customHeight="1">
      <c r="A248" s="1121" t="s">
        <v>495</v>
      </c>
      <c r="B248" s="1122">
        <v>296</v>
      </c>
      <c r="C248" s="1123"/>
      <c r="D248"/>
      <c r="J248" s="3"/>
      <c r="K248"/>
    </row>
    <row r="249" spans="1:11" ht="14.5" customHeight="1">
      <c r="A249" s="1121" t="s">
        <v>496</v>
      </c>
      <c r="B249" s="1122">
        <v>297</v>
      </c>
      <c r="C249" s="1123"/>
      <c r="D249"/>
      <c r="J249" s="3"/>
      <c r="K249"/>
    </row>
    <row r="250" spans="1:11" ht="14.5" customHeight="1">
      <c r="A250" s="1121" t="s">
        <v>497</v>
      </c>
      <c r="B250" s="1122">
        <v>298</v>
      </c>
      <c r="C250" s="1123"/>
      <c r="D250"/>
      <c r="J250" s="3"/>
      <c r="K250"/>
    </row>
    <row r="251" spans="1:11" ht="14.5" customHeight="1">
      <c r="A251" s="1121" t="s">
        <v>498</v>
      </c>
      <c r="B251" s="1122">
        <v>299</v>
      </c>
      <c r="C251" s="1123"/>
      <c r="D251"/>
      <c r="J251" s="3"/>
      <c r="K251"/>
    </row>
    <row r="252" spans="1:11" ht="14.5" customHeight="1">
      <c r="A252" s="1121" t="s">
        <v>499</v>
      </c>
      <c r="B252" s="1122">
        <v>301</v>
      </c>
      <c r="C252" s="1123"/>
      <c r="D252"/>
      <c r="J252" s="3"/>
      <c r="K252"/>
    </row>
    <row r="253" spans="1:11" ht="14.5" customHeight="1">
      <c r="A253" s="1121" t="s">
        <v>500</v>
      </c>
      <c r="B253" s="1122">
        <v>302</v>
      </c>
      <c r="C253" s="1123"/>
      <c r="D253"/>
      <c r="J253" s="3"/>
      <c r="K253"/>
    </row>
    <row r="254" spans="1:11" ht="14.5" customHeight="1">
      <c r="A254" s="1121" t="s">
        <v>501</v>
      </c>
      <c r="B254" s="1122">
        <v>303</v>
      </c>
      <c r="C254" s="1123"/>
      <c r="D254"/>
      <c r="J254" s="3"/>
      <c r="K254"/>
    </row>
    <row r="255" spans="1:11" ht="14.5" customHeight="1">
      <c r="A255" s="1121" t="s">
        <v>502</v>
      </c>
      <c r="B255" s="1122">
        <v>304</v>
      </c>
      <c r="C255" s="1123"/>
      <c r="D255"/>
      <c r="J255" s="3"/>
      <c r="K255"/>
    </row>
    <row r="256" spans="1:11" ht="14.5" customHeight="1">
      <c r="A256" s="1121" t="s">
        <v>503</v>
      </c>
      <c r="B256" s="1122">
        <v>305</v>
      </c>
      <c r="C256" s="1123"/>
      <c r="D256"/>
      <c r="J256" s="3"/>
      <c r="K256"/>
    </row>
    <row r="257" spans="1:11" ht="14.5" customHeight="1">
      <c r="A257" s="1121" t="s">
        <v>504</v>
      </c>
      <c r="B257" s="1122">
        <v>306</v>
      </c>
      <c r="C257" s="1123"/>
      <c r="D257"/>
      <c r="J257" s="3"/>
      <c r="K257"/>
    </row>
    <row r="258" spans="1:11" ht="14.5" customHeight="1">
      <c r="A258" s="1121" t="s">
        <v>505</v>
      </c>
      <c r="B258" s="1122">
        <v>307</v>
      </c>
      <c r="C258" s="1123"/>
      <c r="D258"/>
      <c r="J258" s="3"/>
      <c r="K258"/>
    </row>
    <row r="259" spans="1:11" ht="14.5" customHeight="1">
      <c r="A259" s="1121" t="s">
        <v>506</v>
      </c>
      <c r="B259" s="1122">
        <v>308</v>
      </c>
      <c r="C259" s="1123"/>
      <c r="D259"/>
      <c r="J259" s="3"/>
      <c r="K259"/>
    </row>
    <row r="260" spans="1:11" ht="14.5" customHeight="1">
      <c r="A260" s="1121" t="s">
        <v>507</v>
      </c>
      <c r="B260" s="1122">
        <v>309</v>
      </c>
      <c r="C260" s="1123"/>
      <c r="D260"/>
      <c r="J260" s="3"/>
      <c r="K260"/>
    </row>
    <row r="261" spans="1:11" ht="14.5" customHeight="1">
      <c r="A261" s="1121" t="s">
        <v>508</v>
      </c>
      <c r="B261" s="1122">
        <v>310</v>
      </c>
      <c r="C261" s="1123"/>
      <c r="D261"/>
      <c r="J261" s="3"/>
      <c r="K261"/>
    </row>
    <row r="262" spans="1:11" ht="14.5" customHeight="1">
      <c r="A262" s="1121" t="s">
        <v>509</v>
      </c>
      <c r="B262" s="1122">
        <v>311</v>
      </c>
      <c r="C262" s="1123"/>
      <c r="D262"/>
      <c r="J262" s="3"/>
      <c r="K262"/>
    </row>
    <row r="263" spans="1:11" ht="14.5" customHeight="1">
      <c r="A263" s="1121" t="s">
        <v>510</v>
      </c>
      <c r="B263" s="1122">
        <v>312</v>
      </c>
      <c r="C263" s="1123"/>
      <c r="D263"/>
      <c r="J263" s="3"/>
      <c r="K263"/>
    </row>
    <row r="264" spans="1:11" ht="14.5" customHeight="1">
      <c r="A264" s="1121" t="s">
        <v>511</v>
      </c>
      <c r="B264" s="1122">
        <v>313</v>
      </c>
      <c r="C264" s="1123"/>
      <c r="D264"/>
      <c r="J264" s="3"/>
      <c r="K264"/>
    </row>
    <row r="265" spans="1:11" ht="14.5" customHeight="1">
      <c r="A265" s="1121" t="s">
        <v>512</v>
      </c>
      <c r="B265" s="1122">
        <v>314</v>
      </c>
      <c r="C265" s="1123"/>
      <c r="D265"/>
      <c r="J265" s="3"/>
      <c r="K265"/>
    </row>
    <row r="266" spans="1:11">
      <c r="A266" s="1121" t="s">
        <v>513</v>
      </c>
      <c r="B266" s="1122">
        <v>315</v>
      </c>
      <c r="C266" s="1123"/>
      <c r="D266"/>
      <c r="J266" s="3"/>
      <c r="K266"/>
    </row>
    <row r="267" spans="1:11" ht="14.5" customHeight="1">
      <c r="A267" s="1121" t="s">
        <v>514</v>
      </c>
      <c r="B267" s="1122">
        <v>316</v>
      </c>
      <c r="C267" s="1123"/>
      <c r="D267"/>
      <c r="J267" s="3"/>
      <c r="K267"/>
    </row>
    <row r="268" spans="1:11" ht="14.5" customHeight="1">
      <c r="A268" s="1121" t="s">
        <v>515</v>
      </c>
      <c r="B268" s="1122">
        <v>317</v>
      </c>
      <c r="C268" s="1123"/>
      <c r="D268"/>
      <c r="J268" s="3"/>
      <c r="K268"/>
    </row>
    <row r="269" spans="1:11" ht="14.5" customHeight="1">
      <c r="A269" s="1121" t="s">
        <v>516</v>
      </c>
      <c r="B269" s="1122">
        <v>319</v>
      </c>
      <c r="C269" s="1123"/>
      <c r="D269"/>
      <c r="J269" s="3"/>
      <c r="K269"/>
    </row>
    <row r="270" spans="1:11" ht="14.5" customHeight="1">
      <c r="A270" s="1121" t="s">
        <v>517</v>
      </c>
      <c r="B270" s="1122">
        <v>320</v>
      </c>
      <c r="C270" s="1123"/>
      <c r="D270"/>
      <c r="J270" s="3"/>
      <c r="K270"/>
    </row>
    <row r="271" spans="1:11" ht="14.5" customHeight="1">
      <c r="A271" s="1121" t="s">
        <v>518</v>
      </c>
      <c r="B271" s="1122">
        <v>321</v>
      </c>
      <c r="C271" s="1123"/>
      <c r="D271"/>
      <c r="J271" s="3"/>
      <c r="K271"/>
    </row>
    <row r="272" spans="1:11" ht="14.5" customHeight="1">
      <c r="A272" s="1121" t="s">
        <v>519</v>
      </c>
      <c r="B272" s="1122">
        <v>322</v>
      </c>
      <c r="C272" s="1123"/>
      <c r="D272"/>
      <c r="J272" s="3"/>
      <c r="K272"/>
    </row>
    <row r="273" spans="1:11" ht="14.5" customHeight="1">
      <c r="A273" s="1121" t="s">
        <v>520</v>
      </c>
      <c r="B273" s="1122">
        <v>323</v>
      </c>
      <c r="C273" s="1123"/>
      <c r="D273"/>
      <c r="J273" s="3"/>
      <c r="K273"/>
    </row>
    <row r="274" spans="1:11" ht="14.5" customHeight="1">
      <c r="A274" s="1121" t="s">
        <v>521</v>
      </c>
      <c r="B274" s="1122">
        <v>324</v>
      </c>
      <c r="C274" s="1123"/>
      <c r="D274"/>
      <c r="J274" s="3"/>
      <c r="K274"/>
    </row>
    <row r="275" spans="1:11" ht="14.5" customHeight="1">
      <c r="A275" s="1121" t="s">
        <v>522</v>
      </c>
      <c r="B275" s="1122">
        <v>325</v>
      </c>
      <c r="C275" s="1123"/>
      <c r="D275"/>
      <c r="J275" s="3"/>
      <c r="K275"/>
    </row>
    <row r="276" spans="1:11" ht="14.5" customHeight="1">
      <c r="A276" s="1121" t="s">
        <v>523</v>
      </c>
      <c r="B276" s="1122">
        <v>326</v>
      </c>
      <c r="C276" s="1123"/>
      <c r="D276"/>
      <c r="J276" s="3"/>
      <c r="K276"/>
    </row>
    <row r="277" spans="1:11" ht="14.5" customHeight="1">
      <c r="A277" s="1121" t="s">
        <v>524</v>
      </c>
      <c r="B277" s="1122">
        <v>327</v>
      </c>
      <c r="C277" s="1123"/>
      <c r="D277"/>
      <c r="J277" s="3"/>
      <c r="K277"/>
    </row>
    <row r="278" spans="1:11" ht="14.5" customHeight="1">
      <c r="A278" s="1121" t="s">
        <v>525</v>
      </c>
      <c r="B278" s="1122">
        <v>328</v>
      </c>
      <c r="C278" s="1123"/>
      <c r="D278"/>
      <c r="J278" s="3"/>
      <c r="K278"/>
    </row>
    <row r="279" spans="1:11" ht="14.5" customHeight="1">
      <c r="A279" s="1121" t="s">
        <v>526</v>
      </c>
      <c r="B279" s="1122">
        <v>329</v>
      </c>
      <c r="C279" s="1123"/>
      <c r="D279"/>
      <c r="J279" s="3"/>
      <c r="K279"/>
    </row>
    <row r="280" spans="1:11" ht="14.5" customHeight="1">
      <c r="A280" s="1121" t="s">
        <v>527</v>
      </c>
      <c r="B280" s="1122">
        <v>330</v>
      </c>
      <c r="C280" s="1123"/>
      <c r="D280"/>
      <c r="J280" s="3"/>
      <c r="K280"/>
    </row>
    <row r="281" spans="1:11" ht="14.5" customHeight="1">
      <c r="A281" s="1121" t="s">
        <v>528</v>
      </c>
      <c r="B281" s="1122">
        <v>331</v>
      </c>
      <c r="C281" s="1123"/>
      <c r="D281"/>
      <c r="J281" s="3"/>
      <c r="K281"/>
    </row>
    <row r="282" spans="1:11" ht="14.5" customHeight="1">
      <c r="A282" s="1138" t="s">
        <v>529</v>
      </c>
      <c r="B282" s="1122">
        <v>332</v>
      </c>
      <c r="C282" s="1123"/>
      <c r="D282"/>
      <c r="J282" s="3"/>
      <c r="K282"/>
    </row>
    <row r="283" spans="1:11" ht="14.5" customHeight="1">
      <c r="A283" s="1121" t="s">
        <v>530</v>
      </c>
      <c r="B283" s="1122">
        <v>333</v>
      </c>
      <c r="C283" s="1123"/>
      <c r="D283"/>
      <c r="J283" s="3"/>
      <c r="K283"/>
    </row>
    <row r="284" spans="1:11" ht="14.5" customHeight="1">
      <c r="A284" s="1121" t="s">
        <v>531</v>
      </c>
      <c r="B284" s="1122">
        <v>334</v>
      </c>
      <c r="C284" s="1123"/>
      <c r="D284"/>
      <c r="J284" s="3"/>
      <c r="K284"/>
    </row>
    <row r="285" spans="1:11" ht="14.5" customHeight="1">
      <c r="A285" s="1121" t="s">
        <v>532</v>
      </c>
      <c r="B285" s="1122">
        <v>335</v>
      </c>
      <c r="C285" s="1123"/>
      <c r="D285"/>
      <c r="J285" s="3"/>
      <c r="K285"/>
    </row>
    <row r="286" spans="1:11" ht="14.5" customHeight="1">
      <c r="A286" s="1121" t="s">
        <v>533</v>
      </c>
      <c r="B286" s="1122">
        <v>336</v>
      </c>
      <c r="C286" s="1123"/>
      <c r="D286"/>
      <c r="J286" s="3"/>
      <c r="K286"/>
    </row>
    <row r="287" spans="1:11" ht="14.5" customHeight="1">
      <c r="A287" s="1121" t="s">
        <v>534</v>
      </c>
      <c r="B287" s="1122">
        <v>338</v>
      </c>
      <c r="C287" s="1123"/>
      <c r="D287"/>
      <c r="J287" s="3"/>
      <c r="K287"/>
    </row>
    <row r="288" spans="1:11" ht="14.5" customHeight="1">
      <c r="A288" s="1121" t="s">
        <v>535</v>
      </c>
      <c r="B288" s="1122">
        <v>340</v>
      </c>
      <c r="C288" s="1123"/>
      <c r="D288"/>
      <c r="J288" s="3"/>
      <c r="K288"/>
    </row>
    <row r="289" spans="1:11" ht="14.5" customHeight="1">
      <c r="A289" s="1121" t="s">
        <v>536</v>
      </c>
      <c r="B289" s="1122">
        <v>343</v>
      </c>
      <c r="C289" s="1123" t="s">
        <v>537</v>
      </c>
      <c r="D289"/>
      <c r="J289" s="3"/>
      <c r="K289"/>
    </row>
    <row r="290" spans="1:11" ht="14.5" customHeight="1">
      <c r="A290" s="1121" t="s">
        <v>538</v>
      </c>
      <c r="B290" s="1122">
        <v>344</v>
      </c>
      <c r="C290" s="1123"/>
      <c r="D290"/>
      <c r="J290" s="3"/>
      <c r="K290"/>
    </row>
    <row r="291" spans="1:11" ht="14.5" customHeight="1">
      <c r="A291" s="1121" t="s">
        <v>539</v>
      </c>
      <c r="B291" s="1122">
        <v>345</v>
      </c>
      <c r="C291" s="1123" t="s">
        <v>540</v>
      </c>
      <c r="D291"/>
      <c r="J291" s="3"/>
      <c r="K291"/>
    </row>
    <row r="292" spans="1:11">
      <c r="A292" s="1121" t="s">
        <v>541</v>
      </c>
      <c r="B292" s="1122">
        <v>346</v>
      </c>
      <c r="C292" s="1123"/>
      <c r="D292"/>
      <c r="J292" s="3"/>
      <c r="K292"/>
    </row>
    <row r="293" spans="1:11" ht="14.5" customHeight="1">
      <c r="A293" s="1121" t="s">
        <v>542</v>
      </c>
      <c r="B293" s="1122">
        <v>347</v>
      </c>
      <c r="C293" s="1123"/>
      <c r="D293"/>
      <c r="J293" s="3"/>
      <c r="K293"/>
    </row>
    <row r="294" spans="1:11" ht="14.5" customHeight="1">
      <c r="A294" s="1121" t="s">
        <v>543</v>
      </c>
      <c r="B294" s="1122">
        <v>348</v>
      </c>
      <c r="C294" s="1123"/>
      <c r="D294"/>
      <c r="J294" s="3"/>
      <c r="K294"/>
    </row>
    <row r="295" spans="1:11" ht="14.5" customHeight="1">
      <c r="A295" s="1121" t="s">
        <v>544</v>
      </c>
      <c r="B295" s="1122">
        <v>349</v>
      </c>
      <c r="C295" s="1123"/>
      <c r="D295"/>
      <c r="J295" s="3"/>
      <c r="K295"/>
    </row>
    <row r="296" spans="1:11" ht="14.5" customHeight="1">
      <c r="A296" s="1121" t="s">
        <v>545</v>
      </c>
      <c r="B296" s="1122">
        <v>350</v>
      </c>
      <c r="C296" s="1123"/>
      <c r="D296"/>
      <c r="J296" s="3"/>
      <c r="K296"/>
    </row>
    <row r="297" spans="1:11" ht="14.5" customHeight="1">
      <c r="A297" s="1121" t="s">
        <v>546</v>
      </c>
      <c r="B297" s="1122">
        <v>351</v>
      </c>
      <c r="C297" s="1123"/>
      <c r="D297"/>
      <c r="J297" s="3"/>
      <c r="K297"/>
    </row>
    <row r="298" spans="1:11" ht="14.5" customHeight="1">
      <c r="A298" s="1121" t="s">
        <v>547</v>
      </c>
      <c r="B298" s="1122">
        <v>352</v>
      </c>
      <c r="C298" s="1123"/>
      <c r="D298"/>
      <c r="J298" s="3"/>
      <c r="K298"/>
    </row>
    <row r="299" spans="1:11" ht="14.5" customHeight="1">
      <c r="A299" s="1121" t="s">
        <v>548</v>
      </c>
      <c r="B299" s="1122">
        <v>353</v>
      </c>
      <c r="C299" s="1123"/>
      <c r="D299"/>
      <c r="J299" s="3"/>
      <c r="K299"/>
    </row>
    <row r="300" spans="1:11" ht="14.5" customHeight="1">
      <c r="A300" s="1121" t="s">
        <v>549</v>
      </c>
      <c r="B300" s="1122">
        <v>354</v>
      </c>
      <c r="C300" s="1123"/>
      <c r="D300"/>
      <c r="J300" s="3"/>
      <c r="K300"/>
    </row>
    <row r="301" spans="1:11">
      <c r="A301" s="1121" t="s">
        <v>550</v>
      </c>
      <c r="B301" s="1122">
        <v>355</v>
      </c>
      <c r="C301" s="1123"/>
      <c r="D301"/>
      <c r="J301" s="3"/>
      <c r="K301"/>
    </row>
    <row r="302" spans="1:11" ht="14.5" customHeight="1">
      <c r="A302" s="1121" t="s">
        <v>551</v>
      </c>
      <c r="B302" s="1122">
        <v>356</v>
      </c>
      <c r="C302" s="1123"/>
      <c r="D302"/>
      <c r="J302" s="3"/>
      <c r="K302"/>
    </row>
    <row r="303" spans="1:11" ht="14.5" customHeight="1">
      <c r="A303" s="1121" t="s">
        <v>552</v>
      </c>
      <c r="B303" s="1122">
        <v>357</v>
      </c>
      <c r="C303" s="1123"/>
      <c r="D303"/>
      <c r="J303" s="3"/>
      <c r="K303"/>
    </row>
    <row r="304" spans="1:11" ht="14.5" customHeight="1">
      <c r="A304" s="1121" t="s">
        <v>553</v>
      </c>
      <c r="B304" s="1122">
        <v>358</v>
      </c>
      <c r="C304" s="1123"/>
      <c r="D304"/>
      <c r="J304" s="3"/>
      <c r="K304"/>
    </row>
    <row r="305" spans="1:11" ht="14.5" customHeight="1">
      <c r="A305" s="1121" t="s">
        <v>554</v>
      </c>
      <c r="B305" s="1122">
        <v>359</v>
      </c>
      <c r="C305" s="1123"/>
      <c r="D305"/>
      <c r="J305" s="3"/>
      <c r="K305"/>
    </row>
    <row r="306" spans="1:11" ht="14.5" customHeight="1">
      <c r="A306" s="1121" t="s">
        <v>555</v>
      </c>
      <c r="B306" s="1122">
        <v>360</v>
      </c>
      <c r="C306" s="1123"/>
      <c r="D306"/>
      <c r="J306" s="3"/>
      <c r="K306"/>
    </row>
    <row r="307" spans="1:11" ht="14.5" customHeight="1">
      <c r="A307" s="1121" t="s">
        <v>556</v>
      </c>
      <c r="B307" s="1122">
        <v>361</v>
      </c>
      <c r="C307" s="1123"/>
      <c r="D307"/>
      <c r="J307" s="3"/>
      <c r="K307"/>
    </row>
    <row r="308" spans="1:11" ht="14.5" customHeight="1">
      <c r="A308" s="1121" t="s">
        <v>557</v>
      </c>
      <c r="B308" s="1122">
        <v>362</v>
      </c>
      <c r="C308" s="1123"/>
      <c r="D308"/>
      <c r="J308" s="3"/>
      <c r="K308"/>
    </row>
    <row r="309" spans="1:11" ht="14.5" customHeight="1">
      <c r="A309" s="1121" t="s">
        <v>558</v>
      </c>
      <c r="B309" s="1122">
        <v>363</v>
      </c>
      <c r="C309" s="1123"/>
      <c r="D309"/>
      <c r="J309" s="3"/>
      <c r="K309"/>
    </row>
    <row r="310" spans="1:11" ht="14.5" customHeight="1">
      <c r="A310" s="1121" t="s">
        <v>559</v>
      </c>
      <c r="B310" s="1122">
        <v>364</v>
      </c>
      <c r="C310" s="1123"/>
      <c r="D310"/>
      <c r="J310" s="3"/>
      <c r="K310"/>
    </row>
    <row r="311" spans="1:11" ht="14.5" customHeight="1">
      <c r="A311" s="1121" t="s">
        <v>560</v>
      </c>
      <c r="B311" s="1122">
        <v>365</v>
      </c>
      <c r="C311" s="1123"/>
      <c r="D311"/>
      <c r="J311" s="3"/>
      <c r="K311"/>
    </row>
    <row r="312" spans="1:11" ht="14.5" customHeight="1">
      <c r="A312" s="1121" t="s">
        <v>561</v>
      </c>
      <c r="B312" s="1122">
        <v>366</v>
      </c>
      <c r="C312" s="1123"/>
      <c r="D312"/>
      <c r="J312" s="3"/>
      <c r="K312"/>
    </row>
    <row r="313" spans="1:11" ht="14.5" customHeight="1">
      <c r="A313" s="1121" t="s">
        <v>562</v>
      </c>
      <c r="B313" s="1122">
        <v>367</v>
      </c>
      <c r="C313" s="1123"/>
      <c r="D313"/>
      <c r="J313" s="3"/>
      <c r="K313"/>
    </row>
    <row r="314" spans="1:11" ht="14.5" customHeight="1">
      <c r="A314" s="1121" t="s">
        <v>563</v>
      </c>
      <c r="B314" s="1122">
        <v>368</v>
      </c>
      <c r="C314" s="1123"/>
      <c r="D314"/>
      <c r="J314" s="3"/>
      <c r="K314"/>
    </row>
    <row r="315" spans="1:11" ht="14.5" customHeight="1">
      <c r="A315" s="1121" t="s">
        <v>564</v>
      </c>
      <c r="B315" s="1122">
        <v>369</v>
      </c>
      <c r="C315" s="1123"/>
      <c r="D315"/>
      <c r="J315" s="3"/>
      <c r="K315"/>
    </row>
    <row r="316" spans="1:11" ht="14.5" customHeight="1">
      <c r="A316" s="1121" t="s">
        <v>565</v>
      </c>
      <c r="B316" s="1122">
        <v>370</v>
      </c>
      <c r="C316" s="1123"/>
      <c r="D316"/>
      <c r="J316" s="3"/>
      <c r="K316"/>
    </row>
    <row r="317" spans="1:11" ht="14.5" customHeight="1">
      <c r="A317" s="1121" t="s">
        <v>566</v>
      </c>
      <c r="B317" s="1122">
        <v>371</v>
      </c>
      <c r="C317" s="1123"/>
      <c r="D317"/>
      <c r="J317" s="3"/>
      <c r="K317"/>
    </row>
    <row r="318" spans="1:11" ht="14.5" customHeight="1">
      <c r="A318" s="1121" t="s">
        <v>567</v>
      </c>
      <c r="B318" s="1122">
        <v>372</v>
      </c>
      <c r="C318" s="1123"/>
      <c r="D318"/>
      <c r="J318" s="3"/>
      <c r="K318"/>
    </row>
    <row r="319" spans="1:11" ht="14.5" customHeight="1">
      <c r="A319" s="1121" t="s">
        <v>568</v>
      </c>
      <c r="B319" s="1122">
        <v>373</v>
      </c>
      <c r="C319" s="1123"/>
      <c r="D319"/>
      <c r="J319" s="3"/>
      <c r="K319"/>
    </row>
    <row r="320" spans="1:11" ht="14.5" customHeight="1">
      <c r="A320" s="1121" t="s">
        <v>569</v>
      </c>
      <c r="B320" s="1122">
        <v>374</v>
      </c>
      <c r="C320" s="1123"/>
      <c r="D320"/>
      <c r="J320" s="3"/>
      <c r="K320"/>
    </row>
    <row r="321" spans="1:11" ht="14.5" customHeight="1">
      <c r="A321" s="1121" t="s">
        <v>570</v>
      </c>
      <c r="B321" s="1122">
        <v>375</v>
      </c>
      <c r="C321" s="1123"/>
      <c r="D321"/>
      <c r="J321" s="3"/>
      <c r="K321"/>
    </row>
    <row r="322" spans="1:11" ht="14.5" customHeight="1">
      <c r="A322" s="1121" t="s">
        <v>571</v>
      </c>
      <c r="B322" s="1122">
        <v>376</v>
      </c>
      <c r="C322" s="1123"/>
      <c r="D322"/>
      <c r="J322" s="3"/>
      <c r="K322"/>
    </row>
    <row r="323" spans="1:11" ht="14.5" customHeight="1">
      <c r="A323" s="1121" t="s">
        <v>572</v>
      </c>
      <c r="B323" s="1122">
        <v>377</v>
      </c>
      <c r="C323" s="1123"/>
      <c r="D323"/>
      <c r="J323" s="3"/>
      <c r="K323"/>
    </row>
    <row r="324" spans="1:11" ht="14.5" customHeight="1">
      <c r="A324" s="1121" t="s">
        <v>573</v>
      </c>
      <c r="B324" s="1122">
        <v>378</v>
      </c>
      <c r="C324" s="1123"/>
      <c r="D324"/>
      <c r="J324" s="3"/>
      <c r="K324"/>
    </row>
    <row r="325" spans="1:11" ht="14.5" customHeight="1">
      <c r="A325" s="1121" t="s">
        <v>574</v>
      </c>
      <c r="B325" s="1122">
        <v>379</v>
      </c>
      <c r="C325" s="1123"/>
      <c r="D325"/>
      <c r="J325" s="3"/>
      <c r="K325"/>
    </row>
    <row r="326" spans="1:11" ht="14.5" customHeight="1">
      <c r="A326" s="1121" t="s">
        <v>575</v>
      </c>
      <c r="B326" s="1122">
        <v>381</v>
      </c>
      <c r="C326" s="1123"/>
      <c r="D326"/>
      <c r="J326" s="3"/>
      <c r="K326"/>
    </row>
    <row r="327" spans="1:11" ht="14.5" customHeight="1">
      <c r="A327" s="1121" t="s">
        <v>576</v>
      </c>
      <c r="B327" s="1122">
        <v>382</v>
      </c>
      <c r="C327" s="1123"/>
      <c r="D327"/>
      <c r="J327" s="3"/>
      <c r="K327"/>
    </row>
    <row r="328" spans="1:11" ht="14.5" customHeight="1">
      <c r="A328" s="1121" t="s">
        <v>577</v>
      </c>
      <c r="B328" s="1122">
        <v>383</v>
      </c>
      <c r="C328" s="1123" t="s">
        <v>578</v>
      </c>
      <c r="D328"/>
      <c r="J328" s="3"/>
      <c r="K328"/>
    </row>
    <row r="329" spans="1:11" ht="14.5" customHeight="1">
      <c r="A329" s="1121" t="s">
        <v>579</v>
      </c>
      <c r="B329" s="1122">
        <v>384</v>
      </c>
      <c r="C329" s="1123"/>
      <c r="D329"/>
      <c r="J329" s="3"/>
      <c r="K329"/>
    </row>
    <row r="330" spans="1:11" ht="14.5" customHeight="1">
      <c r="A330" s="1121" t="s">
        <v>580</v>
      </c>
      <c r="B330" s="1122">
        <v>385</v>
      </c>
      <c r="C330" s="1123"/>
      <c r="D330"/>
      <c r="J330" s="3"/>
      <c r="K330"/>
    </row>
    <row r="331" spans="1:11" ht="14.5" customHeight="1">
      <c r="A331" s="1121" t="s">
        <v>581</v>
      </c>
      <c r="B331" s="1122">
        <v>386</v>
      </c>
      <c r="C331" s="1123"/>
      <c r="D331"/>
      <c r="J331" s="3"/>
      <c r="K331"/>
    </row>
    <row r="332" spans="1:11" ht="14.5" customHeight="1">
      <c r="A332" s="1121" t="s">
        <v>582</v>
      </c>
      <c r="B332" s="1122">
        <v>387</v>
      </c>
      <c r="C332" s="1123"/>
      <c r="D332"/>
      <c r="J332" s="3"/>
      <c r="K332"/>
    </row>
    <row r="333" spans="1:11" ht="14.5" customHeight="1">
      <c r="A333" s="1121" t="s">
        <v>583</v>
      </c>
      <c r="B333" s="1122">
        <v>388</v>
      </c>
      <c r="C333" s="1123"/>
      <c r="D333"/>
      <c r="J333" s="3"/>
      <c r="K333"/>
    </row>
    <row r="334" spans="1:11" ht="14.5" customHeight="1">
      <c r="A334" s="1121" t="s">
        <v>584</v>
      </c>
      <c r="B334" s="1122">
        <v>390</v>
      </c>
      <c r="C334" s="1123"/>
      <c r="D334"/>
      <c r="J334" s="3"/>
      <c r="K334"/>
    </row>
    <row r="335" spans="1:11" ht="14.5" customHeight="1">
      <c r="A335" s="1121" t="s">
        <v>585</v>
      </c>
      <c r="B335" s="1122">
        <v>391</v>
      </c>
      <c r="C335" s="1123"/>
      <c r="D335"/>
      <c r="J335" s="3"/>
      <c r="K335"/>
    </row>
    <row r="336" spans="1:11" ht="14.5" customHeight="1">
      <c r="A336" s="1121" t="s">
        <v>586</v>
      </c>
      <c r="B336" s="1122">
        <v>392</v>
      </c>
      <c r="C336" s="1123"/>
      <c r="D336"/>
      <c r="J336" s="3"/>
      <c r="K336"/>
    </row>
    <row r="337" spans="1:11" ht="14.5" customHeight="1">
      <c r="A337" s="1121" t="s">
        <v>587</v>
      </c>
      <c r="B337" s="1122">
        <v>393</v>
      </c>
      <c r="C337" s="1123"/>
      <c r="D337"/>
      <c r="J337" s="3"/>
      <c r="K337"/>
    </row>
    <row r="338" spans="1:11" ht="14.5" customHeight="1">
      <c r="A338" s="1121" t="s">
        <v>588</v>
      </c>
      <c r="B338" s="1122">
        <v>394</v>
      </c>
      <c r="C338" s="1123"/>
      <c r="D338"/>
      <c r="J338" s="3"/>
      <c r="K338"/>
    </row>
    <row r="339" spans="1:11">
      <c r="A339" s="1134" t="s">
        <v>589</v>
      </c>
      <c r="B339" s="1139">
        <v>395</v>
      </c>
      <c r="C339" s="1136"/>
      <c r="D339"/>
      <c r="J339" s="3"/>
      <c r="K339"/>
    </row>
    <row r="340" spans="1:11" ht="14.5" customHeight="1">
      <c r="A340" s="343" t="s">
        <v>590</v>
      </c>
      <c r="B340" s="343">
        <v>396</v>
      </c>
      <c r="C340" s="15"/>
      <c r="D340"/>
      <c r="J340" s="3"/>
      <c r="K340"/>
    </row>
    <row r="341" spans="1:11" ht="14.5" customHeight="1">
      <c r="A341" s="343" t="s">
        <v>591</v>
      </c>
      <c r="B341" s="343">
        <v>397</v>
      </c>
      <c r="C341" s="15"/>
      <c r="D341"/>
      <c r="J341" s="3"/>
      <c r="K341"/>
    </row>
    <row r="342" spans="1:11" ht="14.5" customHeight="1">
      <c r="A342" s="735" t="s">
        <v>592</v>
      </c>
      <c r="B342" s="736">
        <v>398</v>
      </c>
      <c r="C342" s="737"/>
      <c r="D342"/>
      <c r="J342" s="3"/>
      <c r="K342"/>
    </row>
    <row r="343" spans="1:11" ht="14.5" customHeight="1">
      <c r="A343" s="1121" t="s">
        <v>593</v>
      </c>
      <c r="B343" s="1122">
        <v>399</v>
      </c>
      <c r="C343" s="1123"/>
      <c r="D343"/>
      <c r="J343" s="3"/>
      <c r="K343"/>
    </row>
    <row r="344" spans="1:11" ht="14.5" customHeight="1">
      <c r="A344" s="1121" t="s">
        <v>594</v>
      </c>
      <c r="B344" s="1122">
        <v>419</v>
      </c>
      <c r="C344" s="1123"/>
      <c r="D344"/>
      <c r="J344" s="3"/>
      <c r="K344"/>
    </row>
    <row r="345" spans="1:11" ht="14.5" customHeight="1">
      <c r="A345" s="1121" t="s">
        <v>595</v>
      </c>
      <c r="B345" s="1122">
        <v>420</v>
      </c>
      <c r="C345" s="1123"/>
      <c r="D345"/>
      <c r="J345" s="3"/>
      <c r="K345"/>
    </row>
    <row r="346" spans="1:11">
      <c r="A346" s="1121" t="s">
        <v>596</v>
      </c>
      <c r="B346" s="1122">
        <v>421</v>
      </c>
      <c r="C346" s="1123"/>
      <c r="D346"/>
      <c r="J346" s="3"/>
      <c r="K346"/>
    </row>
    <row r="347" spans="1:11" ht="14.5" customHeight="1">
      <c r="A347" s="1121" t="s">
        <v>597</v>
      </c>
      <c r="B347" s="1122">
        <v>422</v>
      </c>
      <c r="C347" s="1123"/>
      <c r="D347"/>
      <c r="J347" s="3"/>
      <c r="K347"/>
    </row>
    <row r="348" spans="1:11" ht="14.5" customHeight="1">
      <c r="A348" s="1121" t="s">
        <v>598</v>
      </c>
      <c r="B348" s="1122">
        <v>423</v>
      </c>
      <c r="C348" s="1123"/>
      <c r="D348"/>
      <c r="J348" s="3"/>
      <c r="K348"/>
    </row>
    <row r="349" spans="1:11" ht="14.5" customHeight="1">
      <c r="A349" s="1121" t="s">
        <v>599</v>
      </c>
      <c r="B349" s="1122">
        <v>424</v>
      </c>
      <c r="C349" s="1123"/>
      <c r="D349"/>
      <c r="J349" s="3"/>
      <c r="K349"/>
    </row>
    <row r="350" spans="1:11" ht="14.5" customHeight="1">
      <c r="A350" s="1121" t="s">
        <v>600</v>
      </c>
      <c r="B350" s="1122">
        <v>425</v>
      </c>
      <c r="C350" s="1123"/>
      <c r="D350"/>
      <c r="J350" s="3"/>
      <c r="K350"/>
    </row>
    <row r="351" spans="1:11" ht="14.5" customHeight="1">
      <c r="A351" s="1121" t="s">
        <v>601</v>
      </c>
      <c r="B351" s="1122">
        <v>426</v>
      </c>
      <c r="C351" s="1123"/>
      <c r="D351"/>
      <c r="J351" s="3"/>
      <c r="K351"/>
    </row>
    <row r="352" spans="1:11" ht="14.5" customHeight="1">
      <c r="A352" s="1121" t="s">
        <v>602</v>
      </c>
      <c r="B352" s="1122">
        <v>427</v>
      </c>
      <c r="C352" s="1123"/>
      <c r="D352"/>
      <c r="J352" s="3"/>
      <c r="K352"/>
    </row>
    <row r="353" spans="1:11" ht="14.5" customHeight="1">
      <c r="A353" s="1121" t="s">
        <v>603</v>
      </c>
      <c r="B353" s="1122">
        <v>441</v>
      </c>
      <c r="C353" s="1123"/>
      <c r="D353"/>
      <c r="J353" s="3"/>
      <c r="K353"/>
    </row>
    <row r="354" spans="1:11" ht="14.5" customHeight="1">
      <c r="A354" s="1121" t="s">
        <v>604</v>
      </c>
      <c r="B354" s="1122">
        <v>442</v>
      </c>
      <c r="C354" s="1123"/>
      <c r="D354"/>
      <c r="J354" s="3"/>
      <c r="K354"/>
    </row>
    <row r="355" spans="1:11" ht="14.5" customHeight="1">
      <c r="A355" s="1121" t="s">
        <v>605</v>
      </c>
      <c r="B355" s="1122">
        <v>443</v>
      </c>
      <c r="C355" s="1123"/>
      <c r="D355"/>
      <c r="J355" s="3"/>
      <c r="K355"/>
    </row>
    <row r="356" spans="1:11">
      <c r="A356" s="1121" t="s">
        <v>606</v>
      </c>
      <c r="B356" s="1122">
        <v>444</v>
      </c>
      <c r="C356" s="1123"/>
      <c r="D356"/>
      <c r="J356" s="3"/>
      <c r="K356"/>
    </row>
    <row r="357" spans="1:11">
      <c r="A357" s="1121" t="s">
        <v>607</v>
      </c>
      <c r="B357" s="1122">
        <v>445</v>
      </c>
      <c r="C357" s="1123"/>
      <c r="D357"/>
      <c r="J357" s="3"/>
      <c r="K357"/>
    </row>
    <row r="358" spans="1:11">
      <c r="A358" s="1121" t="s">
        <v>608</v>
      </c>
      <c r="B358" s="1122">
        <v>446</v>
      </c>
      <c r="C358" s="1123"/>
      <c r="D358"/>
      <c r="J358" s="3"/>
      <c r="K358"/>
    </row>
    <row r="359" spans="1:11">
      <c r="A359" s="1121" t="s">
        <v>609</v>
      </c>
      <c r="B359" s="1122">
        <v>447</v>
      </c>
      <c r="C359" s="1123"/>
      <c r="D359"/>
      <c r="J359" s="3"/>
      <c r="K359"/>
    </row>
    <row r="360" spans="1:11">
      <c r="A360" s="1121" t="s">
        <v>610</v>
      </c>
      <c r="B360" s="1122">
        <v>448</v>
      </c>
      <c r="C360" s="1123"/>
      <c r="D360"/>
      <c r="J360" s="3"/>
      <c r="K360"/>
    </row>
    <row r="361" spans="1:11">
      <c r="A361" s="1121" t="s">
        <v>611</v>
      </c>
      <c r="B361" s="1122">
        <v>449</v>
      </c>
      <c r="C361" s="1123"/>
      <c r="J361" s="3"/>
      <c r="K361"/>
    </row>
    <row r="362" spans="1:11">
      <c r="A362" s="1121" t="s">
        <v>612</v>
      </c>
      <c r="B362" s="1122">
        <v>450</v>
      </c>
      <c r="C362" s="1123"/>
      <c r="D362"/>
      <c r="J362" s="3"/>
      <c r="K362"/>
    </row>
    <row r="363" spans="1:11">
      <c r="A363" s="1121" t="s">
        <v>613</v>
      </c>
      <c r="B363" s="1122">
        <v>451</v>
      </c>
      <c r="C363" s="1123"/>
      <c r="D363"/>
      <c r="J363" s="3"/>
      <c r="K363"/>
    </row>
    <row r="364" spans="1:11">
      <c r="A364" s="1121" t="s">
        <v>614</v>
      </c>
      <c r="B364" s="1122">
        <v>452</v>
      </c>
      <c r="C364" s="1123"/>
      <c r="D364"/>
      <c r="J364" s="3"/>
      <c r="K364"/>
    </row>
    <row r="365" spans="1:11">
      <c r="A365" s="1121" t="s">
        <v>615</v>
      </c>
      <c r="B365" s="1122">
        <v>453</v>
      </c>
      <c r="C365" s="1123"/>
      <c r="D365"/>
      <c r="J365" s="3"/>
      <c r="K365"/>
    </row>
    <row r="366" spans="1:11">
      <c r="A366" s="1121" t="s">
        <v>616</v>
      </c>
      <c r="B366" s="1122">
        <v>460</v>
      </c>
      <c r="C366" s="1123"/>
      <c r="D366"/>
      <c r="J366" s="3"/>
      <c r="K366"/>
    </row>
    <row r="367" spans="1:11">
      <c r="A367" s="1121" t="s">
        <v>617</v>
      </c>
      <c r="B367" s="1122">
        <v>461</v>
      </c>
      <c r="C367" s="1123"/>
      <c r="D367"/>
      <c r="J367" s="3"/>
      <c r="K367"/>
    </row>
    <row r="368" spans="1:11">
      <c r="A368" s="1121" t="s">
        <v>618</v>
      </c>
      <c r="B368" s="1122">
        <v>462</v>
      </c>
      <c r="C368" s="1123"/>
      <c r="D368"/>
      <c r="J368" s="3"/>
      <c r="K368"/>
    </row>
    <row r="369" spans="1:11">
      <c r="A369" s="1121" t="s">
        <v>619</v>
      </c>
      <c r="B369" s="1122">
        <v>463</v>
      </c>
      <c r="C369" s="1123"/>
      <c r="D369"/>
      <c r="J369" s="3"/>
      <c r="K369"/>
    </row>
    <row r="370" spans="1:11">
      <c r="A370" s="1121" t="s">
        <v>620</v>
      </c>
      <c r="B370" s="1122">
        <v>464</v>
      </c>
      <c r="C370" s="1123"/>
      <c r="D370"/>
      <c r="J370" s="3"/>
      <c r="K370"/>
    </row>
    <row r="371" spans="1:11">
      <c r="A371" s="1121" t="s">
        <v>327</v>
      </c>
      <c r="B371" s="1122">
        <v>465</v>
      </c>
      <c r="C371" s="1123"/>
      <c r="D371"/>
      <c r="J371" s="3"/>
      <c r="K371"/>
    </row>
    <row r="372" spans="1:11">
      <c r="A372" s="1121" t="s">
        <v>333</v>
      </c>
      <c r="B372" s="1122">
        <v>466</v>
      </c>
      <c r="C372" s="1123"/>
      <c r="D372"/>
      <c r="J372" s="3"/>
      <c r="K372"/>
    </row>
    <row r="373" spans="1:11">
      <c r="A373" s="1121" t="s">
        <v>331</v>
      </c>
      <c r="B373" s="1122">
        <v>467</v>
      </c>
      <c r="C373" s="1123"/>
      <c r="D373"/>
      <c r="J373" s="3"/>
      <c r="K373"/>
    </row>
    <row r="374" spans="1:11">
      <c r="A374" s="1121" t="s">
        <v>329</v>
      </c>
      <c r="B374" s="1122">
        <v>468</v>
      </c>
      <c r="C374" s="1123"/>
      <c r="D374"/>
      <c r="J374" s="3"/>
      <c r="K374"/>
    </row>
    <row r="375" spans="1:11">
      <c r="A375" s="1121" t="s">
        <v>621</v>
      </c>
      <c r="B375" s="1122">
        <v>470</v>
      </c>
      <c r="C375" s="1123"/>
      <c r="D375"/>
      <c r="J375" s="3"/>
      <c r="K375"/>
    </row>
    <row r="376" spans="1:11">
      <c r="A376" s="1121" t="s">
        <v>622</v>
      </c>
      <c r="B376" s="1122">
        <v>473</v>
      </c>
      <c r="C376" s="1123"/>
      <c r="D376"/>
      <c r="J376" s="3"/>
      <c r="K376"/>
    </row>
    <row r="377" spans="1:11">
      <c r="A377" s="1121" t="s">
        <v>623</v>
      </c>
      <c r="B377" s="1122">
        <v>474</v>
      </c>
      <c r="C377" s="1123"/>
      <c r="D377"/>
      <c r="J377" s="3"/>
      <c r="K377"/>
    </row>
    <row r="378" spans="1:11">
      <c r="A378" s="1121" t="s">
        <v>624</v>
      </c>
      <c r="B378" s="1122">
        <v>475</v>
      </c>
      <c r="C378" s="1123"/>
      <c r="D378"/>
      <c r="J378" s="3"/>
      <c r="K378"/>
    </row>
    <row r="379" spans="1:11">
      <c r="A379" s="1121" t="s">
        <v>625</v>
      </c>
      <c r="B379" s="1122">
        <v>476</v>
      </c>
      <c r="C379" s="1123"/>
      <c r="D379"/>
      <c r="J379" s="3"/>
      <c r="K379"/>
    </row>
    <row r="380" spans="1:11">
      <c r="A380" s="1121" t="s">
        <v>626</v>
      </c>
      <c r="B380" s="1122">
        <v>477</v>
      </c>
      <c r="C380" s="1123"/>
      <c r="D380"/>
      <c r="J380" s="3"/>
      <c r="K380"/>
    </row>
    <row r="381" spans="1:11">
      <c r="A381" s="1121" t="s">
        <v>627</v>
      </c>
      <c r="B381" s="1122">
        <v>478</v>
      </c>
      <c r="C381" s="1123"/>
      <c r="D381"/>
      <c r="J381" s="3"/>
      <c r="K381"/>
    </row>
    <row r="382" spans="1:11">
      <c r="A382" s="1121" t="s">
        <v>628</v>
      </c>
      <c r="B382" s="1122">
        <v>479</v>
      </c>
      <c r="C382" s="1123"/>
      <c r="D382"/>
      <c r="J382" s="3"/>
      <c r="K382"/>
    </row>
    <row r="383" spans="1:11">
      <c r="A383" s="1121" t="s">
        <v>629</v>
      </c>
      <c r="B383" s="1122">
        <v>480</v>
      </c>
      <c r="C383" s="1123"/>
      <c r="D383"/>
      <c r="J383" s="3"/>
      <c r="K383"/>
    </row>
    <row r="384" spans="1:11">
      <c r="A384" s="1121" t="s">
        <v>630</v>
      </c>
      <c r="B384" s="1122">
        <v>481</v>
      </c>
      <c r="C384" s="1123"/>
      <c r="D384"/>
      <c r="J384" s="3"/>
      <c r="K384"/>
    </row>
    <row r="385" spans="1:11">
      <c r="A385" s="1121" t="s">
        <v>269</v>
      </c>
      <c r="B385" s="1122">
        <v>482</v>
      </c>
      <c r="C385" s="1123"/>
      <c r="D385"/>
      <c r="J385" s="3"/>
      <c r="K385"/>
    </row>
    <row r="386" spans="1:11">
      <c r="A386" s="1121" t="s">
        <v>631</v>
      </c>
      <c r="B386" s="1122">
        <v>483</v>
      </c>
      <c r="C386" s="1123"/>
      <c r="D386"/>
      <c r="J386" s="3"/>
      <c r="K386"/>
    </row>
    <row r="387" spans="1:11">
      <c r="A387" s="1121" t="s">
        <v>632</v>
      </c>
      <c r="B387" s="1122">
        <v>484</v>
      </c>
      <c r="C387" s="1123"/>
      <c r="D387"/>
      <c r="J387" s="3"/>
      <c r="K387"/>
    </row>
    <row r="388" spans="1:11">
      <c r="A388" s="1121" t="s">
        <v>633</v>
      </c>
      <c r="B388" s="1122">
        <v>485</v>
      </c>
      <c r="C388" s="1123"/>
      <c r="D388"/>
      <c r="J388" s="3"/>
      <c r="K388"/>
    </row>
    <row r="389" spans="1:11">
      <c r="A389" s="1121" t="s">
        <v>634</v>
      </c>
      <c r="B389" s="1122">
        <v>486</v>
      </c>
      <c r="C389" s="1123"/>
      <c r="D389"/>
      <c r="J389" s="3"/>
      <c r="K389"/>
    </row>
    <row r="390" spans="1:11">
      <c r="A390" s="1121" t="s">
        <v>635</v>
      </c>
      <c r="B390" s="1122">
        <v>487</v>
      </c>
      <c r="C390" s="1123"/>
    </row>
    <row r="391" spans="1:11">
      <c r="A391" s="1121" t="s">
        <v>636</v>
      </c>
      <c r="B391" s="1122">
        <v>488</v>
      </c>
      <c r="C391" s="1123"/>
    </row>
    <row r="392" spans="1:11">
      <c r="A392" s="1121" t="s">
        <v>637</v>
      </c>
      <c r="B392" s="1122">
        <v>489</v>
      </c>
      <c r="C392" s="1123"/>
    </row>
    <row r="393" spans="1:11">
      <c r="A393" s="1121" t="s">
        <v>638</v>
      </c>
      <c r="B393" s="1122">
        <v>563</v>
      </c>
      <c r="C393" s="1123"/>
    </row>
    <row r="394" spans="1:11">
      <c r="A394" s="1121" t="s">
        <v>639</v>
      </c>
      <c r="B394" s="1122">
        <v>660</v>
      </c>
      <c r="C394" s="1123"/>
    </row>
    <row r="395" spans="1:11">
      <c r="A395" s="1121" t="s">
        <v>640</v>
      </c>
      <c r="B395" s="1122">
        <v>662</v>
      </c>
      <c r="C395" s="1123"/>
    </row>
    <row r="396" spans="1:11">
      <c r="A396" s="1121" t="s">
        <v>641</v>
      </c>
      <c r="B396" s="1122">
        <v>715</v>
      </c>
      <c r="C396" s="1123"/>
    </row>
    <row r="397" spans="1:11">
      <c r="A397" s="1121" t="s">
        <v>642</v>
      </c>
      <c r="B397" s="1122">
        <v>900</v>
      </c>
      <c r="C397" s="1123"/>
    </row>
    <row r="398" spans="1:11">
      <c r="A398" s="1121" t="s">
        <v>643</v>
      </c>
      <c r="B398" s="1122">
        <v>901</v>
      </c>
      <c r="C398" s="1123"/>
    </row>
    <row r="399" spans="1:11">
      <c r="A399" s="1140" t="s">
        <v>162</v>
      </c>
      <c r="B399" s="1141">
        <v>65535</v>
      </c>
      <c r="C399" s="1136" t="s">
        <v>163</v>
      </c>
    </row>
  </sheetData>
  <conditionalFormatting sqref="B4">
    <cfRule type="duplicateValues" dxfId="759" priority="1"/>
  </conditionalFormatting>
  <hyperlinks>
    <hyperlink ref="G1" location="AVI_Traffic_Signs!A1" display="AVI_Traffic_Signs" xr:uid="{B07E2E8C-C337-4E1D-8A26-DDBAD8F55903}"/>
    <hyperlink ref="H1" location="AVI_Road_Markings!A1" display="AVI_Road_Markings" xr:uid="{5D13F989-B327-47BD-B99A-E20CE2DFDB74}"/>
  </hyperlinks>
  <pageMargins left="0.7" right="0.7" top="0.75" bottom="0.75" header="0.3" footer="0.3"/>
  <pageSetup paperSize="9" orientation="portrait" r:id="rId1"/>
  <headerFooter>
    <oddFooter>&amp;C_x000D_&amp;1#&amp;"Calibri"&amp;11&amp;KFF0000 Internal</oddFooter>
  </headerFooter>
  <tableParts count="3">
    <tablePart r:id="rId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95C5C-810D-4B89-A58D-AE316F2CE114}">
  <sheetPr codeName="Sheet49"/>
  <dimension ref="A1:E35"/>
  <sheetViews>
    <sheetView workbookViewId="0">
      <pane ySplit="1" topLeftCell="A31" activePane="bottomLeft" state="frozen"/>
      <selection sqref="A1:AS1"/>
      <selection pane="bottomLeft" activeCell="B35" sqref="B35"/>
    </sheetView>
  </sheetViews>
  <sheetFormatPr defaultColWidth="9.15625" defaultRowHeight="14.4"/>
  <cols>
    <col min="1" max="1" width="11" style="1014" bestFit="1" customWidth="1"/>
    <col min="2" max="2" width="10.26171875" style="40" bestFit="1" customWidth="1"/>
    <col min="3" max="3" width="73.15625" bestFit="1" customWidth="1"/>
    <col min="4" max="4" width="17.578125" bestFit="1" customWidth="1"/>
    <col min="5" max="5" width="9.68359375" bestFit="1" customWidth="1"/>
  </cols>
  <sheetData>
    <row r="1" spans="1:5">
      <c r="A1" s="1017" t="s">
        <v>644</v>
      </c>
      <c r="B1" s="660" t="s">
        <v>645</v>
      </c>
      <c r="C1" s="643" t="s">
        <v>646</v>
      </c>
      <c r="D1" s="643" t="s">
        <v>647</v>
      </c>
      <c r="E1" s="644" t="s">
        <v>648</v>
      </c>
    </row>
    <row r="2" spans="1:5">
      <c r="A2" s="1010">
        <v>1</v>
      </c>
      <c r="B2" s="51"/>
      <c r="C2" s="5" t="s">
        <v>649</v>
      </c>
      <c r="D2" s="5" t="s">
        <v>650</v>
      </c>
      <c r="E2" s="5" t="s">
        <v>651</v>
      </c>
    </row>
    <row r="3" spans="1:5" ht="43.2">
      <c r="A3" s="1010" t="s">
        <v>652</v>
      </c>
      <c r="B3" s="51">
        <v>44711</v>
      </c>
      <c r="C3" s="576" t="s">
        <v>653</v>
      </c>
      <c r="D3" s="5" t="s">
        <v>654</v>
      </c>
      <c r="E3" s="5" t="s">
        <v>655</v>
      </c>
    </row>
    <row r="4" spans="1:5">
      <c r="A4" s="1010" t="s">
        <v>656</v>
      </c>
      <c r="B4" s="51">
        <v>44711</v>
      </c>
      <c r="C4" s="5" t="s">
        <v>657</v>
      </c>
      <c r="D4" s="5" t="s">
        <v>658</v>
      </c>
      <c r="E4" s="5" t="s">
        <v>655</v>
      </c>
    </row>
    <row r="5" spans="1:5">
      <c r="A5" s="1010" t="s">
        <v>659</v>
      </c>
      <c r="B5" s="51">
        <v>44711</v>
      </c>
      <c r="C5" s="5"/>
      <c r="D5" s="5" t="s">
        <v>658</v>
      </c>
      <c r="E5" s="5" t="s">
        <v>651</v>
      </c>
    </row>
    <row r="6" spans="1:5">
      <c r="A6" s="1010" t="s">
        <v>659</v>
      </c>
      <c r="B6" s="51">
        <v>44719</v>
      </c>
      <c r="C6" s="5" t="s">
        <v>660</v>
      </c>
      <c r="D6" s="5" t="s">
        <v>654</v>
      </c>
      <c r="E6" s="5" t="s">
        <v>661</v>
      </c>
    </row>
    <row r="7" spans="1:5">
      <c r="A7" s="1010">
        <v>2</v>
      </c>
      <c r="B7" s="51">
        <v>44741</v>
      </c>
      <c r="C7" s="5" t="s">
        <v>662</v>
      </c>
      <c r="D7" s="5" t="s">
        <v>654</v>
      </c>
      <c r="E7" s="5" t="s">
        <v>655</v>
      </c>
    </row>
    <row r="8" spans="1:5">
      <c r="A8" s="1010" t="s">
        <v>663</v>
      </c>
      <c r="B8" s="51">
        <v>44742</v>
      </c>
      <c r="C8" s="577" t="s">
        <v>664</v>
      </c>
      <c r="D8" s="5" t="s">
        <v>658</v>
      </c>
      <c r="E8" s="5" t="s">
        <v>655</v>
      </c>
    </row>
    <row r="9" spans="1:5">
      <c r="A9" s="1010" t="s">
        <v>663</v>
      </c>
      <c r="B9" s="51">
        <v>44742</v>
      </c>
      <c r="C9" s="5" t="s">
        <v>665</v>
      </c>
      <c r="D9" s="5" t="s">
        <v>654</v>
      </c>
      <c r="E9" s="5" t="s">
        <v>655</v>
      </c>
    </row>
    <row r="10" spans="1:5">
      <c r="A10" s="1010" t="s">
        <v>666</v>
      </c>
      <c r="B10" s="51">
        <v>44742</v>
      </c>
      <c r="C10" s="5"/>
      <c r="D10" s="5" t="s">
        <v>658</v>
      </c>
      <c r="E10" s="5" t="s">
        <v>651</v>
      </c>
    </row>
    <row r="11" spans="1:5">
      <c r="A11" s="1013" t="s">
        <v>666</v>
      </c>
      <c r="B11" s="578">
        <v>44742</v>
      </c>
      <c r="C11" s="579" t="s">
        <v>667</v>
      </c>
      <c r="D11" s="580" t="s">
        <v>654</v>
      </c>
      <c r="E11" s="581" t="s">
        <v>661</v>
      </c>
    </row>
    <row r="12" spans="1:5" ht="86.4">
      <c r="A12" s="1010" t="s">
        <v>668</v>
      </c>
      <c r="B12" s="51">
        <v>44804</v>
      </c>
      <c r="C12" s="576" t="s">
        <v>669</v>
      </c>
      <c r="D12" s="5" t="s">
        <v>658</v>
      </c>
      <c r="E12" s="5" t="s">
        <v>655</v>
      </c>
    </row>
    <row r="13" spans="1:5" ht="56.25" hidden="1" customHeight="1">
      <c r="A13" s="1010">
        <v>3.2</v>
      </c>
      <c r="B13" s="51">
        <v>44805</v>
      </c>
      <c r="C13" s="582" t="s">
        <v>670</v>
      </c>
      <c r="D13" s="5" t="s">
        <v>658</v>
      </c>
      <c r="E13" s="5" t="s">
        <v>655</v>
      </c>
    </row>
    <row r="14" spans="1:5" ht="408.75" customHeight="1">
      <c r="A14" s="1010" t="s">
        <v>671</v>
      </c>
      <c r="B14" s="51">
        <v>44889</v>
      </c>
      <c r="C14" s="689" t="s">
        <v>672</v>
      </c>
      <c r="D14" s="5" t="s">
        <v>654</v>
      </c>
      <c r="E14" s="5" t="s">
        <v>655</v>
      </c>
    </row>
    <row r="15" spans="1:5" ht="144">
      <c r="A15" s="1010" t="s">
        <v>673</v>
      </c>
      <c r="B15" s="51">
        <v>44893</v>
      </c>
      <c r="C15" s="576" t="s">
        <v>674</v>
      </c>
      <c r="D15" s="5" t="s">
        <v>654</v>
      </c>
      <c r="E15" s="5" t="s">
        <v>655</v>
      </c>
    </row>
    <row r="16" spans="1:5">
      <c r="A16" s="1010" t="s">
        <v>673</v>
      </c>
      <c r="B16" s="51">
        <v>44903</v>
      </c>
      <c r="C16" s="5" t="s">
        <v>675</v>
      </c>
      <c r="D16" s="5" t="s">
        <v>676</v>
      </c>
      <c r="E16" s="5" t="s">
        <v>655</v>
      </c>
    </row>
    <row r="17" spans="1:5">
      <c r="A17" s="1010" t="s">
        <v>673</v>
      </c>
      <c r="B17" s="51">
        <v>44936</v>
      </c>
      <c r="C17" s="5" t="s">
        <v>677</v>
      </c>
      <c r="D17" s="5" t="s">
        <v>678</v>
      </c>
      <c r="E17" s="5" t="s">
        <v>655</v>
      </c>
    </row>
    <row r="18" spans="1:5">
      <c r="A18" s="1010" t="s">
        <v>673</v>
      </c>
      <c r="B18" s="51">
        <v>44950</v>
      </c>
      <c r="C18" s="5" t="s">
        <v>679</v>
      </c>
      <c r="D18" s="5" t="s">
        <v>658</v>
      </c>
      <c r="E18" s="5" t="s">
        <v>655</v>
      </c>
    </row>
    <row r="19" spans="1:5" ht="28.8">
      <c r="A19" s="1010" t="s">
        <v>680</v>
      </c>
      <c r="B19" s="51">
        <v>44957</v>
      </c>
      <c r="C19" s="576" t="s">
        <v>681</v>
      </c>
      <c r="D19" s="5" t="s">
        <v>658</v>
      </c>
      <c r="E19" s="5" t="s">
        <v>655</v>
      </c>
    </row>
    <row r="20" spans="1:5">
      <c r="A20" s="1010" t="s">
        <v>680</v>
      </c>
      <c r="B20" s="51">
        <v>44957</v>
      </c>
      <c r="C20" s="5" t="s">
        <v>682</v>
      </c>
      <c r="D20" s="5" t="s">
        <v>683</v>
      </c>
      <c r="E20" s="5" t="s">
        <v>655</v>
      </c>
    </row>
    <row r="21" spans="1:5">
      <c r="A21" s="1010" t="s">
        <v>680</v>
      </c>
      <c r="B21" s="51">
        <v>44957</v>
      </c>
      <c r="C21" s="5" t="s">
        <v>684</v>
      </c>
      <c r="D21" s="5" t="s">
        <v>685</v>
      </c>
      <c r="E21" s="5" t="s">
        <v>655</v>
      </c>
    </row>
    <row r="22" spans="1:5">
      <c r="A22" s="1010" t="s">
        <v>680</v>
      </c>
      <c r="B22" s="51">
        <v>44957</v>
      </c>
      <c r="C22" s="5" t="s">
        <v>665</v>
      </c>
      <c r="D22" s="5" t="s">
        <v>676</v>
      </c>
      <c r="E22" s="5" t="s">
        <v>655</v>
      </c>
    </row>
    <row r="23" spans="1:5">
      <c r="A23" s="1010" t="s">
        <v>686</v>
      </c>
      <c r="B23" s="51">
        <v>44957</v>
      </c>
      <c r="C23" s="5" t="s">
        <v>651</v>
      </c>
      <c r="D23" s="5" t="s">
        <v>685</v>
      </c>
      <c r="E23" s="5" t="s">
        <v>651</v>
      </c>
    </row>
    <row r="24" spans="1:5">
      <c r="A24" s="1010" t="s">
        <v>686</v>
      </c>
      <c r="B24" s="51">
        <v>44957</v>
      </c>
      <c r="C24" s="5" t="s">
        <v>687</v>
      </c>
      <c r="D24" s="5" t="s">
        <v>676</v>
      </c>
      <c r="E24" s="5" t="s">
        <v>661</v>
      </c>
    </row>
    <row r="25" spans="1:5" ht="135.75" customHeight="1">
      <c r="A25" s="1010" t="s">
        <v>688</v>
      </c>
      <c r="B25" s="51">
        <v>44967</v>
      </c>
      <c r="C25" s="576" t="s">
        <v>689</v>
      </c>
      <c r="D25" s="5" t="s">
        <v>685</v>
      </c>
      <c r="E25" s="5" t="s">
        <v>655</v>
      </c>
    </row>
    <row r="26" spans="1:5">
      <c r="A26" s="1010" t="s">
        <v>688</v>
      </c>
      <c r="B26" s="51">
        <v>44967</v>
      </c>
      <c r="C26" s="5" t="s">
        <v>682</v>
      </c>
      <c r="D26" s="5" t="s">
        <v>658</v>
      </c>
      <c r="E26" s="5" t="s">
        <v>655</v>
      </c>
    </row>
    <row r="27" spans="1:5">
      <c r="A27" s="1010" t="s">
        <v>690</v>
      </c>
      <c r="B27" s="51">
        <v>44967</v>
      </c>
      <c r="C27" s="5" t="s">
        <v>651</v>
      </c>
      <c r="D27" s="5" t="s">
        <v>685</v>
      </c>
      <c r="E27" s="5" t="s">
        <v>651</v>
      </c>
    </row>
    <row r="28" spans="1:5">
      <c r="A28" s="1010" t="s">
        <v>690</v>
      </c>
      <c r="B28" s="51">
        <v>44970</v>
      </c>
      <c r="C28" s="5" t="s">
        <v>691</v>
      </c>
      <c r="D28" s="5" t="s">
        <v>676</v>
      </c>
      <c r="E28" s="5" t="s">
        <v>661</v>
      </c>
    </row>
    <row r="29" spans="1:5">
      <c r="A29" s="1010" t="s">
        <v>690</v>
      </c>
      <c r="B29" s="191">
        <v>44998</v>
      </c>
      <c r="C29" s="5" t="s">
        <v>692</v>
      </c>
      <c r="D29" s="5" t="s">
        <v>678</v>
      </c>
      <c r="E29" s="5" t="s">
        <v>661</v>
      </c>
    </row>
    <row r="30" spans="1:5" ht="72">
      <c r="A30" s="1010" t="s">
        <v>693</v>
      </c>
      <c r="B30" s="51">
        <v>45068</v>
      </c>
      <c r="C30" s="576" t="s">
        <v>694</v>
      </c>
      <c r="D30" s="5" t="s">
        <v>685</v>
      </c>
      <c r="E30" s="5" t="s">
        <v>695</v>
      </c>
    </row>
    <row r="31" spans="1:5">
      <c r="A31" s="1010" t="s">
        <v>693</v>
      </c>
      <c r="B31" s="51">
        <v>45075</v>
      </c>
      <c r="C31" s="5" t="s">
        <v>696</v>
      </c>
      <c r="D31" s="5" t="s">
        <v>697</v>
      </c>
      <c r="E31" s="5" t="s">
        <v>655</v>
      </c>
    </row>
    <row r="32" spans="1:5">
      <c r="A32" s="1010" t="s">
        <v>698</v>
      </c>
      <c r="B32" s="51">
        <v>45077</v>
      </c>
      <c r="C32" s="5" t="s">
        <v>651</v>
      </c>
      <c r="D32" s="5" t="s">
        <v>685</v>
      </c>
      <c r="E32" s="5" t="s">
        <v>651</v>
      </c>
    </row>
    <row r="33" spans="1:5">
      <c r="A33" s="1010" t="s">
        <v>698</v>
      </c>
      <c r="B33" s="191">
        <v>45078</v>
      </c>
      <c r="C33" s="5" t="s">
        <v>699</v>
      </c>
      <c r="D33" s="5" t="s">
        <v>678</v>
      </c>
      <c r="E33" s="5" t="s">
        <v>661</v>
      </c>
    </row>
    <row r="34" spans="1:5">
      <c r="A34" s="1012" t="s">
        <v>698</v>
      </c>
      <c r="B34" s="1065">
        <v>45097</v>
      </c>
      <c r="C34" s="5" t="s">
        <v>700</v>
      </c>
      <c r="D34" s="5" t="s">
        <v>678</v>
      </c>
      <c r="E34" s="5" t="s">
        <v>661</v>
      </c>
    </row>
    <row r="35" spans="1:5">
      <c r="A35" s="1012" t="s">
        <v>698</v>
      </c>
      <c r="B35" s="1065">
        <v>45205</v>
      </c>
      <c r="C35" s="1063" t="s">
        <v>701</v>
      </c>
      <c r="D35" s="1063" t="s">
        <v>678</v>
      </c>
      <c r="E35" s="1064" t="s">
        <v>661</v>
      </c>
    </row>
  </sheetData>
  <pageMargins left="0.7" right="0.7" top="0.75" bottom="0.75" header="0.3" footer="0.3"/>
  <headerFooter>
    <oddFooter>&amp;C_x000D_&amp;1#&amp;"Calibri"&amp;11&amp;KFF0000 Internal</oddFooter>
  </headerFooter>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F2CC4-0C1E-4C45-944C-616BD1CBA568}">
  <sheetPr codeName="Sheet73"/>
  <dimension ref="A1:L31"/>
  <sheetViews>
    <sheetView zoomScale="90" zoomScaleNormal="90" workbookViewId="0">
      <pane ySplit="3" topLeftCell="A4" activePane="bottomLeft" state="frozen"/>
      <selection activeCell="J3" sqref="J3"/>
      <selection pane="bottomLeft"/>
    </sheetView>
  </sheetViews>
  <sheetFormatPr defaultColWidth="41.578125" defaultRowHeight="14.4"/>
  <cols>
    <col min="1" max="1" width="50" style="6" bestFit="1" customWidth="1"/>
    <col min="2" max="2" width="25.26171875" style="6" customWidth="1"/>
    <col min="3" max="3" width="7.41796875" style="6" bestFit="1" customWidth="1"/>
    <col min="4" max="4" width="7" style="6" bestFit="1" customWidth="1"/>
    <col min="5" max="5" width="7.68359375" style="6" customWidth="1"/>
    <col min="6" max="6" width="34.83984375" style="6" customWidth="1"/>
    <col min="7" max="7" width="8.83984375" style="6" customWidth="1"/>
    <col min="8" max="8" width="6.83984375" style="6" customWidth="1"/>
    <col min="9" max="9" width="28.68359375" style="6" customWidth="1"/>
    <col min="10" max="10" width="18.68359375" style="6" customWidth="1"/>
    <col min="11" max="11" width="27.68359375" style="6" bestFit="1" customWidth="1"/>
    <col min="12" max="12" width="31.41796875" style="6" bestFit="1" customWidth="1"/>
    <col min="13" max="16384" width="41.578125" style="2"/>
  </cols>
  <sheetData>
    <row r="1" spans="1:12" ht="33" customHeight="1">
      <c r="A1" s="1142" t="s">
        <v>104</v>
      </c>
      <c r="B1" s="1142" t="s">
        <v>82</v>
      </c>
      <c r="C1" s="1505" t="s">
        <v>106</v>
      </c>
      <c r="D1" s="1506"/>
      <c r="E1" s="1143" t="s">
        <v>686</v>
      </c>
      <c r="F1" s="1142" t="s">
        <v>702</v>
      </c>
      <c r="G1" s="1144">
        <v>2248</v>
      </c>
      <c r="H1" s="1142"/>
      <c r="I1" s="1142"/>
      <c r="J1" s="1088" t="s">
        <v>69</v>
      </c>
      <c r="K1" s="1088" t="s">
        <v>703</v>
      </c>
      <c r="L1" s="1088" t="s">
        <v>704</v>
      </c>
    </row>
    <row r="2" spans="1:12" ht="45.75" customHeight="1">
      <c r="A2" s="1507" t="s">
        <v>705</v>
      </c>
      <c r="B2" s="1508"/>
      <c r="C2" s="1509" t="s">
        <v>706</v>
      </c>
      <c r="D2" s="1510"/>
      <c r="E2" s="1510"/>
      <c r="F2" s="1510"/>
      <c r="G2" s="1510"/>
      <c r="H2" s="1510"/>
      <c r="I2" s="1511"/>
      <c r="J2" s="1104" t="s">
        <v>707</v>
      </c>
      <c r="K2" s="1077" t="s">
        <v>708</v>
      </c>
      <c r="L2" s="1075"/>
    </row>
    <row r="3" spans="1:12">
      <c r="A3" s="951" t="s">
        <v>709</v>
      </c>
      <c r="B3" s="951" t="s">
        <v>710</v>
      </c>
      <c r="C3" s="951" t="s">
        <v>711</v>
      </c>
      <c r="D3" s="951" t="s">
        <v>712</v>
      </c>
      <c r="E3" s="951" t="s">
        <v>713</v>
      </c>
      <c r="F3" s="951" t="s">
        <v>714</v>
      </c>
      <c r="G3" s="952" t="s">
        <v>715</v>
      </c>
      <c r="H3" s="951" t="s">
        <v>716</v>
      </c>
      <c r="I3" s="951" t="s">
        <v>717</v>
      </c>
      <c r="J3" s="845" t="s">
        <v>718</v>
      </c>
      <c r="K3" s="1145" t="s">
        <v>719</v>
      </c>
      <c r="L3" s="1146" t="s">
        <v>720</v>
      </c>
    </row>
    <row r="4" spans="1:12" ht="25.8">
      <c r="A4" s="152" t="s">
        <v>721</v>
      </c>
      <c r="B4" s="152" t="s">
        <v>722</v>
      </c>
      <c r="C4" s="82" t="s">
        <v>48</v>
      </c>
      <c r="D4" s="82" t="s">
        <v>48</v>
      </c>
      <c r="E4" s="82" t="s">
        <v>48</v>
      </c>
      <c r="F4" s="82" t="s">
        <v>48</v>
      </c>
      <c r="G4" s="82" t="s">
        <v>48</v>
      </c>
      <c r="H4" s="26">
        <v>216</v>
      </c>
      <c r="I4" s="82" t="s">
        <v>723</v>
      </c>
      <c r="J4" s="82" t="s">
        <v>724</v>
      </c>
      <c r="K4" s="82">
        <v>1</v>
      </c>
      <c r="L4" s="949" t="s">
        <v>725</v>
      </c>
    </row>
    <row r="5" spans="1:12" ht="58.15" customHeight="1">
      <c r="A5" s="152" t="s">
        <v>726</v>
      </c>
      <c r="B5" s="152" t="s">
        <v>727</v>
      </c>
      <c r="C5" s="98" t="s">
        <v>48</v>
      </c>
      <c r="D5" s="98" t="s">
        <v>48</v>
      </c>
      <c r="E5" s="98" t="s">
        <v>48</v>
      </c>
      <c r="F5" s="98" t="s">
        <v>48</v>
      </c>
      <c r="G5" s="98" t="s">
        <v>48</v>
      </c>
      <c r="H5" s="26">
        <v>32</v>
      </c>
      <c r="I5" s="895" t="s">
        <v>728</v>
      </c>
      <c r="J5" s="895" t="s">
        <v>729</v>
      </c>
      <c r="K5" s="1512">
        <v>1</v>
      </c>
      <c r="L5" s="1513" t="s">
        <v>730</v>
      </c>
    </row>
    <row r="6" spans="1:12">
      <c r="A6" s="152" t="s">
        <v>731</v>
      </c>
      <c r="B6" s="152" t="s">
        <v>732</v>
      </c>
      <c r="C6" s="98" t="s">
        <v>48</v>
      </c>
      <c r="D6" s="98" t="s">
        <v>48</v>
      </c>
      <c r="E6" s="98" t="s">
        <v>48</v>
      </c>
      <c r="F6" s="98" t="s">
        <v>48</v>
      </c>
      <c r="G6" s="98" t="s">
        <v>48</v>
      </c>
      <c r="H6" s="26">
        <v>8</v>
      </c>
      <c r="I6" s="98" t="s">
        <v>733</v>
      </c>
      <c r="J6" s="82" t="s">
        <v>729</v>
      </c>
      <c r="K6" s="1512"/>
      <c r="L6" s="1513"/>
    </row>
    <row r="7" spans="1:12">
      <c r="A7" s="152" t="s">
        <v>734</v>
      </c>
      <c r="B7" s="152" t="s">
        <v>735</v>
      </c>
      <c r="C7" s="98" t="s">
        <v>48</v>
      </c>
      <c r="D7" s="98" t="s">
        <v>48</v>
      </c>
      <c r="E7" s="98" t="s">
        <v>48</v>
      </c>
      <c r="F7" s="98" t="s">
        <v>48</v>
      </c>
      <c r="G7" s="98" t="s">
        <v>48</v>
      </c>
      <c r="H7" s="26">
        <v>32</v>
      </c>
      <c r="I7" s="82" t="s">
        <v>736</v>
      </c>
      <c r="J7" s="82" t="s">
        <v>724</v>
      </c>
      <c r="K7" s="1512"/>
      <c r="L7" s="1513"/>
    </row>
    <row r="8" spans="1:12">
      <c r="A8" s="152" t="s">
        <v>737</v>
      </c>
      <c r="B8" s="152" t="s">
        <v>738</v>
      </c>
      <c r="C8" s="98" t="s">
        <v>48</v>
      </c>
      <c r="D8" s="98" t="s">
        <v>48</v>
      </c>
      <c r="E8" s="98" t="s">
        <v>48</v>
      </c>
      <c r="F8" s="98" t="s">
        <v>48</v>
      </c>
      <c r="G8" s="98" t="s">
        <v>48</v>
      </c>
      <c r="H8" s="26">
        <v>312</v>
      </c>
      <c r="I8" s="98" t="s">
        <v>739</v>
      </c>
      <c r="J8" s="82" t="s">
        <v>729</v>
      </c>
      <c r="K8" s="1512"/>
      <c r="L8" s="1513"/>
    </row>
    <row r="9" spans="1:12" ht="116.1">
      <c r="A9" s="152" t="s">
        <v>740</v>
      </c>
      <c r="B9" s="152" t="s">
        <v>741</v>
      </c>
      <c r="C9" s="98" t="s">
        <v>48</v>
      </c>
      <c r="D9" s="98">
        <v>0</v>
      </c>
      <c r="E9" s="98">
        <v>255</v>
      </c>
      <c r="F9" s="950" t="s">
        <v>742</v>
      </c>
      <c r="G9" s="82">
        <v>255</v>
      </c>
      <c r="H9" s="26">
        <v>8</v>
      </c>
      <c r="I9" s="82" t="s">
        <v>743</v>
      </c>
      <c r="J9" s="82" t="s">
        <v>729</v>
      </c>
      <c r="K9" s="1512"/>
      <c r="L9" s="1513"/>
    </row>
    <row r="10" spans="1:12">
      <c r="A10" s="152" t="s">
        <v>744</v>
      </c>
      <c r="B10" s="152" t="s">
        <v>745</v>
      </c>
      <c r="C10" s="98" t="s">
        <v>48</v>
      </c>
      <c r="D10" s="98" t="s">
        <v>48</v>
      </c>
      <c r="E10" s="98" t="s">
        <v>48</v>
      </c>
      <c r="F10" s="98" t="s">
        <v>48</v>
      </c>
      <c r="G10" s="98" t="s">
        <v>48</v>
      </c>
      <c r="H10" s="26">
        <v>48</v>
      </c>
      <c r="I10" s="82" t="s">
        <v>746</v>
      </c>
      <c r="J10" s="82" t="s">
        <v>729</v>
      </c>
      <c r="K10" s="1512"/>
      <c r="L10" s="1513"/>
    </row>
    <row r="11" spans="1:12">
      <c r="A11" s="152" t="s">
        <v>747</v>
      </c>
      <c r="B11" s="152" t="s">
        <v>748</v>
      </c>
      <c r="C11" s="98" t="s">
        <v>48</v>
      </c>
      <c r="D11" s="98" t="s">
        <v>48</v>
      </c>
      <c r="E11" s="98" t="s">
        <v>48</v>
      </c>
      <c r="F11" s="98" t="s">
        <v>48</v>
      </c>
      <c r="G11" s="98" t="s">
        <v>48</v>
      </c>
      <c r="H11" s="26">
        <v>32</v>
      </c>
      <c r="I11" s="82" t="s">
        <v>749</v>
      </c>
      <c r="J11" s="82" t="s">
        <v>729</v>
      </c>
      <c r="K11" s="1512"/>
      <c r="L11" s="1513"/>
    </row>
    <row r="12" spans="1:12">
      <c r="A12" s="152" t="s">
        <v>750</v>
      </c>
      <c r="B12" s="152" t="s">
        <v>751</v>
      </c>
      <c r="C12" s="82" t="s">
        <v>48</v>
      </c>
      <c r="D12" s="82" t="s">
        <v>48</v>
      </c>
      <c r="E12" s="82" t="s">
        <v>48</v>
      </c>
      <c r="F12" s="82" t="s">
        <v>48</v>
      </c>
      <c r="G12" s="82" t="s">
        <v>48</v>
      </c>
      <c r="H12" s="26">
        <v>8</v>
      </c>
      <c r="I12" s="82" t="s">
        <v>752</v>
      </c>
      <c r="J12" s="82" t="s">
        <v>729</v>
      </c>
      <c r="K12" s="1512"/>
      <c r="L12" s="1513"/>
    </row>
    <row r="13" spans="1:12" ht="25.8">
      <c r="A13" s="152" t="s">
        <v>753</v>
      </c>
      <c r="B13" s="152" t="s">
        <v>754</v>
      </c>
      <c r="C13" s="98" t="s">
        <v>48</v>
      </c>
      <c r="D13" s="98" t="s">
        <v>48</v>
      </c>
      <c r="E13" s="98" t="s">
        <v>48</v>
      </c>
      <c r="F13" s="98" t="s">
        <v>48</v>
      </c>
      <c r="G13" s="98" t="s">
        <v>48</v>
      </c>
      <c r="H13" s="26">
        <v>16</v>
      </c>
      <c r="I13" s="82" t="s">
        <v>755</v>
      </c>
      <c r="J13" s="82" t="s">
        <v>729</v>
      </c>
      <c r="K13" s="1512"/>
      <c r="L13" s="1513"/>
    </row>
    <row r="14" spans="1:12" ht="25.8">
      <c r="A14" s="152" t="s">
        <v>756</v>
      </c>
      <c r="B14" s="152" t="s">
        <v>757</v>
      </c>
      <c r="C14" s="82" t="s">
        <v>48</v>
      </c>
      <c r="D14" s="82" t="s">
        <v>48</v>
      </c>
      <c r="E14" s="82" t="s">
        <v>48</v>
      </c>
      <c r="F14" s="82" t="s">
        <v>48</v>
      </c>
      <c r="G14" s="82" t="s">
        <v>48</v>
      </c>
      <c r="H14" s="26">
        <v>16</v>
      </c>
      <c r="I14" s="82" t="s">
        <v>758</v>
      </c>
      <c r="J14" s="82" t="s">
        <v>729</v>
      </c>
      <c r="K14" s="1512"/>
      <c r="L14" s="1513"/>
    </row>
    <row r="15" spans="1:12" ht="51.6">
      <c r="A15" s="152" t="s">
        <v>759</v>
      </c>
      <c r="B15" s="152" t="s">
        <v>760</v>
      </c>
      <c r="C15" s="98" t="s">
        <v>48</v>
      </c>
      <c r="D15" s="98" t="s">
        <v>48</v>
      </c>
      <c r="E15" s="98" t="s">
        <v>48</v>
      </c>
      <c r="F15" s="98" t="s">
        <v>48</v>
      </c>
      <c r="G15" s="98" t="s">
        <v>48</v>
      </c>
      <c r="H15" s="26">
        <v>8</v>
      </c>
      <c r="I15" s="82" t="s">
        <v>761</v>
      </c>
      <c r="J15" s="82" t="s">
        <v>729</v>
      </c>
      <c r="K15" s="1512"/>
      <c r="L15" s="1513"/>
    </row>
    <row r="16" spans="1:12" ht="25.8">
      <c r="A16" s="152" t="s">
        <v>762</v>
      </c>
      <c r="B16" s="152" t="s">
        <v>763</v>
      </c>
      <c r="C16" s="98" t="s">
        <v>48</v>
      </c>
      <c r="D16" s="98" t="s">
        <v>48</v>
      </c>
      <c r="E16" s="98" t="s">
        <v>48</v>
      </c>
      <c r="F16" s="98" t="s">
        <v>48</v>
      </c>
      <c r="G16" s="98" t="s">
        <v>48</v>
      </c>
      <c r="H16" s="26">
        <v>8</v>
      </c>
      <c r="I16" s="82" t="s">
        <v>761</v>
      </c>
      <c r="J16" s="82" t="s">
        <v>729</v>
      </c>
      <c r="K16" s="1512"/>
      <c r="L16" s="1513"/>
    </row>
    <row r="17" spans="1:12" ht="25.8">
      <c r="A17" s="152" t="s">
        <v>764</v>
      </c>
      <c r="B17" s="152" t="s">
        <v>765</v>
      </c>
      <c r="C17" s="98" t="s">
        <v>48</v>
      </c>
      <c r="D17" s="98" t="s">
        <v>48</v>
      </c>
      <c r="E17" s="98" t="s">
        <v>48</v>
      </c>
      <c r="F17" s="98" t="s">
        <v>48</v>
      </c>
      <c r="G17" s="98" t="s">
        <v>48</v>
      </c>
      <c r="H17" s="26">
        <v>8</v>
      </c>
      <c r="I17" s="82" t="s">
        <v>761</v>
      </c>
      <c r="J17" s="82" t="s">
        <v>729</v>
      </c>
      <c r="K17" s="1512"/>
      <c r="L17" s="1513"/>
    </row>
    <row r="18" spans="1:12" ht="25.8">
      <c r="A18" s="152" t="s">
        <v>766</v>
      </c>
      <c r="B18" s="152" t="s">
        <v>767</v>
      </c>
      <c r="C18" s="98" t="s">
        <v>48</v>
      </c>
      <c r="D18" s="98" t="s">
        <v>48</v>
      </c>
      <c r="E18" s="98" t="s">
        <v>48</v>
      </c>
      <c r="F18" s="98" t="s">
        <v>48</v>
      </c>
      <c r="G18" s="98" t="s">
        <v>48</v>
      </c>
      <c r="H18" s="26">
        <v>8</v>
      </c>
      <c r="I18" s="82" t="s">
        <v>761</v>
      </c>
      <c r="J18" s="82" t="s">
        <v>729</v>
      </c>
      <c r="K18" s="1512"/>
      <c r="L18" s="1513"/>
    </row>
    <row r="19" spans="1:12" ht="25.8">
      <c r="A19" s="152" t="s">
        <v>768</v>
      </c>
      <c r="B19" s="152" t="s">
        <v>769</v>
      </c>
      <c r="C19" s="98" t="s">
        <v>48</v>
      </c>
      <c r="D19" s="98" t="s">
        <v>48</v>
      </c>
      <c r="E19" s="98" t="s">
        <v>48</v>
      </c>
      <c r="F19" s="98" t="s">
        <v>48</v>
      </c>
      <c r="G19" s="98" t="s">
        <v>48</v>
      </c>
      <c r="H19" s="26">
        <v>8</v>
      </c>
      <c r="I19" s="82" t="s">
        <v>761</v>
      </c>
      <c r="J19" s="82" t="s">
        <v>729</v>
      </c>
      <c r="K19" s="1512"/>
      <c r="L19" s="1513"/>
    </row>
    <row r="20" spans="1:12" ht="25.8">
      <c r="A20" s="152" t="s">
        <v>770</v>
      </c>
      <c r="B20" s="152" t="s">
        <v>771</v>
      </c>
      <c r="C20" s="98" t="s">
        <v>48</v>
      </c>
      <c r="D20" s="98" t="s">
        <v>48</v>
      </c>
      <c r="E20" s="98" t="s">
        <v>48</v>
      </c>
      <c r="F20" s="98" t="s">
        <v>48</v>
      </c>
      <c r="G20" s="98" t="s">
        <v>48</v>
      </c>
      <c r="H20" s="26">
        <v>8</v>
      </c>
      <c r="I20" s="82" t="s">
        <v>761</v>
      </c>
      <c r="J20" s="82" t="s">
        <v>729</v>
      </c>
      <c r="K20" s="1512"/>
      <c r="L20" s="1513"/>
    </row>
    <row r="21" spans="1:12" ht="25.8">
      <c r="A21" s="152" t="s">
        <v>772</v>
      </c>
      <c r="B21" s="152" t="s">
        <v>773</v>
      </c>
      <c r="C21" s="98" t="s">
        <v>48</v>
      </c>
      <c r="D21" s="98" t="s">
        <v>48</v>
      </c>
      <c r="E21" s="98" t="s">
        <v>48</v>
      </c>
      <c r="F21" s="98" t="s">
        <v>48</v>
      </c>
      <c r="G21" s="98" t="s">
        <v>48</v>
      </c>
      <c r="H21" s="26">
        <v>8</v>
      </c>
      <c r="I21" s="82" t="s">
        <v>761</v>
      </c>
      <c r="J21" s="82" t="s">
        <v>729</v>
      </c>
      <c r="K21" s="1512"/>
      <c r="L21" s="1513"/>
    </row>
    <row r="22" spans="1:12" ht="25.8">
      <c r="A22" s="152" t="s">
        <v>774</v>
      </c>
      <c r="B22" s="152" t="s">
        <v>775</v>
      </c>
      <c r="C22" s="98" t="s">
        <v>48</v>
      </c>
      <c r="D22" s="98" t="s">
        <v>48</v>
      </c>
      <c r="E22" s="98" t="s">
        <v>48</v>
      </c>
      <c r="F22" s="98" t="s">
        <v>48</v>
      </c>
      <c r="G22" s="98" t="s">
        <v>48</v>
      </c>
      <c r="H22" s="26">
        <v>192</v>
      </c>
      <c r="I22" s="82" t="s">
        <v>776</v>
      </c>
      <c r="J22" s="82" t="s">
        <v>729</v>
      </c>
      <c r="K22" s="1512"/>
      <c r="L22" s="1513"/>
    </row>
    <row r="23" spans="1:12" ht="51.6">
      <c r="A23" s="152" t="s">
        <v>777</v>
      </c>
      <c r="B23" s="152" t="s">
        <v>778</v>
      </c>
      <c r="C23" s="98" t="s">
        <v>48</v>
      </c>
      <c r="D23" s="98" t="s">
        <v>48</v>
      </c>
      <c r="E23" s="98" t="s">
        <v>48</v>
      </c>
      <c r="F23" s="98" t="s">
        <v>48</v>
      </c>
      <c r="G23" s="98" t="s">
        <v>48</v>
      </c>
      <c r="H23" s="26">
        <v>192</v>
      </c>
      <c r="I23" s="82" t="s">
        <v>776</v>
      </c>
      <c r="J23" s="82" t="s">
        <v>729</v>
      </c>
      <c r="K23" s="1512"/>
      <c r="L23" s="1513"/>
    </row>
    <row r="24" spans="1:12">
      <c r="A24" s="152" t="s">
        <v>779</v>
      </c>
      <c r="B24" s="152" t="s">
        <v>780</v>
      </c>
      <c r="C24" s="98" t="s">
        <v>48</v>
      </c>
      <c r="D24" s="98" t="s">
        <v>48</v>
      </c>
      <c r="E24" s="98" t="s">
        <v>48</v>
      </c>
      <c r="F24" s="98" t="s">
        <v>48</v>
      </c>
      <c r="G24" s="98" t="s">
        <v>48</v>
      </c>
      <c r="H24" s="26">
        <v>8</v>
      </c>
      <c r="I24" s="98" t="s">
        <v>733</v>
      </c>
      <c r="J24" s="82" t="s">
        <v>729</v>
      </c>
      <c r="K24" s="1512"/>
      <c r="L24" s="1513"/>
    </row>
    <row r="25" spans="1:12">
      <c r="A25" s="152" t="s">
        <v>781</v>
      </c>
      <c r="B25" s="152" t="s">
        <v>782</v>
      </c>
      <c r="C25" s="98" t="s">
        <v>48</v>
      </c>
      <c r="D25" s="98" t="s">
        <v>48</v>
      </c>
      <c r="E25" s="98" t="s">
        <v>48</v>
      </c>
      <c r="F25" s="98" t="s">
        <v>48</v>
      </c>
      <c r="G25" s="98" t="s">
        <v>48</v>
      </c>
      <c r="H25" s="26">
        <v>32</v>
      </c>
      <c r="I25" s="82" t="s">
        <v>736</v>
      </c>
      <c r="J25" s="82" t="s">
        <v>729</v>
      </c>
      <c r="K25" s="1512"/>
      <c r="L25" s="1513"/>
    </row>
    <row r="26" spans="1:12">
      <c r="A26" s="152" t="s">
        <v>783</v>
      </c>
      <c r="B26" s="152" t="s">
        <v>784</v>
      </c>
      <c r="C26" s="98" t="s">
        <v>48</v>
      </c>
      <c r="D26" s="98" t="s">
        <v>48</v>
      </c>
      <c r="E26" s="98" t="s">
        <v>48</v>
      </c>
      <c r="F26" s="98" t="s">
        <v>48</v>
      </c>
      <c r="G26" s="98" t="s">
        <v>48</v>
      </c>
      <c r="H26" s="26">
        <v>312</v>
      </c>
      <c r="I26" s="98" t="s">
        <v>739</v>
      </c>
      <c r="J26" s="82" t="s">
        <v>729</v>
      </c>
      <c r="K26" s="1512"/>
      <c r="L26" s="1513"/>
    </row>
    <row r="27" spans="1:12" ht="25.8">
      <c r="A27" s="152" t="s">
        <v>785</v>
      </c>
      <c r="B27" s="152" t="s">
        <v>786</v>
      </c>
      <c r="C27" s="98" t="s">
        <v>48</v>
      </c>
      <c r="D27" s="98" t="s">
        <v>48</v>
      </c>
      <c r="E27" s="98" t="s">
        <v>48</v>
      </c>
      <c r="F27" s="98" t="s">
        <v>48</v>
      </c>
      <c r="G27" s="98" t="s">
        <v>48</v>
      </c>
      <c r="H27" s="26">
        <v>192</v>
      </c>
      <c r="I27" s="82" t="s">
        <v>776</v>
      </c>
      <c r="J27" s="82" t="s">
        <v>729</v>
      </c>
      <c r="K27" s="1512"/>
      <c r="L27" s="1513"/>
    </row>
    <row r="28" spans="1:12">
      <c r="A28" s="152" t="s">
        <v>787</v>
      </c>
      <c r="B28" s="152" t="s">
        <v>788</v>
      </c>
      <c r="C28" s="98" t="s">
        <v>48</v>
      </c>
      <c r="D28" s="98" t="s">
        <v>48</v>
      </c>
      <c r="E28" s="98" t="s">
        <v>48</v>
      </c>
      <c r="F28" s="98" t="s">
        <v>48</v>
      </c>
      <c r="G28" s="98" t="s">
        <v>48</v>
      </c>
      <c r="H28" s="26">
        <v>32</v>
      </c>
      <c r="I28" s="82" t="s">
        <v>736</v>
      </c>
      <c r="J28" s="82" t="s">
        <v>729</v>
      </c>
      <c r="K28" s="1512"/>
      <c r="L28" s="1513"/>
    </row>
    <row r="29" spans="1:12" ht="25.8">
      <c r="A29" s="152" t="s">
        <v>789</v>
      </c>
      <c r="B29" s="152" t="s">
        <v>790</v>
      </c>
      <c r="C29" s="98" t="s">
        <v>48</v>
      </c>
      <c r="D29" s="98" t="s">
        <v>48</v>
      </c>
      <c r="E29" s="98" t="s">
        <v>48</v>
      </c>
      <c r="F29" s="98" t="s">
        <v>48</v>
      </c>
      <c r="G29" s="98" t="s">
        <v>48</v>
      </c>
      <c r="H29" s="26">
        <v>312</v>
      </c>
      <c r="I29" s="98" t="s">
        <v>739</v>
      </c>
      <c r="J29" s="82" t="s">
        <v>729</v>
      </c>
      <c r="K29" s="1512"/>
      <c r="L29" s="1513"/>
    </row>
    <row r="30" spans="1:12" ht="25.8">
      <c r="A30" s="300" t="s">
        <v>791</v>
      </c>
      <c r="B30" s="300" t="s">
        <v>792</v>
      </c>
      <c r="C30" s="295" t="s">
        <v>48</v>
      </c>
      <c r="D30" s="295" t="s">
        <v>48</v>
      </c>
      <c r="E30" s="295" t="s">
        <v>48</v>
      </c>
      <c r="F30" s="295" t="s">
        <v>48</v>
      </c>
      <c r="G30" s="295" t="s">
        <v>48</v>
      </c>
      <c r="H30" s="694">
        <v>192</v>
      </c>
      <c r="I30" s="291" t="s">
        <v>776</v>
      </c>
      <c r="J30" s="291" t="s">
        <v>729</v>
      </c>
      <c r="K30" s="1512"/>
      <c r="L30" s="1513"/>
    </row>
    <row r="31" spans="1:12">
      <c r="B31" s="289"/>
    </row>
  </sheetData>
  <mergeCells count="5">
    <mergeCell ref="C1:D1"/>
    <mergeCell ref="A2:B2"/>
    <mergeCell ref="C2:I2"/>
    <mergeCell ref="K5:K30"/>
    <mergeCell ref="L5:L30"/>
  </mergeCells>
  <conditionalFormatting sqref="A9:E9 G9 A5:G8 A27:G27 A28:A30 B30:G30 B28:G28 J6:J10 I9:I10 I5:J5 J12:J30 I11:J11 A10:G25">
    <cfRule type="expression" dxfId="731" priority="27">
      <formula>MOD(ROW(), 2)=0</formula>
    </cfRule>
  </conditionalFormatting>
  <conditionalFormatting sqref="A4:G4 I4:K4">
    <cfRule type="expression" dxfId="730" priority="26">
      <formula>MOD(ROW(), 2)=0</formula>
    </cfRule>
  </conditionalFormatting>
  <conditionalFormatting sqref="K5">
    <cfRule type="expression" dxfId="729" priority="25">
      <formula>MOD(ROW(), 2)=0</formula>
    </cfRule>
  </conditionalFormatting>
  <conditionalFormatting sqref="C5:G5 I5:J5">
    <cfRule type="expression" dxfId="728" priority="23">
      <formula>MOD(ROW(), 2)=0</formula>
    </cfRule>
  </conditionalFormatting>
  <conditionalFormatting sqref="I12:I14">
    <cfRule type="expression" dxfId="727" priority="20">
      <formula>MOD(ROW(), 2)=0</formula>
    </cfRule>
  </conditionalFormatting>
  <conditionalFormatting sqref="I7">
    <cfRule type="expression" dxfId="726" priority="19">
      <formula>MOD(ROW(), 2)=0</formula>
    </cfRule>
  </conditionalFormatting>
  <conditionalFormatting sqref="I8">
    <cfRule type="expression" dxfId="725" priority="18">
      <formula>MOD(ROW(), 2)=0</formula>
    </cfRule>
  </conditionalFormatting>
  <conditionalFormatting sqref="I15:I21">
    <cfRule type="expression" dxfId="724" priority="15">
      <formula>MOD(ROW(), 2)=0</formula>
    </cfRule>
  </conditionalFormatting>
  <conditionalFormatting sqref="I22:I23">
    <cfRule type="expression" dxfId="723" priority="14">
      <formula>MOD(ROW(), 2)=0</formula>
    </cfRule>
  </conditionalFormatting>
  <conditionalFormatting sqref="I6">
    <cfRule type="expression" dxfId="722" priority="12">
      <formula>MOD(ROW(), 2)=0</formula>
    </cfRule>
  </conditionalFormatting>
  <conditionalFormatting sqref="I24">
    <cfRule type="expression" dxfId="721" priority="11">
      <formula>MOD(ROW(), 2)=0</formula>
    </cfRule>
  </conditionalFormatting>
  <conditionalFormatting sqref="I25">
    <cfRule type="expression" dxfId="720" priority="10">
      <formula>MOD(ROW(), 2)=0</formula>
    </cfRule>
  </conditionalFormatting>
  <conditionalFormatting sqref="I26">
    <cfRule type="expression" dxfId="719" priority="9">
      <formula>MOD(ROW(), 2)=0</formula>
    </cfRule>
  </conditionalFormatting>
  <conditionalFormatting sqref="A26:G26">
    <cfRule type="expression" dxfId="718" priority="8">
      <formula>MOD(ROW(), 2)=0</formula>
    </cfRule>
  </conditionalFormatting>
  <conditionalFormatting sqref="I26">
    <cfRule type="expression" dxfId="717" priority="7">
      <formula>MOD(ROW(), 2)=0</formula>
    </cfRule>
  </conditionalFormatting>
  <conditionalFormatting sqref="I27">
    <cfRule type="expression" dxfId="716" priority="6">
      <formula>MOD(ROW(), 2)=0</formula>
    </cfRule>
  </conditionalFormatting>
  <conditionalFormatting sqref="I28">
    <cfRule type="expression" dxfId="715" priority="5">
      <formula>MOD(ROW(), 2)=0</formula>
    </cfRule>
  </conditionalFormatting>
  <conditionalFormatting sqref="I29">
    <cfRule type="expression" dxfId="714" priority="4">
      <formula>MOD(ROW(), 2)=0</formula>
    </cfRule>
  </conditionalFormatting>
  <conditionalFormatting sqref="B29:G29">
    <cfRule type="expression" dxfId="713" priority="3">
      <formula>MOD(ROW(), 2)=0</formula>
    </cfRule>
  </conditionalFormatting>
  <conditionalFormatting sqref="I29">
    <cfRule type="expression" dxfId="712" priority="2">
      <formula>MOD(ROW(), 2)=0</formula>
    </cfRule>
  </conditionalFormatting>
  <conditionalFormatting sqref="I30">
    <cfRule type="expression" dxfId="711" priority="1">
      <formula>MOD(ROW(), 2)=0</formula>
    </cfRule>
  </conditionalFormatting>
  <hyperlinks>
    <hyperlink ref="J1" location="'Revision Map'!A1" display="INDEX" xr:uid="{BB7EF56F-EC32-46B7-864E-DB90EA336736}"/>
    <hyperlink ref="K1" location="'Cross-FCN_Definitions'!A1" display="Cross-FCN_Definitions" xr:uid="{4AC1E6D1-436E-4922-A260-459D9289D048}"/>
    <hyperlink ref="L1" location="Calibration_Definitions!A1" display="Calibration_Definitions" xr:uid="{5A789C26-175F-4B7F-B993-4BF06E8B8DD1}"/>
  </hyperlinks>
  <pageMargins left="0.7" right="0.7" top="0.75" bottom="0.75" header="0.3" footer="0.3"/>
  <pageSetup paperSize="9" orientation="portrait" r:id="rId1"/>
  <headerFooter>
    <oddFooter>&amp;C_x000D_&amp;1#&amp;"Calibri"&amp;11&amp;KFF0000 Internal</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F1B15-4502-4934-8390-CF046318ABFB}">
  <sheetPr codeName="Sheet74"/>
  <dimension ref="A1:E23"/>
  <sheetViews>
    <sheetView workbookViewId="0">
      <pane ySplit="1" topLeftCell="A15" activePane="bottomLeft" state="frozen"/>
      <selection sqref="A1:AS1"/>
      <selection pane="bottomLeft" activeCell="C25" sqref="C25"/>
    </sheetView>
  </sheetViews>
  <sheetFormatPr defaultColWidth="9.15625" defaultRowHeight="14.4"/>
  <cols>
    <col min="1" max="1" width="9.26171875" style="1014" customWidth="1"/>
    <col min="2" max="2" width="10.26171875" style="40" bestFit="1" customWidth="1"/>
    <col min="3" max="3" width="119.68359375" customWidth="1"/>
    <col min="4" max="4" width="20.26171875" bestFit="1" customWidth="1"/>
    <col min="5" max="5" width="10.83984375" bestFit="1" customWidth="1"/>
  </cols>
  <sheetData>
    <row r="1" spans="1:5">
      <c r="A1" s="1014" t="s">
        <v>644</v>
      </c>
      <c r="B1" s="40" t="s">
        <v>645</v>
      </c>
      <c r="C1" t="s">
        <v>646</v>
      </c>
      <c r="D1" t="s">
        <v>647</v>
      </c>
      <c r="E1" t="s">
        <v>793</v>
      </c>
    </row>
    <row r="2" spans="1:5">
      <c r="A2" s="1010" t="s">
        <v>794</v>
      </c>
      <c r="B2" s="51">
        <v>44903</v>
      </c>
      <c r="C2" s="576" t="s">
        <v>795</v>
      </c>
      <c r="D2" s="5" t="s">
        <v>796</v>
      </c>
      <c r="E2" s="5" t="s">
        <v>797</v>
      </c>
    </row>
    <row r="3" spans="1:5">
      <c r="A3" s="1015" t="s">
        <v>794</v>
      </c>
      <c r="B3" s="51">
        <v>44943</v>
      </c>
      <c r="C3" s="5" t="s">
        <v>798</v>
      </c>
      <c r="D3" s="5" t="s">
        <v>799</v>
      </c>
      <c r="E3" s="5" t="s">
        <v>655</v>
      </c>
    </row>
    <row r="4" spans="1:5" ht="273.60000000000002">
      <c r="A4" s="1015" t="s">
        <v>800</v>
      </c>
      <c r="B4" s="51">
        <v>44943</v>
      </c>
      <c r="C4" s="576" t="s">
        <v>801</v>
      </c>
      <c r="D4" s="5" t="s">
        <v>796</v>
      </c>
      <c r="E4" s="5" t="s">
        <v>655</v>
      </c>
    </row>
    <row r="5" spans="1:5" ht="28.8">
      <c r="A5" s="1010" t="s">
        <v>802</v>
      </c>
      <c r="B5" s="51">
        <v>44946</v>
      </c>
      <c r="C5" s="583" t="s">
        <v>803</v>
      </c>
      <c r="D5" s="5" t="s">
        <v>796</v>
      </c>
      <c r="E5" s="5" t="s">
        <v>655</v>
      </c>
    </row>
    <row r="6" spans="1:5">
      <c r="A6" s="1010" t="s">
        <v>802</v>
      </c>
      <c r="B6" s="51">
        <v>44946</v>
      </c>
      <c r="C6" s="576" t="s">
        <v>804</v>
      </c>
      <c r="D6" s="5" t="s">
        <v>676</v>
      </c>
      <c r="E6" s="5" t="s">
        <v>655</v>
      </c>
    </row>
    <row r="7" spans="1:5">
      <c r="A7" s="1010" t="s">
        <v>805</v>
      </c>
      <c r="B7" s="51">
        <v>44949</v>
      </c>
      <c r="C7" s="5" t="s">
        <v>806</v>
      </c>
      <c r="D7" s="5" t="s">
        <v>796</v>
      </c>
      <c r="E7" s="5" t="s">
        <v>655</v>
      </c>
    </row>
    <row r="8" spans="1:5">
      <c r="A8" s="1010" t="s">
        <v>805</v>
      </c>
      <c r="B8" s="51">
        <v>44953</v>
      </c>
      <c r="C8" s="5" t="s">
        <v>807</v>
      </c>
      <c r="D8" s="5" t="s">
        <v>658</v>
      </c>
      <c r="E8" s="5" t="s">
        <v>655</v>
      </c>
    </row>
    <row r="9" spans="1:5">
      <c r="A9" s="1010" t="s">
        <v>808</v>
      </c>
      <c r="B9" s="51">
        <v>44957</v>
      </c>
      <c r="C9" s="5" t="s">
        <v>809</v>
      </c>
      <c r="D9" s="5" t="s">
        <v>810</v>
      </c>
      <c r="E9" s="5" t="s">
        <v>655</v>
      </c>
    </row>
    <row r="10" spans="1:5">
      <c r="A10" s="1010" t="s">
        <v>808</v>
      </c>
      <c r="B10" s="51">
        <v>44957</v>
      </c>
      <c r="C10" s="5" t="s">
        <v>807</v>
      </c>
      <c r="D10" s="5" t="s">
        <v>796</v>
      </c>
      <c r="E10" s="5" t="s">
        <v>655</v>
      </c>
    </row>
    <row r="11" spans="1:5">
      <c r="A11" s="1010">
        <v>1</v>
      </c>
      <c r="B11" s="51">
        <v>44957</v>
      </c>
      <c r="C11" s="576" t="s">
        <v>811</v>
      </c>
      <c r="D11" s="5" t="s">
        <v>810</v>
      </c>
      <c r="E11" s="5" t="s">
        <v>651</v>
      </c>
    </row>
    <row r="12" spans="1:5">
      <c r="A12" s="1010">
        <v>1</v>
      </c>
      <c r="B12" s="51">
        <v>44957</v>
      </c>
      <c r="C12" s="5" t="s">
        <v>687</v>
      </c>
      <c r="D12" s="5" t="s">
        <v>676</v>
      </c>
      <c r="E12" s="5" t="s">
        <v>661</v>
      </c>
    </row>
    <row r="13" spans="1:5">
      <c r="A13" s="1010">
        <v>1</v>
      </c>
      <c r="B13" s="51">
        <v>44970</v>
      </c>
      <c r="C13" s="2" t="s">
        <v>691</v>
      </c>
      <c r="D13" s="5" t="s">
        <v>676</v>
      </c>
      <c r="E13" s="5" t="s">
        <v>661</v>
      </c>
    </row>
    <row r="14" spans="1:5">
      <c r="A14" s="1012">
        <v>2</v>
      </c>
      <c r="B14" s="678">
        <v>44993</v>
      </c>
      <c r="C14" t="s">
        <v>812</v>
      </c>
      <c r="D14" s="5" t="s">
        <v>683</v>
      </c>
      <c r="E14" s="5" t="s">
        <v>651</v>
      </c>
    </row>
    <row r="15" spans="1:5">
      <c r="A15" s="1012">
        <v>2</v>
      </c>
      <c r="B15" s="678">
        <v>44998</v>
      </c>
      <c r="C15" s="2" t="s">
        <v>692</v>
      </c>
      <c r="D15" s="5" t="s">
        <v>678</v>
      </c>
      <c r="E15" s="5" t="s">
        <v>661</v>
      </c>
    </row>
    <row r="16" spans="1:5" ht="100.8">
      <c r="A16" s="1016" t="s">
        <v>663</v>
      </c>
      <c r="B16" s="40">
        <v>45057</v>
      </c>
      <c r="C16" s="2" t="s">
        <v>813</v>
      </c>
      <c r="D16" t="s">
        <v>814</v>
      </c>
      <c r="E16" t="s">
        <v>655</v>
      </c>
    </row>
    <row r="17" spans="1:5">
      <c r="A17" s="1014" t="s">
        <v>663</v>
      </c>
      <c r="B17" s="40">
        <v>45061</v>
      </c>
      <c r="C17" s="726" t="s">
        <v>815</v>
      </c>
      <c r="D17" t="s">
        <v>697</v>
      </c>
      <c r="E17" t="s">
        <v>655</v>
      </c>
    </row>
    <row r="18" spans="1:5">
      <c r="A18" s="1016" t="s">
        <v>666</v>
      </c>
      <c r="B18" s="263">
        <v>45078</v>
      </c>
      <c r="C18" s="246" t="s">
        <v>816</v>
      </c>
      <c r="D18" s="247" t="s">
        <v>814</v>
      </c>
      <c r="E18" s="248" t="s">
        <v>651</v>
      </c>
    </row>
    <row r="19" spans="1:5">
      <c r="A19" s="1010" t="s">
        <v>666</v>
      </c>
      <c r="B19" s="191">
        <v>45078</v>
      </c>
      <c r="C19" s="5" t="s">
        <v>699</v>
      </c>
      <c r="D19" s="5" t="s">
        <v>678</v>
      </c>
      <c r="E19" s="5" t="s">
        <v>661</v>
      </c>
    </row>
    <row r="20" spans="1:5">
      <c r="A20" s="1010" t="s">
        <v>817</v>
      </c>
      <c r="B20" s="191">
        <v>45097</v>
      </c>
      <c r="C20" s="5" t="s">
        <v>818</v>
      </c>
      <c r="D20" s="5" t="s">
        <v>678</v>
      </c>
      <c r="E20" s="586" t="s">
        <v>655</v>
      </c>
    </row>
    <row r="21" spans="1:5">
      <c r="A21" s="1010" t="s">
        <v>686</v>
      </c>
      <c r="B21" s="191">
        <v>45097</v>
      </c>
      <c r="C21" s="246" t="s">
        <v>816</v>
      </c>
      <c r="D21" s="5" t="s">
        <v>678</v>
      </c>
      <c r="E21" s="5" t="s">
        <v>651</v>
      </c>
    </row>
    <row r="22" spans="1:5">
      <c r="A22" s="1010" t="s">
        <v>686</v>
      </c>
      <c r="B22" s="191">
        <v>45097</v>
      </c>
      <c r="C22" s="5" t="s">
        <v>700</v>
      </c>
      <c r="D22" s="5" t="s">
        <v>678</v>
      </c>
      <c r="E22" s="5" t="s">
        <v>661</v>
      </c>
    </row>
    <row r="23" spans="1:5">
      <c r="A23" s="1012" t="s">
        <v>686</v>
      </c>
      <c r="B23" s="1065">
        <v>45205</v>
      </c>
      <c r="C23" s="595" t="s">
        <v>701</v>
      </c>
      <c r="D23" s="595" t="s">
        <v>678</v>
      </c>
      <c r="E23" s="596" t="s">
        <v>661</v>
      </c>
    </row>
  </sheetData>
  <phoneticPr fontId="55" type="noConversion"/>
  <pageMargins left="0.7" right="0.7" top="0.75" bottom="0.75" header="0.3" footer="0.3"/>
  <headerFooter>
    <oddFooter>&amp;C_x000D_&amp;1#&amp;"Calibri"&amp;11&amp;KFF0000 Internal</oddFooter>
  </headerFooter>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7F483-837D-455E-87A4-31A155BC4661}">
  <sheetPr codeName="Sheet72"/>
  <dimension ref="A1:O86"/>
  <sheetViews>
    <sheetView zoomScaleNormal="100" workbookViewId="0">
      <pane ySplit="3" topLeftCell="A31" activePane="bottomLeft" state="frozen"/>
      <selection activeCell="J3" sqref="J3"/>
      <selection pane="bottomLeft" activeCell="A31" sqref="A31"/>
    </sheetView>
  </sheetViews>
  <sheetFormatPr defaultColWidth="9.15625" defaultRowHeight="14.4"/>
  <cols>
    <col min="1" max="1" width="31" style="256" bestFit="1" customWidth="1"/>
    <col min="2" max="2" width="49.83984375" style="259" customWidth="1"/>
    <col min="3" max="3" width="6.68359375" style="256" bestFit="1" customWidth="1"/>
    <col min="4" max="4" width="7.41796875" style="256" customWidth="1"/>
    <col min="5" max="5" width="9.26171875" style="256" bestFit="1" customWidth="1"/>
    <col min="6" max="6" width="17.578125" style="256" bestFit="1" customWidth="1"/>
    <col min="7" max="7" width="9.26171875" style="256" bestFit="1" customWidth="1"/>
    <col min="8" max="8" width="7.578125" style="256" customWidth="1"/>
    <col min="9" max="9" width="19.68359375" style="256" customWidth="1"/>
    <col min="10" max="10" width="16.26171875" style="256" bestFit="1" customWidth="1"/>
    <col min="11" max="11" width="21.15625" style="256" bestFit="1" customWidth="1"/>
    <col min="12" max="12" width="15" style="256" bestFit="1" customWidth="1"/>
    <col min="13" max="13" width="9.15625" style="256" customWidth="1"/>
    <col min="14" max="14" width="19.68359375" style="256" bestFit="1" customWidth="1"/>
    <col min="15" max="16384" width="9.15625" style="256"/>
  </cols>
  <sheetData>
    <row r="1" spans="1:12" ht="15" customHeight="1">
      <c r="A1" s="251" t="s">
        <v>104</v>
      </c>
      <c r="B1" s="252" t="s">
        <v>819</v>
      </c>
      <c r="C1" s="1514" t="s">
        <v>106</v>
      </c>
      <c r="D1" s="1515"/>
      <c r="E1" s="1147" t="s">
        <v>686</v>
      </c>
      <c r="F1" s="1148" t="s">
        <v>702</v>
      </c>
      <c r="G1" s="1149">
        <v>2792</v>
      </c>
      <c r="H1" s="932"/>
      <c r="I1" s="932"/>
      <c r="J1" s="1150" t="s">
        <v>69</v>
      </c>
      <c r="K1" s="1151" t="s">
        <v>703</v>
      </c>
      <c r="L1" s="253"/>
    </row>
    <row r="2" spans="1:12" ht="46.5" customHeight="1">
      <c r="A2" s="1516" t="s">
        <v>820</v>
      </c>
      <c r="B2" s="1517"/>
      <c r="C2" s="1509" t="s">
        <v>706</v>
      </c>
      <c r="D2" s="1510"/>
      <c r="E2" s="1510"/>
      <c r="F2" s="1510"/>
      <c r="G2" s="1510"/>
      <c r="H2" s="1510"/>
      <c r="I2" s="1511"/>
      <c r="J2" s="1152" t="s">
        <v>707</v>
      </c>
      <c r="K2" s="1153">
        <v>1</v>
      </c>
      <c r="L2" s="254"/>
    </row>
    <row r="3" spans="1:12">
      <c r="A3" s="257" t="s">
        <v>709</v>
      </c>
      <c r="B3" s="258" t="s">
        <v>710</v>
      </c>
      <c r="C3" s="258" t="s">
        <v>711</v>
      </c>
      <c r="D3" s="258" t="s">
        <v>712</v>
      </c>
      <c r="E3" s="258" t="s">
        <v>713</v>
      </c>
      <c r="F3" s="258" t="s">
        <v>714</v>
      </c>
      <c r="G3" s="258" t="s">
        <v>715</v>
      </c>
      <c r="H3" s="258" t="s">
        <v>716</v>
      </c>
      <c r="I3" s="258" t="s">
        <v>717</v>
      </c>
      <c r="J3" s="258" t="s">
        <v>718</v>
      </c>
      <c r="K3" s="258" t="s">
        <v>719</v>
      </c>
      <c r="L3" s="258" t="s">
        <v>720</v>
      </c>
    </row>
    <row r="4" spans="1:12">
      <c r="A4" s="569" t="s">
        <v>821</v>
      </c>
      <c r="B4" s="570" t="s">
        <v>822</v>
      </c>
      <c r="C4" s="571" t="s">
        <v>48</v>
      </c>
      <c r="D4" s="571" t="s">
        <v>48</v>
      </c>
      <c r="E4" s="571" t="s">
        <v>48</v>
      </c>
      <c r="F4" s="571" t="s">
        <v>48</v>
      </c>
      <c r="G4" s="571" t="s">
        <v>48</v>
      </c>
      <c r="H4" s="571">
        <v>16</v>
      </c>
      <c r="I4" s="571" t="s">
        <v>823</v>
      </c>
      <c r="J4" s="571" t="s">
        <v>729</v>
      </c>
      <c r="K4" s="1521">
        <v>1</v>
      </c>
      <c r="L4" s="1518" t="s">
        <v>824</v>
      </c>
    </row>
    <row r="5" spans="1:12">
      <c r="A5" s="690" t="s">
        <v>825</v>
      </c>
      <c r="B5" s="691" t="s">
        <v>826</v>
      </c>
      <c r="C5" s="26" t="s">
        <v>48</v>
      </c>
      <c r="D5" s="26" t="s">
        <v>48</v>
      </c>
      <c r="E5" s="26" t="s">
        <v>48</v>
      </c>
      <c r="F5" s="26" t="s">
        <v>48</v>
      </c>
      <c r="G5" s="26" t="s">
        <v>48</v>
      </c>
      <c r="H5" s="10">
        <v>8</v>
      </c>
      <c r="I5" s="26" t="s">
        <v>827</v>
      </c>
      <c r="J5" s="692" t="s">
        <v>729</v>
      </c>
      <c r="K5" s="1522"/>
      <c r="L5" s="1519"/>
    </row>
    <row r="6" spans="1:12">
      <c r="A6" s="995" t="s">
        <v>828</v>
      </c>
      <c r="B6" s="1154" t="s">
        <v>829</v>
      </c>
      <c r="C6" s="1155" t="s">
        <v>48</v>
      </c>
      <c r="D6" s="1155" t="s">
        <v>48</v>
      </c>
      <c r="E6" s="1155" t="s">
        <v>48</v>
      </c>
      <c r="F6" s="1155" t="s">
        <v>48</v>
      </c>
      <c r="G6" s="1155" t="s">
        <v>48</v>
      </c>
      <c r="H6" s="1155">
        <v>8</v>
      </c>
      <c r="I6" s="1155" t="s">
        <v>830</v>
      </c>
      <c r="J6" s="1155" t="s">
        <v>729</v>
      </c>
      <c r="K6" s="1522"/>
      <c r="L6" s="1519"/>
    </row>
    <row r="7" spans="1:12">
      <c r="A7" s="995" t="s">
        <v>831</v>
      </c>
      <c r="B7" s="1154" t="s">
        <v>832</v>
      </c>
      <c r="C7" s="1155" t="s">
        <v>48</v>
      </c>
      <c r="D7" s="1155" t="s">
        <v>48</v>
      </c>
      <c r="E7" s="1155" t="s">
        <v>48</v>
      </c>
      <c r="F7" s="1155" t="s">
        <v>48</v>
      </c>
      <c r="G7" s="1155" t="s">
        <v>48</v>
      </c>
      <c r="H7" s="1155">
        <v>8</v>
      </c>
      <c r="I7" s="1155" t="s">
        <v>830</v>
      </c>
      <c r="J7" s="1155" t="s">
        <v>729</v>
      </c>
      <c r="K7" s="1522"/>
      <c r="L7" s="1519"/>
    </row>
    <row r="8" spans="1:12">
      <c r="A8" s="995" t="s">
        <v>833</v>
      </c>
      <c r="B8" s="1156" t="s">
        <v>834</v>
      </c>
      <c r="C8" s="1155" t="s">
        <v>48</v>
      </c>
      <c r="D8" s="1155" t="s">
        <v>48</v>
      </c>
      <c r="E8" s="1155" t="s">
        <v>48</v>
      </c>
      <c r="F8" s="1155" t="s">
        <v>48</v>
      </c>
      <c r="G8" s="1155" t="s">
        <v>48</v>
      </c>
      <c r="H8" s="1155">
        <v>8</v>
      </c>
      <c r="I8" s="1155" t="s">
        <v>830</v>
      </c>
      <c r="J8" s="1155" t="s">
        <v>729</v>
      </c>
      <c r="K8" s="1522"/>
      <c r="L8" s="1519"/>
    </row>
    <row r="9" spans="1:12">
      <c r="A9" s="995" t="s">
        <v>835</v>
      </c>
      <c r="B9" s="1156" t="s">
        <v>836</v>
      </c>
      <c r="C9" s="1155" t="s">
        <v>48</v>
      </c>
      <c r="D9" s="1155" t="s">
        <v>48</v>
      </c>
      <c r="E9" s="1155" t="s">
        <v>48</v>
      </c>
      <c r="F9" s="1155" t="s">
        <v>48</v>
      </c>
      <c r="G9" s="1155" t="s">
        <v>48</v>
      </c>
      <c r="H9" s="1155">
        <v>8</v>
      </c>
      <c r="I9" s="1155" t="s">
        <v>830</v>
      </c>
      <c r="J9" s="1155" t="s">
        <v>729</v>
      </c>
      <c r="K9" s="1522"/>
      <c r="L9" s="1519"/>
    </row>
    <row r="10" spans="1:12">
      <c r="A10" s="995" t="s">
        <v>837</v>
      </c>
      <c r="B10" s="1156" t="s">
        <v>838</v>
      </c>
      <c r="C10" s="1157" t="s">
        <v>48</v>
      </c>
      <c r="D10" s="1157" t="s">
        <v>48</v>
      </c>
      <c r="E10" s="1157" t="s">
        <v>48</v>
      </c>
      <c r="F10" s="1157" t="s">
        <v>48</v>
      </c>
      <c r="G10" s="1157" t="s">
        <v>48</v>
      </c>
      <c r="H10" s="1157">
        <v>8</v>
      </c>
      <c r="I10" s="1157" t="s">
        <v>839</v>
      </c>
      <c r="J10" s="1155" t="s">
        <v>729</v>
      </c>
      <c r="K10" s="1522"/>
      <c r="L10" s="1519"/>
    </row>
    <row r="11" spans="1:12" ht="25.8">
      <c r="A11" s="995" t="s">
        <v>840</v>
      </c>
      <c r="B11" s="1156" t="s">
        <v>841</v>
      </c>
      <c r="C11" s="1158" t="s">
        <v>48</v>
      </c>
      <c r="D11" s="1159">
        <v>0</v>
      </c>
      <c r="E11" s="1159" t="s">
        <v>842</v>
      </c>
      <c r="F11" s="1111" t="s">
        <v>843</v>
      </c>
      <c r="G11" s="1160" t="s">
        <v>842</v>
      </c>
      <c r="H11" s="1155">
        <v>64</v>
      </c>
      <c r="I11" s="1155" t="s">
        <v>844</v>
      </c>
      <c r="J11" s="1155" t="s">
        <v>729</v>
      </c>
      <c r="K11" s="1522"/>
      <c r="L11" s="1519"/>
    </row>
    <row r="12" spans="1:12">
      <c r="A12" s="995" t="s">
        <v>845</v>
      </c>
      <c r="B12" s="1154" t="s">
        <v>846</v>
      </c>
      <c r="C12" s="1157" t="s">
        <v>48</v>
      </c>
      <c r="D12" s="1157" t="s">
        <v>48</v>
      </c>
      <c r="E12" s="1157" t="s">
        <v>48</v>
      </c>
      <c r="F12" s="1157" t="s">
        <v>48</v>
      </c>
      <c r="G12" s="1157" t="s">
        <v>48</v>
      </c>
      <c r="H12" s="1157">
        <v>8</v>
      </c>
      <c r="I12" s="1157" t="s">
        <v>839</v>
      </c>
      <c r="J12" s="1155" t="s">
        <v>729</v>
      </c>
      <c r="K12" s="1522"/>
      <c r="L12" s="1519"/>
    </row>
    <row r="13" spans="1:12" ht="25.8">
      <c r="A13" s="995" t="s">
        <v>847</v>
      </c>
      <c r="B13" s="1154" t="s">
        <v>841</v>
      </c>
      <c r="C13" s="1161" t="s">
        <v>48</v>
      </c>
      <c r="D13" s="1159">
        <v>0</v>
      </c>
      <c r="E13" s="1159" t="s">
        <v>842</v>
      </c>
      <c r="F13" s="1111" t="s">
        <v>843</v>
      </c>
      <c r="G13" s="1160" t="s">
        <v>842</v>
      </c>
      <c r="H13" s="1155">
        <v>64</v>
      </c>
      <c r="I13" s="1155" t="s">
        <v>844</v>
      </c>
      <c r="J13" s="1155" t="s">
        <v>729</v>
      </c>
      <c r="K13" s="1522"/>
      <c r="L13" s="1519"/>
    </row>
    <row r="14" spans="1:12">
      <c r="A14" s="995" t="s">
        <v>848</v>
      </c>
      <c r="B14" s="1154" t="s">
        <v>849</v>
      </c>
      <c r="C14" s="1157" t="s">
        <v>48</v>
      </c>
      <c r="D14" s="1157" t="s">
        <v>48</v>
      </c>
      <c r="E14" s="1157" t="s">
        <v>48</v>
      </c>
      <c r="F14" s="1157" t="s">
        <v>48</v>
      </c>
      <c r="G14" s="1157" t="s">
        <v>48</v>
      </c>
      <c r="H14" s="1157">
        <v>8</v>
      </c>
      <c r="I14" s="1157" t="s">
        <v>839</v>
      </c>
      <c r="J14" s="1155" t="s">
        <v>729</v>
      </c>
      <c r="K14" s="1522"/>
      <c r="L14" s="1519"/>
    </row>
    <row r="15" spans="1:12" ht="25.8">
      <c r="A15" s="995" t="s">
        <v>850</v>
      </c>
      <c r="B15" s="1154" t="s">
        <v>841</v>
      </c>
      <c r="C15" s="1161" t="s">
        <v>48</v>
      </c>
      <c r="D15" s="1159">
        <v>0</v>
      </c>
      <c r="E15" s="1159" t="s">
        <v>842</v>
      </c>
      <c r="F15" s="1111" t="s">
        <v>843</v>
      </c>
      <c r="G15" s="1160" t="s">
        <v>842</v>
      </c>
      <c r="H15" s="1155">
        <v>64</v>
      </c>
      <c r="I15" s="1155" t="s">
        <v>844</v>
      </c>
      <c r="J15" s="1155" t="s">
        <v>729</v>
      </c>
      <c r="K15" s="1522"/>
      <c r="L15" s="1519"/>
    </row>
    <row r="16" spans="1:12">
      <c r="A16" s="995" t="s">
        <v>851</v>
      </c>
      <c r="B16" s="1154" t="s">
        <v>852</v>
      </c>
      <c r="C16" s="1157" t="s">
        <v>48</v>
      </c>
      <c r="D16" s="1157" t="s">
        <v>48</v>
      </c>
      <c r="E16" s="1157" t="s">
        <v>48</v>
      </c>
      <c r="F16" s="1157" t="s">
        <v>48</v>
      </c>
      <c r="G16" s="1157" t="s">
        <v>48</v>
      </c>
      <c r="H16" s="1157">
        <v>8</v>
      </c>
      <c r="I16" s="1157" t="s">
        <v>839</v>
      </c>
      <c r="J16" s="1155" t="s">
        <v>729</v>
      </c>
      <c r="K16" s="1522"/>
      <c r="L16" s="1519"/>
    </row>
    <row r="17" spans="1:12" ht="25.8">
      <c r="A17" s="995" t="s">
        <v>853</v>
      </c>
      <c r="B17" s="1154" t="s">
        <v>841</v>
      </c>
      <c r="C17" s="1161" t="s">
        <v>48</v>
      </c>
      <c r="D17" s="1159">
        <v>0</v>
      </c>
      <c r="E17" s="1159" t="s">
        <v>842</v>
      </c>
      <c r="F17" s="1111" t="s">
        <v>843</v>
      </c>
      <c r="G17" s="1160" t="s">
        <v>842</v>
      </c>
      <c r="H17" s="1155">
        <v>64</v>
      </c>
      <c r="I17" s="1155" t="s">
        <v>844</v>
      </c>
      <c r="J17" s="1155" t="s">
        <v>729</v>
      </c>
      <c r="K17" s="1522"/>
      <c r="L17" s="1519"/>
    </row>
    <row r="18" spans="1:12">
      <c r="A18" s="995" t="s">
        <v>854</v>
      </c>
      <c r="B18" s="1154" t="s">
        <v>855</v>
      </c>
      <c r="C18" s="1157" t="s">
        <v>48</v>
      </c>
      <c r="D18" s="1157" t="s">
        <v>48</v>
      </c>
      <c r="E18" s="1157" t="s">
        <v>48</v>
      </c>
      <c r="F18" s="1157" t="s">
        <v>48</v>
      </c>
      <c r="G18" s="1157" t="s">
        <v>48</v>
      </c>
      <c r="H18" s="1157">
        <v>8</v>
      </c>
      <c r="I18" s="1157" t="s">
        <v>839</v>
      </c>
      <c r="J18" s="1155" t="s">
        <v>729</v>
      </c>
      <c r="K18" s="1522"/>
      <c r="L18" s="1519"/>
    </row>
    <row r="19" spans="1:12" ht="25.8">
      <c r="A19" s="995" t="s">
        <v>856</v>
      </c>
      <c r="B19" s="1154" t="s">
        <v>841</v>
      </c>
      <c r="C19" s="1161" t="s">
        <v>48</v>
      </c>
      <c r="D19" s="1159">
        <v>0</v>
      </c>
      <c r="E19" s="1159" t="s">
        <v>842</v>
      </c>
      <c r="F19" s="1111" t="s">
        <v>843</v>
      </c>
      <c r="G19" s="1160" t="s">
        <v>842</v>
      </c>
      <c r="H19" s="1155">
        <v>64</v>
      </c>
      <c r="I19" s="1155" t="s">
        <v>844</v>
      </c>
      <c r="J19" s="1155" t="s">
        <v>729</v>
      </c>
      <c r="K19" s="1522"/>
      <c r="L19" s="1519"/>
    </row>
    <row r="20" spans="1:12">
      <c r="A20" s="995" t="s">
        <v>857</v>
      </c>
      <c r="B20" s="1154" t="s">
        <v>858</v>
      </c>
      <c r="C20" s="1157" t="s">
        <v>48</v>
      </c>
      <c r="D20" s="1157" t="s">
        <v>48</v>
      </c>
      <c r="E20" s="1157" t="s">
        <v>48</v>
      </c>
      <c r="F20" s="1157" t="s">
        <v>48</v>
      </c>
      <c r="G20" s="1157" t="s">
        <v>48</v>
      </c>
      <c r="H20" s="1157">
        <v>8</v>
      </c>
      <c r="I20" s="1157" t="s">
        <v>839</v>
      </c>
      <c r="J20" s="1155" t="s">
        <v>729</v>
      </c>
      <c r="K20" s="1522"/>
      <c r="L20" s="1519"/>
    </row>
    <row r="21" spans="1:12" ht="25.8">
      <c r="A21" s="995" t="s">
        <v>859</v>
      </c>
      <c r="B21" s="1154" t="s">
        <v>841</v>
      </c>
      <c r="C21" s="1161" t="s">
        <v>48</v>
      </c>
      <c r="D21" s="1159">
        <v>0</v>
      </c>
      <c r="E21" s="1159" t="s">
        <v>842</v>
      </c>
      <c r="F21" s="1111" t="s">
        <v>843</v>
      </c>
      <c r="G21" s="1160" t="s">
        <v>842</v>
      </c>
      <c r="H21" s="1155">
        <v>64</v>
      </c>
      <c r="I21" s="1155" t="s">
        <v>844</v>
      </c>
      <c r="J21" s="1155" t="s">
        <v>729</v>
      </c>
      <c r="K21" s="1522"/>
      <c r="L21" s="1519"/>
    </row>
    <row r="22" spans="1:12">
      <c r="A22" s="995" t="s">
        <v>860</v>
      </c>
      <c r="B22" s="1154" t="s">
        <v>861</v>
      </c>
      <c r="C22" s="1157" t="s">
        <v>48</v>
      </c>
      <c r="D22" s="1157" t="s">
        <v>48</v>
      </c>
      <c r="E22" s="1157" t="s">
        <v>48</v>
      </c>
      <c r="F22" s="1157" t="s">
        <v>48</v>
      </c>
      <c r="G22" s="1157" t="s">
        <v>48</v>
      </c>
      <c r="H22" s="1157">
        <v>8</v>
      </c>
      <c r="I22" s="1157" t="s">
        <v>839</v>
      </c>
      <c r="J22" s="1155" t="s">
        <v>729</v>
      </c>
      <c r="K22" s="1522"/>
      <c r="L22" s="1519"/>
    </row>
    <row r="23" spans="1:12" ht="25.8">
      <c r="A23" s="995" t="s">
        <v>862</v>
      </c>
      <c r="B23" s="1154" t="s">
        <v>841</v>
      </c>
      <c r="C23" s="1161" t="s">
        <v>48</v>
      </c>
      <c r="D23" s="1159">
        <v>0</v>
      </c>
      <c r="E23" s="1159" t="s">
        <v>842</v>
      </c>
      <c r="F23" s="1111" t="s">
        <v>843</v>
      </c>
      <c r="G23" s="1160" t="s">
        <v>842</v>
      </c>
      <c r="H23" s="1155">
        <v>64</v>
      </c>
      <c r="I23" s="1155" t="s">
        <v>844</v>
      </c>
      <c r="J23" s="1155" t="s">
        <v>729</v>
      </c>
      <c r="K23" s="1522"/>
      <c r="L23" s="1519"/>
    </row>
    <row r="24" spans="1:12">
      <c r="A24" s="995" t="s">
        <v>863</v>
      </c>
      <c r="B24" s="1154" t="s">
        <v>864</v>
      </c>
      <c r="C24" s="1157" t="s">
        <v>48</v>
      </c>
      <c r="D24" s="1157" t="s">
        <v>48</v>
      </c>
      <c r="E24" s="1157" t="s">
        <v>48</v>
      </c>
      <c r="F24" s="1157" t="s">
        <v>48</v>
      </c>
      <c r="G24" s="1157" t="s">
        <v>48</v>
      </c>
      <c r="H24" s="1157">
        <v>8</v>
      </c>
      <c r="I24" s="1157" t="s">
        <v>839</v>
      </c>
      <c r="J24" s="1155" t="s">
        <v>729</v>
      </c>
      <c r="K24" s="1522"/>
      <c r="L24" s="1519"/>
    </row>
    <row r="25" spans="1:12" ht="47.25" customHeight="1">
      <c r="A25" s="995" t="s">
        <v>865</v>
      </c>
      <c r="B25" s="1154" t="s">
        <v>841</v>
      </c>
      <c r="C25" s="1161" t="s">
        <v>48</v>
      </c>
      <c r="D25" s="1159">
        <v>0</v>
      </c>
      <c r="E25" s="1159" t="s">
        <v>842</v>
      </c>
      <c r="F25" s="1111" t="s">
        <v>843</v>
      </c>
      <c r="G25" s="1160" t="s">
        <v>842</v>
      </c>
      <c r="H25" s="1155">
        <v>64</v>
      </c>
      <c r="I25" s="1155" t="s">
        <v>844</v>
      </c>
      <c r="J25" s="1155" t="s">
        <v>729</v>
      </c>
      <c r="K25" s="1522"/>
      <c r="L25" s="1519"/>
    </row>
    <row r="26" spans="1:12">
      <c r="A26" s="995" t="s">
        <v>866</v>
      </c>
      <c r="B26" s="1156" t="s">
        <v>867</v>
      </c>
      <c r="C26" s="1157" t="s">
        <v>48</v>
      </c>
      <c r="D26" s="1157" t="s">
        <v>48</v>
      </c>
      <c r="E26" s="1157" t="s">
        <v>48</v>
      </c>
      <c r="F26" s="1157" t="s">
        <v>48</v>
      </c>
      <c r="G26" s="1157" t="s">
        <v>48</v>
      </c>
      <c r="H26" s="1157">
        <v>8</v>
      </c>
      <c r="I26" s="1157" t="s">
        <v>839</v>
      </c>
      <c r="J26" s="1155" t="s">
        <v>729</v>
      </c>
      <c r="K26" s="1522"/>
      <c r="L26" s="1519"/>
    </row>
    <row r="27" spans="1:12" ht="35.25" customHeight="1">
      <c r="A27" s="995" t="s">
        <v>868</v>
      </c>
      <c r="B27" s="1156" t="s">
        <v>869</v>
      </c>
      <c r="C27" s="1158" t="s">
        <v>48</v>
      </c>
      <c r="D27" s="1162" t="s">
        <v>48</v>
      </c>
      <c r="E27" s="1113" t="s">
        <v>48</v>
      </c>
      <c r="F27" s="1162" t="s">
        <v>48</v>
      </c>
      <c r="G27" s="1162" t="s">
        <v>48</v>
      </c>
      <c r="H27" s="1162">
        <v>32</v>
      </c>
      <c r="I27" s="1162" t="s">
        <v>728</v>
      </c>
      <c r="J27" s="1155" t="s">
        <v>729</v>
      </c>
      <c r="K27" s="1522"/>
      <c r="L27" s="1519"/>
    </row>
    <row r="28" spans="1:12">
      <c r="A28" s="995" t="s">
        <v>870</v>
      </c>
      <c r="B28" s="1156" t="s">
        <v>871</v>
      </c>
      <c r="C28" s="1157" t="s">
        <v>48</v>
      </c>
      <c r="D28" s="1157" t="s">
        <v>48</v>
      </c>
      <c r="E28" s="1157" t="s">
        <v>48</v>
      </c>
      <c r="F28" s="1157" t="s">
        <v>48</v>
      </c>
      <c r="G28" s="1157" t="s">
        <v>48</v>
      </c>
      <c r="H28" s="1157">
        <v>8</v>
      </c>
      <c r="I28" s="1157" t="s">
        <v>839</v>
      </c>
      <c r="J28" s="1155" t="s">
        <v>729</v>
      </c>
      <c r="K28" s="1522"/>
      <c r="L28" s="1519"/>
    </row>
    <row r="29" spans="1:12" ht="25.8">
      <c r="A29" s="1163" t="s">
        <v>872</v>
      </c>
      <c r="B29" s="1164" t="s">
        <v>873</v>
      </c>
      <c r="C29" s="1165" t="s">
        <v>48</v>
      </c>
      <c r="D29" s="1165">
        <v>0</v>
      </c>
      <c r="E29" s="1165">
        <v>255</v>
      </c>
      <c r="F29" s="1166" t="s">
        <v>874</v>
      </c>
      <c r="G29" s="1167">
        <v>255</v>
      </c>
      <c r="H29" s="1096">
        <v>8</v>
      </c>
      <c r="I29" s="1096" t="s">
        <v>743</v>
      </c>
      <c r="J29" s="1168" t="s">
        <v>729</v>
      </c>
      <c r="K29" s="1522"/>
      <c r="L29" s="1519"/>
    </row>
    <row r="30" spans="1:12" ht="139.5" customHeight="1">
      <c r="A30" s="572" t="s">
        <v>875</v>
      </c>
      <c r="B30" s="325" t="s">
        <v>876</v>
      </c>
      <c r="C30" s="326" t="s">
        <v>48</v>
      </c>
      <c r="D30" s="326">
        <v>0</v>
      </c>
      <c r="E30" s="326">
        <v>255</v>
      </c>
      <c r="F30" s="326" t="s">
        <v>877</v>
      </c>
      <c r="G30" s="326">
        <v>255</v>
      </c>
      <c r="H30" s="326">
        <v>8</v>
      </c>
      <c r="I30" s="326" t="s">
        <v>743</v>
      </c>
      <c r="J30" s="326" t="s">
        <v>724</v>
      </c>
      <c r="K30" s="1523"/>
      <c r="L30" s="1519"/>
    </row>
    <row r="31" spans="1:12" ht="38.700000000000003">
      <c r="A31" s="572" t="s">
        <v>878</v>
      </c>
      <c r="B31" s="325" t="s">
        <v>879</v>
      </c>
      <c r="C31" s="326" t="s">
        <v>880</v>
      </c>
      <c r="D31" s="26">
        <v>0</v>
      </c>
      <c r="E31" s="26" t="s">
        <v>881</v>
      </c>
      <c r="F31" s="26" t="s">
        <v>882</v>
      </c>
      <c r="G31" s="26" t="s">
        <v>881</v>
      </c>
      <c r="H31" s="26">
        <v>64</v>
      </c>
      <c r="I31" s="346" t="s">
        <v>883</v>
      </c>
      <c r="J31" s="326" t="s">
        <v>724</v>
      </c>
      <c r="K31" s="1523"/>
      <c r="L31" s="1519"/>
    </row>
    <row r="32" spans="1:12" ht="38.700000000000003">
      <c r="A32" s="573" t="s">
        <v>884</v>
      </c>
      <c r="B32" s="327" t="s">
        <v>885</v>
      </c>
      <c r="C32" s="328" t="s">
        <v>880</v>
      </c>
      <c r="D32" s="329">
        <v>0</v>
      </c>
      <c r="E32" s="26" t="s">
        <v>881</v>
      </c>
      <c r="F32" s="26" t="s">
        <v>882</v>
      </c>
      <c r="G32" s="26" t="s">
        <v>881</v>
      </c>
      <c r="H32" s="329">
        <v>64</v>
      </c>
      <c r="I32" s="346" t="s">
        <v>883</v>
      </c>
      <c r="J32" s="328" t="s">
        <v>724</v>
      </c>
      <c r="K32" s="1522"/>
      <c r="L32" s="1519"/>
    </row>
    <row r="33" spans="1:15" ht="38.700000000000003">
      <c r="A33" s="995" t="s">
        <v>886</v>
      </c>
      <c r="B33" s="1156" t="s">
        <v>887</v>
      </c>
      <c r="C33" s="1155" t="s">
        <v>48</v>
      </c>
      <c r="D33" s="1155">
        <v>-0.8</v>
      </c>
      <c r="E33" s="26" t="s">
        <v>881</v>
      </c>
      <c r="F33" s="1155" t="s">
        <v>888</v>
      </c>
      <c r="G33" s="26" t="s">
        <v>881</v>
      </c>
      <c r="H33" s="1157">
        <v>64</v>
      </c>
      <c r="I33" s="346" t="s">
        <v>883</v>
      </c>
      <c r="J33" s="1155" t="s">
        <v>724</v>
      </c>
      <c r="K33" s="1522"/>
      <c r="L33" s="1519"/>
    </row>
    <row r="34" spans="1:15" ht="38.700000000000003">
      <c r="A34" s="995" t="s">
        <v>889</v>
      </c>
      <c r="B34" s="1156" t="s">
        <v>887</v>
      </c>
      <c r="C34" s="1155" t="s">
        <v>48</v>
      </c>
      <c r="D34" s="1155">
        <v>-0.8</v>
      </c>
      <c r="E34" s="26" t="s">
        <v>881</v>
      </c>
      <c r="F34" s="1155" t="s">
        <v>888</v>
      </c>
      <c r="G34" s="26" t="s">
        <v>881</v>
      </c>
      <c r="H34" s="1157">
        <v>64</v>
      </c>
      <c r="I34" s="346" t="s">
        <v>883</v>
      </c>
      <c r="J34" s="1155" t="s">
        <v>724</v>
      </c>
      <c r="K34" s="1522"/>
      <c r="L34" s="1519"/>
    </row>
    <row r="35" spans="1:15" ht="38.700000000000003">
      <c r="A35" s="995" t="s">
        <v>890</v>
      </c>
      <c r="B35" s="1156" t="s">
        <v>887</v>
      </c>
      <c r="C35" s="1155" t="s">
        <v>48</v>
      </c>
      <c r="D35" s="1155">
        <v>-0.8</v>
      </c>
      <c r="E35" s="26" t="s">
        <v>881</v>
      </c>
      <c r="F35" s="1155" t="s">
        <v>888</v>
      </c>
      <c r="G35" s="26" t="s">
        <v>881</v>
      </c>
      <c r="H35" s="1157">
        <v>64</v>
      </c>
      <c r="I35" s="346" t="s">
        <v>883</v>
      </c>
      <c r="J35" s="1155" t="s">
        <v>724</v>
      </c>
      <c r="K35" s="1522"/>
      <c r="L35" s="1519"/>
    </row>
    <row r="36" spans="1:15" ht="38.700000000000003">
      <c r="A36" s="995" t="s">
        <v>891</v>
      </c>
      <c r="B36" s="1156" t="s">
        <v>887</v>
      </c>
      <c r="C36" s="1155" t="s">
        <v>48</v>
      </c>
      <c r="D36" s="1155">
        <v>-0.8</v>
      </c>
      <c r="E36" s="26" t="s">
        <v>881</v>
      </c>
      <c r="F36" s="1155" t="s">
        <v>888</v>
      </c>
      <c r="G36" s="26" t="s">
        <v>881</v>
      </c>
      <c r="H36" s="1157">
        <v>64</v>
      </c>
      <c r="I36" s="346" t="s">
        <v>883</v>
      </c>
      <c r="J36" s="1155" t="s">
        <v>724</v>
      </c>
      <c r="K36" s="1522"/>
      <c r="L36" s="1519"/>
    </row>
    <row r="37" spans="1:15" ht="38.700000000000003">
      <c r="A37" s="995" t="s">
        <v>892</v>
      </c>
      <c r="B37" s="1156" t="s">
        <v>887</v>
      </c>
      <c r="C37" s="1155" t="s">
        <v>48</v>
      </c>
      <c r="D37" s="1155">
        <v>-0.8</v>
      </c>
      <c r="E37" s="26" t="s">
        <v>881</v>
      </c>
      <c r="F37" s="1155" t="s">
        <v>888</v>
      </c>
      <c r="G37" s="26" t="s">
        <v>881</v>
      </c>
      <c r="H37" s="1157">
        <v>64</v>
      </c>
      <c r="I37" s="346" t="s">
        <v>883</v>
      </c>
      <c r="J37" s="1155" t="s">
        <v>724</v>
      </c>
      <c r="K37" s="1522"/>
      <c r="L37" s="1519"/>
    </row>
    <row r="38" spans="1:15" ht="38.700000000000003">
      <c r="A38" s="995" t="s">
        <v>893</v>
      </c>
      <c r="B38" s="1156" t="s">
        <v>887</v>
      </c>
      <c r="C38" s="1155" t="s">
        <v>48</v>
      </c>
      <c r="D38" s="1155">
        <v>-0.8</v>
      </c>
      <c r="E38" s="26" t="s">
        <v>881</v>
      </c>
      <c r="F38" s="1155" t="s">
        <v>888</v>
      </c>
      <c r="G38" s="26" t="s">
        <v>881</v>
      </c>
      <c r="H38" s="1157">
        <v>64</v>
      </c>
      <c r="I38" s="346" t="s">
        <v>883</v>
      </c>
      <c r="J38" s="1155" t="s">
        <v>724</v>
      </c>
      <c r="K38" s="1522"/>
      <c r="L38" s="1519"/>
    </row>
    <row r="39" spans="1:15" ht="38.700000000000003">
      <c r="A39" s="995" t="s">
        <v>894</v>
      </c>
      <c r="B39" s="1156" t="s">
        <v>887</v>
      </c>
      <c r="C39" s="1155" t="s">
        <v>48</v>
      </c>
      <c r="D39" s="1155">
        <v>-0.8</v>
      </c>
      <c r="E39" s="26" t="s">
        <v>881</v>
      </c>
      <c r="F39" s="1155" t="s">
        <v>888</v>
      </c>
      <c r="G39" s="26" t="s">
        <v>881</v>
      </c>
      <c r="H39" s="1157">
        <v>64</v>
      </c>
      <c r="I39" s="346" t="s">
        <v>883</v>
      </c>
      <c r="J39" s="1155" t="s">
        <v>724</v>
      </c>
      <c r="K39" s="1522"/>
      <c r="L39" s="1519"/>
    </row>
    <row r="40" spans="1:15" ht="38.700000000000003">
      <c r="A40" s="995" t="s">
        <v>895</v>
      </c>
      <c r="B40" s="1156" t="s">
        <v>887</v>
      </c>
      <c r="C40" s="1155" t="s">
        <v>48</v>
      </c>
      <c r="D40" s="1155">
        <v>-0.8</v>
      </c>
      <c r="E40" s="26" t="s">
        <v>881</v>
      </c>
      <c r="F40" s="1155" t="s">
        <v>888</v>
      </c>
      <c r="G40" s="26" t="s">
        <v>881</v>
      </c>
      <c r="H40" s="1157">
        <v>64</v>
      </c>
      <c r="I40" s="346" t="s">
        <v>883</v>
      </c>
      <c r="J40" s="1155" t="s">
        <v>724</v>
      </c>
      <c r="K40" s="1522"/>
      <c r="L40" s="1519"/>
    </row>
    <row r="41" spans="1:15" ht="38.700000000000003">
      <c r="A41" s="995" t="s">
        <v>896</v>
      </c>
      <c r="B41" s="1156" t="s">
        <v>887</v>
      </c>
      <c r="C41" s="1155" t="s">
        <v>48</v>
      </c>
      <c r="D41" s="1155">
        <v>-0.8</v>
      </c>
      <c r="E41" s="26" t="s">
        <v>881</v>
      </c>
      <c r="F41" s="1155" t="s">
        <v>888</v>
      </c>
      <c r="G41" s="26" t="s">
        <v>881</v>
      </c>
      <c r="H41" s="1157">
        <v>64</v>
      </c>
      <c r="I41" s="346" t="s">
        <v>883</v>
      </c>
      <c r="J41" s="1155" t="s">
        <v>724</v>
      </c>
      <c r="K41" s="1522"/>
      <c r="L41" s="1519"/>
    </row>
    <row r="42" spans="1:15" ht="38.700000000000003">
      <c r="A42" s="995" t="s">
        <v>897</v>
      </c>
      <c r="B42" s="1156" t="s">
        <v>887</v>
      </c>
      <c r="C42" s="1155" t="s">
        <v>48</v>
      </c>
      <c r="D42" s="1155">
        <v>-0.8</v>
      </c>
      <c r="E42" s="26" t="s">
        <v>881</v>
      </c>
      <c r="F42" s="1155" t="s">
        <v>888</v>
      </c>
      <c r="G42" s="26" t="s">
        <v>881</v>
      </c>
      <c r="H42" s="1157">
        <v>64</v>
      </c>
      <c r="I42" s="346" t="s">
        <v>883</v>
      </c>
      <c r="J42" s="1155" t="s">
        <v>724</v>
      </c>
      <c r="K42" s="1522"/>
      <c r="L42" s="1519"/>
    </row>
    <row r="43" spans="1:15" ht="38.700000000000003">
      <c r="A43" s="995" t="s">
        <v>898</v>
      </c>
      <c r="B43" s="1156" t="s">
        <v>887</v>
      </c>
      <c r="C43" s="1155" t="s">
        <v>48</v>
      </c>
      <c r="D43" s="1155">
        <v>-0.8</v>
      </c>
      <c r="E43" s="26" t="s">
        <v>881</v>
      </c>
      <c r="F43" s="1155" t="s">
        <v>888</v>
      </c>
      <c r="G43" s="26" t="s">
        <v>881</v>
      </c>
      <c r="H43" s="1157">
        <v>64</v>
      </c>
      <c r="I43" s="346" t="s">
        <v>883</v>
      </c>
      <c r="J43" s="1155" t="s">
        <v>724</v>
      </c>
      <c r="K43" s="1522"/>
      <c r="L43" s="1519"/>
    </row>
    <row r="44" spans="1:15" ht="38.700000000000003">
      <c r="A44" s="995" t="s">
        <v>899</v>
      </c>
      <c r="B44" s="1156" t="s">
        <v>887</v>
      </c>
      <c r="C44" s="1155" t="s">
        <v>48</v>
      </c>
      <c r="D44" s="1155">
        <v>-0.8</v>
      </c>
      <c r="E44" s="26" t="s">
        <v>881</v>
      </c>
      <c r="F44" s="1155" t="s">
        <v>888</v>
      </c>
      <c r="G44" s="26" t="s">
        <v>881</v>
      </c>
      <c r="H44" s="1157">
        <v>64</v>
      </c>
      <c r="I44" s="346" t="s">
        <v>883</v>
      </c>
      <c r="J44" s="1155" t="s">
        <v>724</v>
      </c>
      <c r="K44" s="1522"/>
      <c r="L44" s="1519"/>
    </row>
    <row r="45" spans="1:15" ht="38.700000000000003">
      <c r="A45" s="995" t="s">
        <v>900</v>
      </c>
      <c r="B45" s="1156" t="s">
        <v>887</v>
      </c>
      <c r="C45" s="1155" t="s">
        <v>48</v>
      </c>
      <c r="D45" s="1155">
        <v>-0.8</v>
      </c>
      <c r="E45" s="26" t="s">
        <v>881</v>
      </c>
      <c r="F45" s="1155" t="s">
        <v>888</v>
      </c>
      <c r="G45" s="26" t="s">
        <v>881</v>
      </c>
      <c r="H45" s="1157">
        <v>64</v>
      </c>
      <c r="I45" s="346" t="s">
        <v>883</v>
      </c>
      <c r="J45" s="1155" t="s">
        <v>724</v>
      </c>
      <c r="K45" s="1522"/>
      <c r="L45" s="1519"/>
      <c r="O45" s="255"/>
    </row>
    <row r="46" spans="1:15" ht="38.700000000000003">
      <c r="A46" s="995" t="s">
        <v>901</v>
      </c>
      <c r="B46" s="1156" t="s">
        <v>887</v>
      </c>
      <c r="C46" s="1155" t="s">
        <v>48</v>
      </c>
      <c r="D46" s="1155">
        <v>-0.8</v>
      </c>
      <c r="E46" s="26" t="s">
        <v>881</v>
      </c>
      <c r="F46" s="1155" t="s">
        <v>888</v>
      </c>
      <c r="G46" s="26" t="s">
        <v>881</v>
      </c>
      <c r="H46" s="1157">
        <v>64</v>
      </c>
      <c r="I46" s="346" t="s">
        <v>883</v>
      </c>
      <c r="J46" s="1155" t="s">
        <v>724</v>
      </c>
      <c r="K46" s="1522"/>
      <c r="L46" s="1519"/>
    </row>
    <row r="47" spans="1:15" ht="38.700000000000003">
      <c r="A47" s="995" t="s">
        <v>902</v>
      </c>
      <c r="B47" s="1156" t="s">
        <v>887</v>
      </c>
      <c r="C47" s="1155" t="s">
        <v>48</v>
      </c>
      <c r="D47" s="1155">
        <v>-0.8</v>
      </c>
      <c r="E47" s="26" t="s">
        <v>881</v>
      </c>
      <c r="F47" s="1155" t="s">
        <v>888</v>
      </c>
      <c r="G47" s="26" t="s">
        <v>881</v>
      </c>
      <c r="H47" s="1157">
        <v>64</v>
      </c>
      <c r="I47" s="346" t="s">
        <v>883</v>
      </c>
      <c r="J47" s="1155" t="s">
        <v>724</v>
      </c>
      <c r="K47" s="1522"/>
      <c r="L47" s="1519"/>
    </row>
    <row r="48" spans="1:15" ht="38.700000000000003">
      <c r="A48" s="995" t="s">
        <v>903</v>
      </c>
      <c r="B48" s="1156" t="s">
        <v>887</v>
      </c>
      <c r="C48" s="1155" t="s">
        <v>48</v>
      </c>
      <c r="D48" s="1155">
        <v>-0.8</v>
      </c>
      <c r="E48" s="26" t="s">
        <v>881</v>
      </c>
      <c r="F48" s="1155" t="s">
        <v>888</v>
      </c>
      <c r="G48" s="26" t="s">
        <v>881</v>
      </c>
      <c r="H48" s="1157">
        <v>64</v>
      </c>
      <c r="I48" s="346" t="s">
        <v>883</v>
      </c>
      <c r="J48" s="1155" t="s">
        <v>724</v>
      </c>
      <c r="K48" s="1522"/>
      <c r="L48" s="1519"/>
    </row>
    <row r="49" spans="1:12" ht="38.700000000000003">
      <c r="A49" s="995" t="s">
        <v>904</v>
      </c>
      <c r="B49" s="1156" t="s">
        <v>905</v>
      </c>
      <c r="C49" s="1155" t="s">
        <v>880</v>
      </c>
      <c r="D49" s="1155">
        <v>0</v>
      </c>
      <c r="E49" s="26" t="s">
        <v>881</v>
      </c>
      <c r="F49" s="1155" t="s">
        <v>906</v>
      </c>
      <c r="G49" s="26" t="s">
        <v>881</v>
      </c>
      <c r="H49" s="1157">
        <v>64</v>
      </c>
      <c r="I49" s="346" t="s">
        <v>883</v>
      </c>
      <c r="J49" s="1155" t="s">
        <v>724</v>
      </c>
      <c r="K49" s="1522"/>
      <c r="L49" s="1519"/>
    </row>
    <row r="50" spans="1:12" ht="38.700000000000003">
      <c r="A50" s="995" t="s">
        <v>907</v>
      </c>
      <c r="B50" s="1156" t="s">
        <v>908</v>
      </c>
      <c r="C50" s="1155" t="s">
        <v>880</v>
      </c>
      <c r="D50" s="1155">
        <v>0</v>
      </c>
      <c r="E50" s="26" t="s">
        <v>881</v>
      </c>
      <c r="F50" s="1155" t="s">
        <v>906</v>
      </c>
      <c r="G50" s="26" t="s">
        <v>881</v>
      </c>
      <c r="H50" s="1157">
        <v>64</v>
      </c>
      <c r="I50" s="346" t="s">
        <v>883</v>
      </c>
      <c r="J50" s="1155" t="s">
        <v>724</v>
      </c>
      <c r="K50" s="1522"/>
      <c r="L50" s="1519"/>
    </row>
    <row r="51" spans="1:12" ht="53.25" customHeight="1">
      <c r="A51" s="995" t="s">
        <v>909</v>
      </c>
      <c r="B51" s="1156" t="s">
        <v>910</v>
      </c>
      <c r="C51" s="1155" t="s">
        <v>880</v>
      </c>
      <c r="D51" s="1155">
        <v>0</v>
      </c>
      <c r="E51" s="26" t="s">
        <v>881</v>
      </c>
      <c r="F51" s="1155" t="s">
        <v>882</v>
      </c>
      <c r="G51" s="26" t="s">
        <v>881</v>
      </c>
      <c r="H51" s="1157">
        <v>64</v>
      </c>
      <c r="I51" s="346" t="s">
        <v>883</v>
      </c>
      <c r="J51" s="1155" t="s">
        <v>724</v>
      </c>
      <c r="K51" s="1522"/>
      <c r="L51" s="1519"/>
    </row>
    <row r="52" spans="1:12" ht="38.700000000000003">
      <c r="A52" s="995" t="s">
        <v>911</v>
      </c>
      <c r="B52" s="1156" t="s">
        <v>912</v>
      </c>
      <c r="C52" s="1155" t="s">
        <v>880</v>
      </c>
      <c r="D52" s="1157">
        <v>0</v>
      </c>
      <c r="E52" s="26" t="s">
        <v>881</v>
      </c>
      <c r="F52" s="1155" t="s">
        <v>882</v>
      </c>
      <c r="G52" s="26" t="s">
        <v>881</v>
      </c>
      <c r="H52" s="1157">
        <v>64</v>
      </c>
      <c r="I52" s="346" t="s">
        <v>883</v>
      </c>
      <c r="J52" s="1155" t="s">
        <v>724</v>
      </c>
      <c r="K52" s="1522"/>
      <c r="L52" s="1519"/>
    </row>
    <row r="53" spans="1:12" ht="38.700000000000003">
      <c r="A53" s="995" t="s">
        <v>913</v>
      </c>
      <c r="B53" s="1156" t="s">
        <v>914</v>
      </c>
      <c r="C53" s="1155" t="s">
        <v>880</v>
      </c>
      <c r="D53" s="1157">
        <v>0</v>
      </c>
      <c r="E53" s="26" t="s">
        <v>881</v>
      </c>
      <c r="F53" s="1155" t="s">
        <v>882</v>
      </c>
      <c r="G53" s="26" t="s">
        <v>881</v>
      </c>
      <c r="H53" s="1157">
        <v>64</v>
      </c>
      <c r="I53" s="346" t="s">
        <v>883</v>
      </c>
      <c r="J53" s="1155" t="s">
        <v>724</v>
      </c>
      <c r="K53" s="1522"/>
      <c r="L53" s="1519"/>
    </row>
    <row r="54" spans="1:12">
      <c r="A54" s="995" t="s">
        <v>915</v>
      </c>
      <c r="B54" s="1156" t="s">
        <v>916</v>
      </c>
      <c r="C54" s="1157" t="s">
        <v>48</v>
      </c>
      <c r="D54" s="1157" t="s">
        <v>48</v>
      </c>
      <c r="E54" s="1157" t="s">
        <v>48</v>
      </c>
      <c r="F54" s="1157" t="s">
        <v>48</v>
      </c>
      <c r="G54" s="1157" t="s">
        <v>48</v>
      </c>
      <c r="H54" s="1157">
        <v>8</v>
      </c>
      <c r="I54" s="1157" t="s">
        <v>839</v>
      </c>
      <c r="J54" s="1155" t="s">
        <v>729</v>
      </c>
      <c r="K54" s="1522"/>
      <c r="L54" s="1519"/>
    </row>
    <row r="55" spans="1:12" ht="25.8">
      <c r="A55" s="995" t="s">
        <v>917</v>
      </c>
      <c r="B55" s="1156" t="s">
        <v>918</v>
      </c>
      <c r="C55" s="1157" t="s">
        <v>919</v>
      </c>
      <c r="D55" s="1155">
        <v>-2.56</v>
      </c>
      <c r="E55" s="687" t="s">
        <v>920</v>
      </c>
      <c r="F55" s="1157" t="s">
        <v>921</v>
      </c>
      <c r="G55" s="687" t="s">
        <v>920</v>
      </c>
      <c r="H55" s="1157">
        <v>32</v>
      </c>
      <c r="I55" s="1157" t="s">
        <v>922</v>
      </c>
      <c r="J55" s="1155" t="s">
        <v>729</v>
      </c>
      <c r="K55" s="1522"/>
      <c r="L55" s="1519"/>
    </row>
    <row r="56" spans="1:12">
      <c r="A56" s="995" t="s">
        <v>923</v>
      </c>
      <c r="B56" s="1156" t="s">
        <v>924</v>
      </c>
      <c r="C56" s="1157" t="s">
        <v>48</v>
      </c>
      <c r="D56" s="1157" t="s">
        <v>48</v>
      </c>
      <c r="E56" s="1157" t="s">
        <v>48</v>
      </c>
      <c r="F56" s="1157" t="s">
        <v>48</v>
      </c>
      <c r="G56" s="1157" t="s">
        <v>48</v>
      </c>
      <c r="H56" s="1157">
        <v>8</v>
      </c>
      <c r="I56" s="1157" t="s">
        <v>839</v>
      </c>
      <c r="J56" s="1155" t="s">
        <v>729</v>
      </c>
      <c r="K56" s="1522"/>
      <c r="L56" s="1519"/>
    </row>
    <row r="57" spans="1:12" ht="25.8">
      <c r="A57" s="995" t="s">
        <v>925</v>
      </c>
      <c r="B57" s="1156" t="s">
        <v>926</v>
      </c>
      <c r="C57" s="1157" t="s">
        <v>919</v>
      </c>
      <c r="D57" s="1155">
        <v>-2.56</v>
      </c>
      <c r="E57" s="687" t="s">
        <v>920</v>
      </c>
      <c r="F57" s="1157" t="s">
        <v>921</v>
      </c>
      <c r="G57" s="687" t="s">
        <v>920</v>
      </c>
      <c r="H57" s="1157">
        <v>32</v>
      </c>
      <c r="I57" s="1157" t="s">
        <v>922</v>
      </c>
      <c r="J57" s="1155" t="s">
        <v>729</v>
      </c>
      <c r="K57" s="1522"/>
      <c r="L57" s="1519"/>
    </row>
    <row r="58" spans="1:12">
      <c r="A58" s="995" t="s">
        <v>927</v>
      </c>
      <c r="B58" s="1154" t="s">
        <v>928</v>
      </c>
      <c r="C58" s="1157" t="s">
        <v>48</v>
      </c>
      <c r="D58" s="1157" t="s">
        <v>48</v>
      </c>
      <c r="E58" s="1157" t="s">
        <v>48</v>
      </c>
      <c r="F58" s="1157" t="s">
        <v>48</v>
      </c>
      <c r="G58" s="1157" t="s">
        <v>48</v>
      </c>
      <c r="H58" s="1157">
        <v>8</v>
      </c>
      <c r="I58" s="1157" t="s">
        <v>839</v>
      </c>
      <c r="J58" s="1155" t="s">
        <v>729</v>
      </c>
      <c r="K58" s="1522"/>
      <c r="L58" s="1519"/>
    </row>
    <row r="59" spans="1:12" ht="25.8">
      <c r="A59" s="995" t="s">
        <v>929</v>
      </c>
      <c r="B59" s="1156" t="s">
        <v>930</v>
      </c>
      <c r="C59" s="1157" t="s">
        <v>919</v>
      </c>
      <c r="D59" s="1155">
        <v>-10.24</v>
      </c>
      <c r="E59" s="687" t="s">
        <v>920</v>
      </c>
      <c r="F59" s="1157" t="s">
        <v>931</v>
      </c>
      <c r="G59" s="687" t="s">
        <v>920</v>
      </c>
      <c r="H59" s="1157">
        <v>32</v>
      </c>
      <c r="I59" s="1157" t="s">
        <v>922</v>
      </c>
      <c r="J59" s="1155" t="s">
        <v>729</v>
      </c>
      <c r="K59" s="1522"/>
      <c r="L59" s="1519"/>
    </row>
    <row r="60" spans="1:12">
      <c r="A60" s="995" t="s">
        <v>932</v>
      </c>
      <c r="B60" s="1156" t="s">
        <v>933</v>
      </c>
      <c r="C60" s="1157" t="s">
        <v>48</v>
      </c>
      <c r="D60" s="1157" t="s">
        <v>48</v>
      </c>
      <c r="E60" s="1157" t="s">
        <v>48</v>
      </c>
      <c r="F60" s="1157" t="s">
        <v>48</v>
      </c>
      <c r="G60" s="1157" t="s">
        <v>48</v>
      </c>
      <c r="H60" s="1157">
        <v>8</v>
      </c>
      <c r="I60" s="1157" t="s">
        <v>839</v>
      </c>
      <c r="J60" s="1155" t="s">
        <v>729</v>
      </c>
      <c r="K60" s="1522"/>
      <c r="L60" s="1519"/>
    </row>
    <row r="61" spans="1:12" ht="25.8">
      <c r="A61" s="995" t="s">
        <v>934</v>
      </c>
      <c r="B61" s="1156" t="s">
        <v>935</v>
      </c>
      <c r="C61" s="1157" t="s">
        <v>936</v>
      </c>
      <c r="D61" s="1155">
        <v>0</v>
      </c>
      <c r="E61" s="687" t="s">
        <v>920</v>
      </c>
      <c r="F61" s="1155" t="s">
        <v>937</v>
      </c>
      <c r="G61" s="687" t="s">
        <v>920</v>
      </c>
      <c r="H61" s="1157">
        <v>32</v>
      </c>
      <c r="I61" s="1157" t="s">
        <v>922</v>
      </c>
      <c r="J61" s="1155" t="s">
        <v>729</v>
      </c>
      <c r="K61" s="1522"/>
      <c r="L61" s="1519"/>
    </row>
    <row r="62" spans="1:12">
      <c r="A62" s="995" t="s">
        <v>938</v>
      </c>
      <c r="B62" s="1154" t="s">
        <v>939</v>
      </c>
      <c r="C62" s="1157" t="s">
        <v>48</v>
      </c>
      <c r="D62" s="1157" t="s">
        <v>48</v>
      </c>
      <c r="E62" s="1157" t="s">
        <v>48</v>
      </c>
      <c r="F62" s="1157" t="s">
        <v>48</v>
      </c>
      <c r="G62" s="1157" t="s">
        <v>48</v>
      </c>
      <c r="H62" s="1157">
        <v>8</v>
      </c>
      <c r="I62" s="1157" t="s">
        <v>839</v>
      </c>
      <c r="J62" s="1155" t="s">
        <v>729</v>
      </c>
      <c r="K62" s="1522"/>
      <c r="L62" s="1519"/>
    </row>
    <row r="63" spans="1:12" ht="25.8">
      <c r="A63" s="995" t="s">
        <v>940</v>
      </c>
      <c r="B63" s="1154" t="s">
        <v>941</v>
      </c>
      <c r="C63" s="1157" t="s">
        <v>936</v>
      </c>
      <c r="D63" s="1155">
        <v>-3.1415999999999999</v>
      </c>
      <c r="E63" s="687" t="s">
        <v>920</v>
      </c>
      <c r="F63" s="1155" t="s">
        <v>942</v>
      </c>
      <c r="G63" s="687" t="s">
        <v>920</v>
      </c>
      <c r="H63" s="1157">
        <v>32</v>
      </c>
      <c r="I63" s="1157" t="s">
        <v>922</v>
      </c>
      <c r="J63" s="1155" t="s">
        <v>724</v>
      </c>
      <c r="K63" s="1522"/>
      <c r="L63" s="1519"/>
    </row>
    <row r="64" spans="1:12">
      <c r="A64" s="995" t="s">
        <v>943</v>
      </c>
      <c r="B64" s="1154" t="s">
        <v>944</v>
      </c>
      <c r="C64" s="1157" t="s">
        <v>48</v>
      </c>
      <c r="D64" s="1157" t="s">
        <v>48</v>
      </c>
      <c r="E64" s="1157" t="s">
        <v>48</v>
      </c>
      <c r="F64" s="1157" t="s">
        <v>48</v>
      </c>
      <c r="G64" s="1157" t="s">
        <v>48</v>
      </c>
      <c r="H64" s="1157">
        <v>8</v>
      </c>
      <c r="I64" s="1157" t="s">
        <v>839</v>
      </c>
      <c r="J64" s="1155" t="s">
        <v>729</v>
      </c>
      <c r="K64" s="1522"/>
      <c r="L64" s="1519"/>
    </row>
    <row r="65" spans="1:12" ht="25.8">
      <c r="A65" s="995" t="s">
        <v>945</v>
      </c>
      <c r="B65" s="1154" t="s">
        <v>946</v>
      </c>
      <c r="C65" s="1157" t="s">
        <v>936</v>
      </c>
      <c r="D65" s="1155">
        <v>-3.1415999999999999</v>
      </c>
      <c r="E65" s="1157" t="s">
        <v>920</v>
      </c>
      <c r="F65" s="1155" t="s">
        <v>942</v>
      </c>
      <c r="G65" s="1157" t="s">
        <v>920</v>
      </c>
      <c r="H65" s="1157">
        <v>32</v>
      </c>
      <c r="I65" s="1157" t="s">
        <v>922</v>
      </c>
      <c r="J65" s="1155" t="s">
        <v>729</v>
      </c>
      <c r="K65" s="1522"/>
      <c r="L65" s="1519"/>
    </row>
    <row r="66" spans="1:12">
      <c r="A66" s="995" t="s">
        <v>947</v>
      </c>
      <c r="B66" s="1154" t="s">
        <v>948</v>
      </c>
      <c r="C66" s="1157" t="s">
        <v>48</v>
      </c>
      <c r="D66" s="1157" t="s">
        <v>48</v>
      </c>
      <c r="E66" s="1157" t="s">
        <v>48</v>
      </c>
      <c r="F66" s="1157" t="s">
        <v>48</v>
      </c>
      <c r="G66" s="1157" t="s">
        <v>48</v>
      </c>
      <c r="H66" s="1157">
        <v>8</v>
      </c>
      <c r="I66" s="1157" t="s">
        <v>839</v>
      </c>
      <c r="J66" s="1155" t="s">
        <v>729</v>
      </c>
      <c r="K66" s="1522"/>
      <c r="L66" s="1519"/>
    </row>
    <row r="67" spans="1:12" ht="25.8">
      <c r="A67" s="995" t="s">
        <v>949</v>
      </c>
      <c r="B67" s="1154" t="s">
        <v>950</v>
      </c>
      <c r="C67" s="1157" t="s">
        <v>936</v>
      </c>
      <c r="D67" s="1155">
        <v>0</v>
      </c>
      <c r="E67" s="1157" t="s">
        <v>920</v>
      </c>
      <c r="F67" s="1155" t="s">
        <v>937</v>
      </c>
      <c r="G67" s="1157" t="s">
        <v>920</v>
      </c>
      <c r="H67" s="1157">
        <v>32</v>
      </c>
      <c r="I67" s="1157" t="s">
        <v>922</v>
      </c>
      <c r="J67" s="1155" t="s">
        <v>729</v>
      </c>
      <c r="K67" s="1522"/>
      <c r="L67" s="1519"/>
    </row>
    <row r="68" spans="1:12">
      <c r="A68" s="995" t="s">
        <v>951</v>
      </c>
      <c r="B68" s="1154" t="s">
        <v>952</v>
      </c>
      <c r="C68" s="1157" t="s">
        <v>48</v>
      </c>
      <c r="D68" s="1157" t="s">
        <v>48</v>
      </c>
      <c r="E68" s="1157" t="s">
        <v>48</v>
      </c>
      <c r="F68" s="1157" t="s">
        <v>48</v>
      </c>
      <c r="G68" s="1157" t="s">
        <v>48</v>
      </c>
      <c r="H68" s="1157">
        <v>8</v>
      </c>
      <c r="I68" s="1157" t="s">
        <v>839</v>
      </c>
      <c r="J68" s="1155" t="s">
        <v>729</v>
      </c>
      <c r="K68" s="1522"/>
      <c r="L68" s="1519"/>
    </row>
    <row r="69" spans="1:12" ht="25.8">
      <c r="A69" s="995" t="s">
        <v>953</v>
      </c>
      <c r="B69" s="1154" t="s">
        <v>954</v>
      </c>
      <c r="C69" s="1155" t="s">
        <v>48</v>
      </c>
      <c r="D69" s="1155">
        <v>10</v>
      </c>
      <c r="E69" s="1157" t="s">
        <v>920</v>
      </c>
      <c r="F69" s="1169" t="s">
        <v>955</v>
      </c>
      <c r="G69" s="1157" t="s">
        <v>920</v>
      </c>
      <c r="H69" s="1155">
        <v>32</v>
      </c>
      <c r="I69" s="1155" t="s">
        <v>922</v>
      </c>
      <c r="J69" s="1155" t="s">
        <v>729</v>
      </c>
      <c r="K69" s="1522"/>
      <c r="L69" s="1519"/>
    </row>
    <row r="70" spans="1:12">
      <c r="A70" s="996" t="s">
        <v>956</v>
      </c>
      <c r="B70" s="1154" t="s">
        <v>957</v>
      </c>
      <c r="C70" s="1157" t="s">
        <v>48</v>
      </c>
      <c r="D70" s="1157" t="s">
        <v>48</v>
      </c>
      <c r="E70" s="1157" t="s">
        <v>48</v>
      </c>
      <c r="F70" s="1157" t="s">
        <v>48</v>
      </c>
      <c r="G70" s="1157" t="s">
        <v>48</v>
      </c>
      <c r="H70" s="1157">
        <v>8</v>
      </c>
      <c r="I70" s="1157" t="s">
        <v>839</v>
      </c>
      <c r="J70" s="1155" t="s">
        <v>729</v>
      </c>
      <c r="K70" s="1522"/>
      <c r="L70" s="1519"/>
    </row>
    <row r="71" spans="1:12" ht="28.8">
      <c r="A71" s="996" t="s">
        <v>958</v>
      </c>
      <c r="B71" s="1170" t="s">
        <v>959</v>
      </c>
      <c r="C71" s="1155" t="s">
        <v>919</v>
      </c>
      <c r="D71" s="1155">
        <v>0</v>
      </c>
      <c r="E71" s="1155" t="s">
        <v>920</v>
      </c>
      <c r="F71" s="1157" t="s">
        <v>960</v>
      </c>
      <c r="G71" s="1157" t="s">
        <v>920</v>
      </c>
      <c r="H71" s="1155">
        <v>32</v>
      </c>
      <c r="I71" s="1155" t="s">
        <v>922</v>
      </c>
      <c r="J71" s="1155" t="s">
        <v>729</v>
      </c>
      <c r="K71" s="1522"/>
      <c r="L71" s="1519"/>
    </row>
    <row r="72" spans="1:12">
      <c r="A72" s="995" t="s">
        <v>961</v>
      </c>
      <c r="B72" s="1154" t="s">
        <v>962</v>
      </c>
      <c r="C72" s="1157" t="s">
        <v>48</v>
      </c>
      <c r="D72" s="1157" t="s">
        <v>48</v>
      </c>
      <c r="E72" s="1157" t="s">
        <v>48</v>
      </c>
      <c r="F72" s="1157" t="s">
        <v>48</v>
      </c>
      <c r="G72" s="1157" t="s">
        <v>48</v>
      </c>
      <c r="H72" s="1157">
        <v>8</v>
      </c>
      <c r="I72" s="1157" t="s">
        <v>839</v>
      </c>
      <c r="J72" s="1155" t="s">
        <v>729</v>
      </c>
      <c r="K72" s="1522"/>
      <c r="L72" s="1519"/>
    </row>
    <row r="73" spans="1:12" ht="57.75" customHeight="1">
      <c r="A73" s="995" t="s">
        <v>963</v>
      </c>
      <c r="B73" s="1156" t="s">
        <v>964</v>
      </c>
      <c r="C73" s="1155" t="s">
        <v>919</v>
      </c>
      <c r="D73" s="1155">
        <v>0.2</v>
      </c>
      <c r="E73" s="1155" t="s">
        <v>920</v>
      </c>
      <c r="F73" s="1085" t="s">
        <v>965</v>
      </c>
      <c r="G73" s="1155" t="s">
        <v>920</v>
      </c>
      <c r="H73" s="1155">
        <v>32</v>
      </c>
      <c r="I73" s="1155" t="s">
        <v>922</v>
      </c>
      <c r="J73" s="1155" t="s">
        <v>724</v>
      </c>
      <c r="K73" s="1522"/>
      <c r="L73" s="1519"/>
    </row>
    <row r="74" spans="1:12">
      <c r="A74" s="995" t="s">
        <v>966</v>
      </c>
      <c r="B74" s="1156" t="s">
        <v>967</v>
      </c>
      <c r="C74" s="1157" t="s">
        <v>48</v>
      </c>
      <c r="D74" s="1157" t="s">
        <v>48</v>
      </c>
      <c r="E74" s="1157" t="s">
        <v>48</v>
      </c>
      <c r="F74" s="1157" t="s">
        <v>48</v>
      </c>
      <c r="G74" s="1157" t="s">
        <v>48</v>
      </c>
      <c r="H74" s="1157">
        <v>8</v>
      </c>
      <c r="I74" s="1157" t="s">
        <v>839</v>
      </c>
      <c r="J74" s="1155" t="s">
        <v>729</v>
      </c>
      <c r="K74" s="1522"/>
      <c r="L74" s="1519"/>
    </row>
    <row r="75" spans="1:12" ht="25.8">
      <c r="A75" s="995" t="s">
        <v>968</v>
      </c>
      <c r="B75" s="1156" t="s">
        <v>969</v>
      </c>
      <c r="C75" s="1155" t="s">
        <v>919</v>
      </c>
      <c r="D75" s="1155">
        <v>0.2</v>
      </c>
      <c r="E75" s="1155" t="s">
        <v>920</v>
      </c>
      <c r="F75" s="1085" t="s">
        <v>965</v>
      </c>
      <c r="G75" s="1155" t="s">
        <v>920</v>
      </c>
      <c r="H75" s="1155">
        <v>32</v>
      </c>
      <c r="I75" s="1155" t="s">
        <v>922</v>
      </c>
      <c r="J75" s="1155" t="s">
        <v>724</v>
      </c>
      <c r="K75" s="1522"/>
      <c r="L75" s="1519"/>
    </row>
    <row r="76" spans="1:12">
      <c r="A76" s="995" t="s">
        <v>970</v>
      </c>
      <c r="B76" s="1156" t="s">
        <v>971</v>
      </c>
      <c r="C76" s="1157" t="s">
        <v>48</v>
      </c>
      <c r="D76" s="1157" t="s">
        <v>48</v>
      </c>
      <c r="E76" s="1157" t="s">
        <v>48</v>
      </c>
      <c r="F76" s="1157" t="s">
        <v>48</v>
      </c>
      <c r="G76" s="1157" t="s">
        <v>48</v>
      </c>
      <c r="H76" s="1157">
        <v>8</v>
      </c>
      <c r="I76" s="1157" t="s">
        <v>839</v>
      </c>
      <c r="J76" s="1155" t="s">
        <v>729</v>
      </c>
      <c r="K76" s="1522"/>
      <c r="L76" s="1519"/>
    </row>
    <row r="77" spans="1:12" ht="25.8">
      <c r="A77" s="995" t="s">
        <v>972</v>
      </c>
      <c r="B77" s="1156" t="s">
        <v>973</v>
      </c>
      <c r="C77" s="1155" t="s">
        <v>919</v>
      </c>
      <c r="D77" s="1155">
        <v>0</v>
      </c>
      <c r="E77" s="1155" t="s">
        <v>920</v>
      </c>
      <c r="F77" s="1157" t="s">
        <v>974</v>
      </c>
      <c r="G77" s="1157" t="s">
        <v>920</v>
      </c>
      <c r="H77" s="1155">
        <v>32</v>
      </c>
      <c r="I77" s="1155" t="s">
        <v>922</v>
      </c>
      <c r="J77" s="1155" t="s">
        <v>724</v>
      </c>
      <c r="K77" s="1522"/>
      <c r="L77" s="1519"/>
    </row>
    <row r="78" spans="1:12">
      <c r="A78" s="995" t="s">
        <v>975</v>
      </c>
      <c r="B78" s="1156" t="s">
        <v>976</v>
      </c>
      <c r="C78" s="1157" t="s">
        <v>48</v>
      </c>
      <c r="D78" s="1157" t="s">
        <v>48</v>
      </c>
      <c r="E78" s="1157" t="s">
        <v>48</v>
      </c>
      <c r="F78" s="1157" t="s">
        <v>48</v>
      </c>
      <c r="G78" s="1157" t="s">
        <v>48</v>
      </c>
      <c r="H78" s="1157">
        <v>8</v>
      </c>
      <c r="I78" s="1157" t="s">
        <v>839</v>
      </c>
      <c r="J78" s="1155" t="s">
        <v>729</v>
      </c>
      <c r="K78" s="1522"/>
      <c r="L78" s="1519"/>
    </row>
    <row r="79" spans="1:12" ht="25.8">
      <c r="A79" s="995" t="s">
        <v>977</v>
      </c>
      <c r="B79" s="1156" t="s">
        <v>978</v>
      </c>
      <c r="C79" s="1155" t="s">
        <v>919</v>
      </c>
      <c r="D79" s="1155">
        <v>-3</v>
      </c>
      <c r="E79" s="1155" t="s">
        <v>920</v>
      </c>
      <c r="F79" s="1085" t="s">
        <v>979</v>
      </c>
      <c r="G79" s="1155" t="s">
        <v>920</v>
      </c>
      <c r="H79" s="1155">
        <v>32</v>
      </c>
      <c r="I79" s="1155" t="s">
        <v>922</v>
      </c>
      <c r="J79" s="1155" t="s">
        <v>729</v>
      </c>
      <c r="K79" s="1522"/>
      <c r="L79" s="1519"/>
    </row>
    <row r="80" spans="1:12">
      <c r="A80" s="995" t="s">
        <v>980</v>
      </c>
      <c r="B80" s="1154" t="s">
        <v>981</v>
      </c>
      <c r="C80" s="1157" t="s">
        <v>48</v>
      </c>
      <c r="D80" s="1157" t="s">
        <v>48</v>
      </c>
      <c r="E80" s="1157" t="s">
        <v>48</v>
      </c>
      <c r="F80" s="1157" t="s">
        <v>48</v>
      </c>
      <c r="G80" s="1157" t="s">
        <v>48</v>
      </c>
      <c r="H80" s="1157">
        <v>8</v>
      </c>
      <c r="I80" s="1157" t="s">
        <v>839</v>
      </c>
      <c r="J80" s="1155" t="s">
        <v>729</v>
      </c>
      <c r="K80" s="1522"/>
      <c r="L80" s="1519"/>
    </row>
    <row r="81" spans="1:12" ht="25.8">
      <c r="A81" s="995" t="s">
        <v>982</v>
      </c>
      <c r="B81" s="1156" t="s">
        <v>983</v>
      </c>
      <c r="C81" s="1155" t="s">
        <v>919</v>
      </c>
      <c r="D81" s="1155">
        <v>-15</v>
      </c>
      <c r="E81" s="1155" t="s">
        <v>920</v>
      </c>
      <c r="F81" s="1157" t="s">
        <v>984</v>
      </c>
      <c r="G81" s="1157" t="s">
        <v>920</v>
      </c>
      <c r="H81" s="1155">
        <v>32</v>
      </c>
      <c r="I81" s="1155" t="s">
        <v>922</v>
      </c>
      <c r="J81" s="1155" t="s">
        <v>729</v>
      </c>
      <c r="K81" s="1522"/>
      <c r="L81" s="1519"/>
    </row>
    <row r="82" spans="1:12">
      <c r="A82" s="996" t="s">
        <v>985</v>
      </c>
      <c r="B82" s="1154" t="s">
        <v>986</v>
      </c>
      <c r="C82" s="1157" t="s">
        <v>48</v>
      </c>
      <c r="D82" s="1157" t="s">
        <v>48</v>
      </c>
      <c r="E82" s="1157" t="s">
        <v>48</v>
      </c>
      <c r="F82" s="1157" t="s">
        <v>48</v>
      </c>
      <c r="G82" s="1157" t="s">
        <v>48</v>
      </c>
      <c r="H82" s="1157">
        <v>8</v>
      </c>
      <c r="I82" s="1157" t="s">
        <v>839</v>
      </c>
      <c r="J82" s="1155" t="s">
        <v>729</v>
      </c>
      <c r="K82" s="1522"/>
      <c r="L82" s="1519"/>
    </row>
    <row r="83" spans="1:12" ht="25.8">
      <c r="A83" s="996" t="s">
        <v>987</v>
      </c>
      <c r="B83" s="1171" t="s">
        <v>988</v>
      </c>
      <c r="C83" s="1155" t="s">
        <v>989</v>
      </c>
      <c r="D83" s="1155">
        <v>0</v>
      </c>
      <c r="E83" s="1155">
        <v>65535</v>
      </c>
      <c r="F83" s="1085" t="s">
        <v>990</v>
      </c>
      <c r="G83" s="1157">
        <v>65535</v>
      </c>
      <c r="H83" s="1155">
        <v>16</v>
      </c>
      <c r="I83" s="1155" t="s">
        <v>991</v>
      </c>
      <c r="J83" s="1155" t="s">
        <v>729</v>
      </c>
      <c r="K83" s="1522"/>
      <c r="L83" s="1519"/>
    </row>
    <row r="84" spans="1:12">
      <c r="A84" s="1172" t="s">
        <v>992</v>
      </c>
      <c r="B84" s="1173" t="s">
        <v>993</v>
      </c>
      <c r="C84" s="1157" t="s">
        <v>48</v>
      </c>
      <c r="D84" s="1157" t="s">
        <v>48</v>
      </c>
      <c r="E84" s="1157" t="s">
        <v>48</v>
      </c>
      <c r="F84" s="1157" t="s">
        <v>48</v>
      </c>
      <c r="G84" s="1157" t="s">
        <v>48</v>
      </c>
      <c r="H84" s="1157">
        <v>8</v>
      </c>
      <c r="I84" s="1157" t="s">
        <v>839</v>
      </c>
      <c r="J84" s="1155" t="s">
        <v>729</v>
      </c>
      <c r="K84" s="1522"/>
      <c r="L84" s="1519"/>
    </row>
    <row r="85" spans="1:12" ht="25.8">
      <c r="A85" s="1172" t="s">
        <v>994</v>
      </c>
      <c r="B85" s="1173" t="s">
        <v>995</v>
      </c>
      <c r="C85" s="1174" t="s">
        <v>996</v>
      </c>
      <c r="D85" s="1168">
        <v>0</v>
      </c>
      <c r="E85" s="1168" t="s">
        <v>920</v>
      </c>
      <c r="F85" s="1096" t="s">
        <v>997</v>
      </c>
      <c r="G85" s="1096" t="s">
        <v>920</v>
      </c>
      <c r="H85" s="1096">
        <v>32</v>
      </c>
      <c r="I85" s="1096" t="s">
        <v>922</v>
      </c>
      <c r="J85" s="1168" t="s">
        <v>729</v>
      </c>
      <c r="K85" s="1524"/>
      <c r="L85" s="1520"/>
    </row>
    <row r="86" spans="1:12">
      <c r="A86" s="260"/>
      <c r="B86" s="261"/>
      <c r="C86" s="260"/>
      <c r="D86" s="260"/>
      <c r="E86" s="260"/>
      <c r="F86" s="260"/>
      <c r="G86" s="260"/>
      <c r="H86" s="260"/>
      <c r="I86" s="260"/>
      <c r="J86" s="260"/>
      <c r="K86" s="260"/>
      <c r="L86" s="260"/>
    </row>
  </sheetData>
  <mergeCells count="5">
    <mergeCell ref="C1:D1"/>
    <mergeCell ref="A2:B2"/>
    <mergeCell ref="L4:L85"/>
    <mergeCell ref="K4:K85"/>
    <mergeCell ref="C2:I2"/>
  </mergeCells>
  <conditionalFormatting sqref="A71:B71 A70">
    <cfRule type="notContainsErrors" dxfId="696" priority="2">
      <formula>NOT(ISERROR(A70))</formula>
    </cfRule>
  </conditionalFormatting>
  <conditionalFormatting sqref="A83:B83 A82 A84:A85">
    <cfRule type="notContainsErrors" dxfId="695" priority="1">
      <formula>NOT(ISERROR(A82))</formula>
    </cfRule>
  </conditionalFormatting>
  <hyperlinks>
    <hyperlink ref="J1" location="'Revision Map'!A1" display="INDEX" xr:uid="{B8960E96-EE20-4DA4-A3FD-2915AC1EBDB0}"/>
    <hyperlink ref="K1" location="'Cross-FCN_Definitions'!A1" display="Cross-FCN_Definitions" xr:uid="{142031CA-FA2D-4944-8772-3B26DA9295A7}"/>
  </hyperlinks>
  <pageMargins left="0.7" right="0.7" top="0.75" bottom="0.75" header="0.3" footer="0.3"/>
  <pageSetup orientation="portrait" r:id="rId1"/>
  <headerFooter>
    <oddFooter>&amp;C_x000D_&amp;1#&amp;"Calibri"&amp;11&amp;KFF0000 Internal</oddFooter>
  </headerFooter>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555EA0-227D-48C6-BCBF-CED03767AC29}">
  <sheetPr codeName="Sheet71"/>
  <dimension ref="A1:F24"/>
  <sheetViews>
    <sheetView workbookViewId="0">
      <pane ySplit="1" topLeftCell="A18" activePane="bottomLeft" state="frozen"/>
      <selection pane="bottomLeft" activeCell="B24" sqref="B24"/>
    </sheetView>
  </sheetViews>
  <sheetFormatPr defaultColWidth="9.15625" defaultRowHeight="14.4"/>
  <cols>
    <col min="1" max="1" width="11" style="1014" bestFit="1" customWidth="1"/>
    <col min="2" max="2" width="9.83984375" style="51" bestFit="1" customWidth="1"/>
    <col min="3" max="3" width="58.83984375" bestFit="1" customWidth="1"/>
    <col min="4" max="4" width="20.15625" customWidth="1"/>
    <col min="5" max="5" width="9.15625" bestFit="1" customWidth="1"/>
    <col min="9" max="9" width="8.68359375" bestFit="1" customWidth="1"/>
  </cols>
  <sheetData>
    <row r="1" spans="1:6">
      <c r="A1" s="1017" t="s">
        <v>644</v>
      </c>
      <c r="B1" s="656" t="s">
        <v>645</v>
      </c>
      <c r="C1" s="658" t="s">
        <v>646</v>
      </c>
      <c r="D1" s="658" t="s">
        <v>647</v>
      </c>
      <c r="E1" s="659" t="s">
        <v>648</v>
      </c>
      <c r="F1" s="30"/>
    </row>
    <row r="2" spans="1:6" ht="57.6">
      <c r="A2" s="1018" t="s">
        <v>794</v>
      </c>
      <c r="B2" s="38">
        <v>44894</v>
      </c>
      <c r="C2" s="34" t="s">
        <v>998</v>
      </c>
      <c r="D2" s="35" t="s">
        <v>654</v>
      </c>
      <c r="E2" s="36" t="s">
        <v>655</v>
      </c>
      <c r="F2" s="30"/>
    </row>
    <row r="3" spans="1:6">
      <c r="A3" s="629">
        <v>0.1</v>
      </c>
      <c r="B3" s="38">
        <v>44910</v>
      </c>
      <c r="C3" s="584" t="s">
        <v>999</v>
      </c>
      <c r="D3" s="585" t="s">
        <v>678</v>
      </c>
      <c r="E3" s="586" t="s">
        <v>655</v>
      </c>
      <c r="F3" s="30"/>
    </row>
    <row r="4" spans="1:6">
      <c r="A4" s="629" t="s">
        <v>794</v>
      </c>
      <c r="B4" s="51">
        <v>44937</v>
      </c>
      <c r="C4" s="5" t="s">
        <v>677</v>
      </c>
      <c r="D4" s="5" t="s">
        <v>678</v>
      </c>
      <c r="E4" s="5" t="s">
        <v>655</v>
      </c>
      <c r="F4" s="30"/>
    </row>
    <row r="5" spans="1:6">
      <c r="A5" s="1010" t="s">
        <v>800</v>
      </c>
      <c r="B5" s="51">
        <v>44946</v>
      </c>
      <c r="C5" s="5" t="s">
        <v>1000</v>
      </c>
      <c r="D5" s="5" t="s">
        <v>1001</v>
      </c>
      <c r="E5" s="5" t="s">
        <v>655</v>
      </c>
      <c r="F5" s="30"/>
    </row>
    <row r="6" spans="1:6">
      <c r="A6" s="629" t="s">
        <v>800</v>
      </c>
      <c r="B6" s="51">
        <v>44949</v>
      </c>
      <c r="C6" s="584" t="s">
        <v>1002</v>
      </c>
      <c r="D6" s="5" t="s">
        <v>678</v>
      </c>
      <c r="E6" s="5" t="s">
        <v>655</v>
      </c>
      <c r="F6" s="30"/>
    </row>
    <row r="7" spans="1:6">
      <c r="A7" s="629" t="s">
        <v>802</v>
      </c>
      <c r="B7" s="38">
        <v>44953</v>
      </c>
      <c r="C7" s="72" t="s">
        <v>1003</v>
      </c>
      <c r="D7" s="35" t="s">
        <v>1001</v>
      </c>
      <c r="E7" s="36" t="s">
        <v>655</v>
      </c>
      <c r="F7" s="30"/>
    </row>
    <row r="8" spans="1:6" ht="107.25" customHeight="1">
      <c r="A8" s="629" t="s">
        <v>805</v>
      </c>
      <c r="B8" s="38">
        <v>44957</v>
      </c>
      <c r="C8" s="72" t="s">
        <v>1004</v>
      </c>
      <c r="D8" s="35" t="s">
        <v>658</v>
      </c>
      <c r="E8" s="36" t="s">
        <v>655</v>
      </c>
      <c r="F8" s="30"/>
    </row>
    <row r="9" spans="1:6">
      <c r="A9" s="1010" t="s">
        <v>805</v>
      </c>
      <c r="B9" s="38">
        <v>44957</v>
      </c>
      <c r="C9" s="106" t="s">
        <v>1005</v>
      </c>
      <c r="D9" s="5" t="s">
        <v>678</v>
      </c>
      <c r="E9" s="5" t="s">
        <v>655</v>
      </c>
      <c r="F9" s="30"/>
    </row>
    <row r="10" spans="1:6">
      <c r="A10" s="1010" t="s">
        <v>808</v>
      </c>
      <c r="B10" s="51">
        <v>44957</v>
      </c>
      <c r="C10" s="5" t="s">
        <v>1006</v>
      </c>
      <c r="D10" s="5" t="s">
        <v>796</v>
      </c>
      <c r="E10" s="5" t="s">
        <v>655</v>
      </c>
      <c r="F10" s="30"/>
    </row>
    <row r="11" spans="1:6">
      <c r="A11" s="1012" t="s">
        <v>1007</v>
      </c>
      <c r="B11" s="678">
        <v>44957</v>
      </c>
      <c r="C11" t="s">
        <v>1008</v>
      </c>
      <c r="D11" s="5" t="s">
        <v>810</v>
      </c>
      <c r="E11" s="5" t="s">
        <v>655</v>
      </c>
    </row>
    <row r="12" spans="1:6" ht="57.6">
      <c r="A12" s="1012" t="s">
        <v>1009</v>
      </c>
      <c r="B12" s="678">
        <v>44957</v>
      </c>
      <c r="C12" s="2" t="s">
        <v>1010</v>
      </c>
      <c r="D12" s="5" t="s">
        <v>796</v>
      </c>
      <c r="E12" s="5" t="s">
        <v>655</v>
      </c>
    </row>
    <row r="13" spans="1:6">
      <c r="A13" s="1012" t="s">
        <v>1009</v>
      </c>
      <c r="B13" s="678">
        <v>44957</v>
      </c>
      <c r="C13" s="106" t="s">
        <v>1005</v>
      </c>
      <c r="D13" s="5" t="s">
        <v>810</v>
      </c>
      <c r="E13" s="5" t="s">
        <v>655</v>
      </c>
    </row>
    <row r="14" spans="1:6">
      <c r="A14" s="1012" t="s">
        <v>49</v>
      </c>
      <c r="B14" s="678">
        <v>44957</v>
      </c>
      <c r="C14" t="s">
        <v>1011</v>
      </c>
      <c r="D14" s="5" t="s">
        <v>810</v>
      </c>
      <c r="E14" s="5" t="s">
        <v>651</v>
      </c>
    </row>
    <row r="15" spans="1:6">
      <c r="A15" s="1012" t="s">
        <v>49</v>
      </c>
      <c r="B15" s="51">
        <v>44957</v>
      </c>
      <c r="C15" s="576" t="s">
        <v>687</v>
      </c>
      <c r="D15" s="5" t="s">
        <v>676</v>
      </c>
      <c r="E15" s="5" t="s">
        <v>661</v>
      </c>
    </row>
    <row r="16" spans="1:6">
      <c r="A16" s="1012" t="s">
        <v>49</v>
      </c>
      <c r="B16" s="678">
        <v>44970</v>
      </c>
      <c r="C16" s="2" t="s">
        <v>691</v>
      </c>
      <c r="D16" s="5" t="s">
        <v>676</v>
      </c>
      <c r="E16" s="5" t="s">
        <v>661</v>
      </c>
    </row>
    <row r="17" spans="1:5">
      <c r="A17" s="1012" t="s">
        <v>659</v>
      </c>
      <c r="B17" s="678">
        <v>44993</v>
      </c>
      <c r="C17" t="s">
        <v>1012</v>
      </c>
      <c r="D17" s="5" t="s">
        <v>683</v>
      </c>
      <c r="E17" s="5" t="s">
        <v>651</v>
      </c>
    </row>
    <row r="18" spans="1:5">
      <c r="A18" s="1012" t="s">
        <v>659</v>
      </c>
      <c r="B18" s="678">
        <v>44998</v>
      </c>
      <c r="C18" s="2" t="s">
        <v>692</v>
      </c>
      <c r="D18" s="5" t="s">
        <v>678</v>
      </c>
      <c r="E18" s="5" t="s">
        <v>661</v>
      </c>
    </row>
    <row r="19" spans="1:5">
      <c r="A19" s="1012" t="s">
        <v>666</v>
      </c>
      <c r="B19" s="678">
        <v>45077</v>
      </c>
      <c r="C19" t="s">
        <v>1013</v>
      </c>
      <c r="D19" s="5" t="s">
        <v>658</v>
      </c>
      <c r="E19" s="5" t="s">
        <v>651</v>
      </c>
    </row>
    <row r="20" spans="1:5">
      <c r="A20" s="1010" t="s">
        <v>666</v>
      </c>
      <c r="B20" s="191">
        <v>45078</v>
      </c>
      <c r="C20" s="5" t="s">
        <v>699</v>
      </c>
      <c r="D20" s="5" t="s">
        <v>678</v>
      </c>
      <c r="E20" s="5" t="s">
        <v>661</v>
      </c>
    </row>
    <row r="21" spans="1:5">
      <c r="A21" s="629" t="s">
        <v>817</v>
      </c>
      <c r="B21" s="38">
        <v>45097</v>
      </c>
      <c r="C21" s="5" t="s">
        <v>818</v>
      </c>
      <c r="D21" s="5" t="s">
        <v>678</v>
      </c>
      <c r="E21" s="586" t="s">
        <v>655</v>
      </c>
    </row>
    <row r="22" spans="1:5">
      <c r="A22" s="629" t="s">
        <v>686</v>
      </c>
      <c r="B22" s="38">
        <v>45097</v>
      </c>
      <c r="C22" t="s">
        <v>1013</v>
      </c>
      <c r="D22" s="5" t="s">
        <v>678</v>
      </c>
      <c r="E22" s="5" t="s">
        <v>651</v>
      </c>
    </row>
    <row r="23" spans="1:5">
      <c r="A23" s="1012" t="s">
        <v>686</v>
      </c>
      <c r="B23" s="678">
        <v>45097</v>
      </c>
      <c r="C23" s="5" t="s">
        <v>700</v>
      </c>
      <c r="D23" s="5" t="s">
        <v>678</v>
      </c>
      <c r="E23" s="5" t="s">
        <v>661</v>
      </c>
    </row>
    <row r="24" spans="1:5">
      <c r="A24" s="1012" t="s">
        <v>686</v>
      </c>
      <c r="B24" s="1065">
        <v>45205</v>
      </c>
      <c r="C24" s="595" t="s">
        <v>701</v>
      </c>
      <c r="D24" s="595" t="s">
        <v>678</v>
      </c>
      <c r="E24" s="596" t="s">
        <v>661</v>
      </c>
    </row>
  </sheetData>
  <pageMargins left="0.7" right="0.7" top="0.75" bottom="0.75" header="0.3" footer="0.3"/>
  <pageSetup orientation="portrait" r:id="rId1"/>
  <headerFooter>
    <oddFooter>&amp;C_x000D_&amp;1#&amp;"Calibri"&amp;11&amp;KFF0000 Internal</oddFooter>
  </headerFooter>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F1C6B3-F032-4851-B607-319953D38286}">
  <sheetPr codeName="Sheet37"/>
  <dimension ref="A1:M139"/>
  <sheetViews>
    <sheetView zoomScaleNormal="100" workbookViewId="0">
      <pane ySplit="3" topLeftCell="A4" activePane="bottomLeft" state="frozen"/>
      <selection pane="bottomLeft" activeCell="C2" sqref="C2:I2"/>
    </sheetView>
  </sheetViews>
  <sheetFormatPr defaultColWidth="9.15625" defaultRowHeight="14.4"/>
  <cols>
    <col min="1" max="1" width="39.26171875" bestFit="1" customWidth="1"/>
    <col min="2" max="2" width="87.26171875" customWidth="1"/>
    <col min="3" max="3" width="8.41796875" bestFit="1" customWidth="1"/>
    <col min="4" max="4" width="7.68359375" bestFit="1" customWidth="1"/>
    <col min="5" max="5" width="11.15625" bestFit="1" customWidth="1"/>
    <col min="6" max="6" width="20.41796875" bestFit="1" customWidth="1"/>
    <col min="7" max="7" width="11.15625" bestFit="1" customWidth="1"/>
    <col min="9" max="9" width="13.578125" bestFit="1" customWidth="1"/>
    <col min="10" max="10" width="12.26171875" customWidth="1"/>
    <col min="11" max="11" width="21.15625" bestFit="1" customWidth="1"/>
    <col min="12" max="12" width="11.41796875" customWidth="1"/>
    <col min="13" max="13" width="9.15625" customWidth="1"/>
  </cols>
  <sheetData>
    <row r="1" spans="1:13" ht="15" customHeight="1">
      <c r="A1" s="23" t="s">
        <v>104</v>
      </c>
      <c r="B1" s="1076" t="s">
        <v>70</v>
      </c>
      <c r="C1" s="1527" t="s">
        <v>106</v>
      </c>
      <c r="D1" s="1528"/>
      <c r="E1" s="1019" t="s">
        <v>1014</v>
      </c>
      <c r="F1" s="23" t="s">
        <v>702</v>
      </c>
      <c r="G1" s="170">
        <v>2056</v>
      </c>
      <c r="H1" s="23"/>
      <c r="I1" s="23"/>
      <c r="J1" s="171" t="s">
        <v>69</v>
      </c>
      <c r="K1" s="171" t="s">
        <v>703</v>
      </c>
      <c r="L1" s="61"/>
    </row>
    <row r="2" spans="1:13" s="1" customFormat="1" ht="147" customHeight="1">
      <c r="A2" s="1525" t="s">
        <v>1015</v>
      </c>
      <c r="B2" s="1526"/>
      <c r="C2" s="1509" t="s">
        <v>706</v>
      </c>
      <c r="D2" s="1510"/>
      <c r="E2" s="1510"/>
      <c r="F2" s="1510"/>
      <c r="G2" s="1510"/>
      <c r="H2" s="1510"/>
      <c r="I2" s="1511"/>
      <c r="J2" s="52" t="s">
        <v>707</v>
      </c>
      <c r="K2" s="1175" t="s">
        <v>1016</v>
      </c>
      <c r="L2" s="783"/>
      <c r="M2" s="784"/>
    </row>
    <row r="3" spans="1:13" ht="25.8">
      <c r="A3" s="1109" t="s">
        <v>709</v>
      </c>
      <c r="B3" s="1109" t="s">
        <v>710</v>
      </c>
      <c r="C3" s="22" t="s">
        <v>711</v>
      </c>
      <c r="D3" s="22" t="s">
        <v>712</v>
      </c>
      <c r="E3" s="22" t="s">
        <v>713</v>
      </c>
      <c r="F3" s="22" t="s">
        <v>714</v>
      </c>
      <c r="G3" s="131" t="s">
        <v>715</v>
      </c>
      <c r="H3" s="22" t="s">
        <v>716</v>
      </c>
      <c r="I3" s="22" t="s">
        <v>717</v>
      </c>
      <c r="J3" s="22" t="s">
        <v>718</v>
      </c>
      <c r="K3" s="22" t="s">
        <v>719</v>
      </c>
      <c r="L3" s="22" t="s">
        <v>720</v>
      </c>
    </row>
    <row r="4" spans="1:13" ht="25.8">
      <c r="A4" s="1176" t="s">
        <v>1017</v>
      </c>
      <c r="B4" s="1177" t="s">
        <v>1018</v>
      </c>
      <c r="C4" s="1178" t="s">
        <v>48</v>
      </c>
      <c r="D4" s="1108" t="s">
        <v>48</v>
      </c>
      <c r="E4" s="1108" t="s">
        <v>48</v>
      </c>
      <c r="F4" s="1108" t="s">
        <v>48</v>
      </c>
      <c r="G4" s="1108" t="s">
        <v>48</v>
      </c>
      <c r="H4" s="1108">
        <v>32</v>
      </c>
      <c r="I4" s="933" t="s">
        <v>728</v>
      </c>
      <c r="J4" s="1108" t="s">
        <v>729</v>
      </c>
      <c r="K4" s="1529">
        <v>1</v>
      </c>
      <c r="L4" s="1530" t="s">
        <v>1019</v>
      </c>
    </row>
    <row r="5" spans="1:13" ht="30.75" customHeight="1">
      <c r="A5" s="1179" t="s">
        <v>1020</v>
      </c>
      <c r="B5" s="1180" t="s">
        <v>1021</v>
      </c>
      <c r="C5" s="138" t="s">
        <v>48</v>
      </c>
      <c r="D5" s="138" t="s">
        <v>48</v>
      </c>
      <c r="E5" s="138" t="s">
        <v>48</v>
      </c>
      <c r="F5" s="138" t="s">
        <v>48</v>
      </c>
      <c r="G5" s="138" t="s">
        <v>48</v>
      </c>
      <c r="H5" s="137">
        <v>16</v>
      </c>
      <c r="I5" s="227" t="s">
        <v>823</v>
      </c>
      <c r="J5" s="1107" t="s">
        <v>729</v>
      </c>
      <c r="K5" s="1529"/>
      <c r="L5" s="1530"/>
    </row>
    <row r="6" spans="1:13" ht="36.75" customHeight="1">
      <c r="A6" s="1176" t="s">
        <v>1022</v>
      </c>
      <c r="B6" s="1177" t="s">
        <v>1023</v>
      </c>
      <c r="C6" s="1108" t="s">
        <v>48</v>
      </c>
      <c r="D6" s="1108" t="s">
        <v>48</v>
      </c>
      <c r="E6" s="1108" t="s">
        <v>48</v>
      </c>
      <c r="F6" s="1108" t="s">
        <v>48</v>
      </c>
      <c r="G6" s="1108" t="s">
        <v>48</v>
      </c>
      <c r="H6" s="132">
        <v>8</v>
      </c>
      <c r="I6" s="1181" t="s">
        <v>827</v>
      </c>
      <c r="J6" s="1108" t="s">
        <v>729</v>
      </c>
      <c r="K6" s="1529"/>
      <c r="L6" s="1530"/>
    </row>
    <row r="7" spans="1:13" ht="76" customHeight="1">
      <c r="A7" s="1182" t="s">
        <v>1024</v>
      </c>
      <c r="B7" s="1183" t="s">
        <v>1025</v>
      </c>
      <c r="C7" s="138" t="s">
        <v>48</v>
      </c>
      <c r="D7" s="138" t="s">
        <v>48</v>
      </c>
      <c r="E7" s="138" t="s">
        <v>48</v>
      </c>
      <c r="F7" s="138" t="s">
        <v>48</v>
      </c>
      <c r="G7" s="138" t="s">
        <v>48</v>
      </c>
      <c r="H7" s="761">
        <v>64</v>
      </c>
      <c r="I7" s="762" t="s">
        <v>1026</v>
      </c>
      <c r="J7" s="1184" t="s">
        <v>724</v>
      </c>
      <c r="K7" s="1529"/>
      <c r="L7" s="1530"/>
    </row>
    <row r="8" spans="1:13" ht="85.5" customHeight="1">
      <c r="A8" s="1176" t="s">
        <v>1027</v>
      </c>
      <c r="B8" s="1185" t="s">
        <v>1028</v>
      </c>
      <c r="C8" s="1085" t="s">
        <v>48</v>
      </c>
      <c r="D8" s="1085" t="s">
        <v>48</v>
      </c>
      <c r="E8" s="1085" t="s">
        <v>48</v>
      </c>
      <c r="F8" s="1105" t="s">
        <v>48</v>
      </c>
      <c r="G8" s="1085" t="s">
        <v>48</v>
      </c>
      <c r="H8" s="132">
        <v>8</v>
      </c>
      <c r="I8" s="231" t="s">
        <v>839</v>
      </c>
      <c r="J8" s="1186" t="s">
        <v>724</v>
      </c>
      <c r="K8" s="1529"/>
      <c r="L8" s="1530"/>
    </row>
    <row r="9" spans="1:13" ht="85.5" customHeight="1">
      <c r="A9" s="1187" t="s">
        <v>1029</v>
      </c>
      <c r="B9" s="1188" t="s">
        <v>1030</v>
      </c>
      <c r="C9" s="1189" t="s">
        <v>48</v>
      </c>
      <c r="D9" s="1190">
        <v>0</v>
      </c>
      <c r="E9" s="1191">
        <v>4294967295</v>
      </c>
      <c r="F9" s="763" t="s">
        <v>1031</v>
      </c>
      <c r="G9" s="760">
        <v>4294967295</v>
      </c>
      <c r="H9" s="137">
        <v>32</v>
      </c>
      <c r="I9" s="230" t="s">
        <v>1032</v>
      </c>
      <c r="J9" s="1192" t="s">
        <v>729</v>
      </c>
      <c r="K9" s="1529"/>
      <c r="L9" s="1530"/>
    </row>
    <row r="10" spans="1:13" ht="118" customHeight="1">
      <c r="A10" s="1176" t="s">
        <v>1033</v>
      </c>
      <c r="B10" s="1177" t="s">
        <v>1034</v>
      </c>
      <c r="C10" s="1110" t="s">
        <v>1035</v>
      </c>
      <c r="D10" s="1178">
        <v>0</v>
      </c>
      <c r="E10" s="428" t="s">
        <v>920</v>
      </c>
      <c r="F10" s="9" t="s">
        <v>1036</v>
      </c>
      <c r="G10" s="10" t="s">
        <v>920</v>
      </c>
      <c r="H10" s="132">
        <v>32</v>
      </c>
      <c r="I10" s="229" t="s">
        <v>922</v>
      </c>
      <c r="J10" s="1108" t="s">
        <v>724</v>
      </c>
      <c r="K10" s="1529"/>
      <c r="L10" s="1530"/>
    </row>
    <row r="11" spans="1:13" ht="51" customHeight="1">
      <c r="A11" s="1187" t="s">
        <v>1037</v>
      </c>
      <c r="B11" s="1188" t="s">
        <v>1038</v>
      </c>
      <c r="C11" s="1193" t="s">
        <v>48</v>
      </c>
      <c r="D11" s="1193" t="s">
        <v>48</v>
      </c>
      <c r="E11" s="1193" t="s">
        <v>48</v>
      </c>
      <c r="F11" s="1194" t="s">
        <v>48</v>
      </c>
      <c r="G11" s="28" t="s">
        <v>48</v>
      </c>
      <c r="H11" s="137">
        <v>8</v>
      </c>
      <c r="I11" s="230" t="s">
        <v>839</v>
      </c>
      <c r="J11" s="1192" t="s">
        <v>724</v>
      </c>
      <c r="K11" s="1529"/>
      <c r="L11" s="1530"/>
    </row>
    <row r="12" spans="1:13" ht="61.9" customHeight="1">
      <c r="A12" s="1176" t="s">
        <v>1039</v>
      </c>
      <c r="B12" s="1177" t="s">
        <v>1040</v>
      </c>
      <c r="C12" s="1178" t="s">
        <v>48</v>
      </c>
      <c r="D12" s="1178">
        <v>0</v>
      </c>
      <c r="E12" s="1178">
        <v>1</v>
      </c>
      <c r="F12" s="1195" t="s">
        <v>1041</v>
      </c>
      <c r="G12" s="1108">
        <v>0</v>
      </c>
      <c r="H12" s="132">
        <v>8</v>
      </c>
      <c r="I12" s="231" t="s">
        <v>743</v>
      </c>
      <c r="J12" s="1186" t="s">
        <v>724</v>
      </c>
      <c r="K12" s="1529"/>
      <c r="L12" s="1530"/>
    </row>
    <row r="13" spans="1:13" ht="57.6" customHeight="1">
      <c r="A13" s="1187" t="s">
        <v>1042</v>
      </c>
      <c r="B13" s="1188" t="s">
        <v>1043</v>
      </c>
      <c r="C13" s="1193" t="s">
        <v>48</v>
      </c>
      <c r="D13" s="1193" t="s">
        <v>48</v>
      </c>
      <c r="E13" s="1193" t="s">
        <v>48</v>
      </c>
      <c r="F13" s="1196" t="s">
        <v>48</v>
      </c>
      <c r="G13" s="33" t="s">
        <v>48</v>
      </c>
      <c r="H13" s="137">
        <v>8</v>
      </c>
      <c r="I13" s="232" t="s">
        <v>839</v>
      </c>
      <c r="J13" s="1107" t="s">
        <v>729</v>
      </c>
      <c r="K13" s="1529"/>
      <c r="L13" s="1530"/>
    </row>
    <row r="14" spans="1:13" ht="54.6" customHeight="1">
      <c r="A14" s="1176" t="s">
        <v>1044</v>
      </c>
      <c r="B14" s="1177" t="s">
        <v>1045</v>
      </c>
      <c r="C14" s="1110" t="s">
        <v>1035</v>
      </c>
      <c r="D14" s="1178">
        <v>0</v>
      </c>
      <c r="E14" s="428" t="s">
        <v>920</v>
      </c>
      <c r="F14" s="9" t="s">
        <v>1036</v>
      </c>
      <c r="G14" s="10" t="s">
        <v>920</v>
      </c>
      <c r="H14" s="132">
        <v>32</v>
      </c>
      <c r="I14" s="233" t="s">
        <v>922</v>
      </c>
      <c r="J14" s="1108" t="s">
        <v>724</v>
      </c>
      <c r="K14" s="1529"/>
      <c r="L14" s="1530"/>
    </row>
    <row r="15" spans="1:13" ht="70.5" customHeight="1">
      <c r="A15" s="1187" t="s">
        <v>1046</v>
      </c>
      <c r="B15" s="1188" t="s">
        <v>1047</v>
      </c>
      <c r="C15" s="1193" t="s">
        <v>48</v>
      </c>
      <c r="D15" s="1193">
        <v>0</v>
      </c>
      <c r="E15" s="1193">
        <v>2</v>
      </c>
      <c r="F15" s="1197" t="s">
        <v>1048</v>
      </c>
      <c r="G15" s="1198">
        <v>0</v>
      </c>
      <c r="H15" s="137">
        <v>8</v>
      </c>
      <c r="I15" s="228" t="s">
        <v>743</v>
      </c>
      <c r="J15" s="1192" t="s">
        <v>724</v>
      </c>
      <c r="K15" s="1529"/>
      <c r="L15" s="1530"/>
    </row>
    <row r="16" spans="1:13" ht="109.5" customHeight="1">
      <c r="A16" s="1176" t="s">
        <v>1049</v>
      </c>
      <c r="B16" s="1177" t="s">
        <v>1050</v>
      </c>
      <c r="C16" s="1178" t="s">
        <v>1035</v>
      </c>
      <c r="D16" s="1178">
        <v>0</v>
      </c>
      <c r="E16" s="428" t="s">
        <v>920</v>
      </c>
      <c r="F16" s="9" t="s">
        <v>1036</v>
      </c>
      <c r="G16" s="10" t="s">
        <v>920</v>
      </c>
      <c r="H16" s="132">
        <v>32</v>
      </c>
      <c r="I16" s="233" t="s">
        <v>922</v>
      </c>
      <c r="J16" s="1108" t="s">
        <v>729</v>
      </c>
      <c r="K16" s="1529"/>
      <c r="L16" s="1530"/>
    </row>
    <row r="17" spans="1:12" ht="50.5" customHeight="1">
      <c r="A17" s="1187" t="s">
        <v>1051</v>
      </c>
      <c r="B17" s="1188" t="s">
        <v>1052</v>
      </c>
      <c r="C17" s="1193" t="s">
        <v>48</v>
      </c>
      <c r="D17" s="1193" t="s">
        <v>48</v>
      </c>
      <c r="E17" s="1193" t="s">
        <v>48</v>
      </c>
      <c r="F17" s="1196" t="s">
        <v>48</v>
      </c>
      <c r="G17" s="33" t="s">
        <v>48</v>
      </c>
      <c r="H17" s="137">
        <v>8</v>
      </c>
      <c r="I17" s="232" t="s">
        <v>839</v>
      </c>
      <c r="J17" s="1107" t="s">
        <v>729</v>
      </c>
      <c r="K17" s="1529"/>
      <c r="L17" s="1530"/>
    </row>
    <row r="18" spans="1:12" ht="45.75" customHeight="1">
      <c r="A18" s="332" t="s">
        <v>1053</v>
      </c>
      <c r="B18" s="1094" t="s">
        <v>1054</v>
      </c>
      <c r="C18" s="1085" t="s">
        <v>48</v>
      </c>
      <c r="D18" s="1085">
        <v>0</v>
      </c>
      <c r="E18" s="1085">
        <v>1</v>
      </c>
      <c r="F18" s="1114" t="s">
        <v>1055</v>
      </c>
      <c r="G18" s="1085">
        <v>0</v>
      </c>
      <c r="H18" s="132">
        <v>8</v>
      </c>
      <c r="I18" s="231" t="s">
        <v>1056</v>
      </c>
      <c r="J18" s="1108" t="s">
        <v>729</v>
      </c>
      <c r="K18" s="1529"/>
      <c r="L18" s="1530"/>
    </row>
    <row r="19" spans="1:12" ht="30.6" customHeight="1">
      <c r="A19" s="927" t="s">
        <v>1057</v>
      </c>
      <c r="B19" s="1188" t="s">
        <v>1058</v>
      </c>
      <c r="C19" s="1199" t="s">
        <v>48</v>
      </c>
      <c r="D19" s="1199" t="s">
        <v>48</v>
      </c>
      <c r="E19" s="1199" t="s">
        <v>48</v>
      </c>
      <c r="F19" s="1196" t="s">
        <v>48</v>
      </c>
      <c r="G19" s="33" t="s">
        <v>48</v>
      </c>
      <c r="H19" s="137">
        <v>8</v>
      </c>
      <c r="I19" s="232" t="s">
        <v>839</v>
      </c>
      <c r="J19" s="1107" t="s">
        <v>729</v>
      </c>
      <c r="K19" s="1529"/>
      <c r="L19" s="1530"/>
    </row>
    <row r="20" spans="1:12" ht="69.75" customHeight="1">
      <c r="A20" s="928" t="s">
        <v>1059</v>
      </c>
      <c r="B20" s="1185" t="s">
        <v>1060</v>
      </c>
      <c r="C20" s="1159" t="s">
        <v>48</v>
      </c>
      <c r="D20" s="1159">
        <v>0</v>
      </c>
      <c r="E20" s="1159">
        <v>1</v>
      </c>
      <c r="F20" s="1200" t="s">
        <v>1061</v>
      </c>
      <c r="G20" s="133">
        <v>0</v>
      </c>
      <c r="H20" s="132">
        <v>8</v>
      </c>
      <c r="I20" s="234" t="s">
        <v>743</v>
      </c>
      <c r="J20" s="1108" t="s">
        <v>724</v>
      </c>
      <c r="K20" s="1529"/>
      <c r="L20" s="1530"/>
    </row>
    <row r="21" spans="1:12" ht="30.6" customHeight="1">
      <c r="A21" s="929" t="s">
        <v>1062</v>
      </c>
      <c r="B21" s="1201" t="s">
        <v>1063</v>
      </c>
      <c r="C21" s="1199" t="s">
        <v>48</v>
      </c>
      <c r="D21" s="1199" t="s">
        <v>48</v>
      </c>
      <c r="E21" s="1199" t="s">
        <v>48</v>
      </c>
      <c r="F21" s="1196" t="s">
        <v>48</v>
      </c>
      <c r="G21" s="33" t="s">
        <v>48</v>
      </c>
      <c r="H21" s="137">
        <v>8</v>
      </c>
      <c r="I21" s="232" t="s">
        <v>839</v>
      </c>
      <c r="J21" s="1107" t="s">
        <v>729</v>
      </c>
      <c r="K21" s="1529"/>
      <c r="L21" s="1530"/>
    </row>
    <row r="22" spans="1:12" ht="73.150000000000006" customHeight="1">
      <c r="A22" s="930" t="s">
        <v>1064</v>
      </c>
      <c r="B22" s="1177" t="s">
        <v>1065</v>
      </c>
      <c r="C22" s="1178" t="s">
        <v>1066</v>
      </c>
      <c r="D22" s="1178">
        <v>-2.234</v>
      </c>
      <c r="E22" s="10" t="s">
        <v>920</v>
      </c>
      <c r="F22" s="1202" t="s">
        <v>1067</v>
      </c>
      <c r="G22" s="10" t="s">
        <v>920</v>
      </c>
      <c r="H22" s="132">
        <v>32</v>
      </c>
      <c r="I22" s="229" t="s">
        <v>922</v>
      </c>
      <c r="J22" s="1108" t="s">
        <v>724</v>
      </c>
      <c r="K22" s="1529"/>
      <c r="L22" s="1530"/>
    </row>
    <row r="23" spans="1:12" ht="43.15" customHeight="1">
      <c r="A23" s="1187" t="s">
        <v>1068</v>
      </c>
      <c r="B23" s="1188" t="s">
        <v>1069</v>
      </c>
      <c r="C23" s="1193" t="s">
        <v>48</v>
      </c>
      <c r="D23" s="1193" t="s">
        <v>48</v>
      </c>
      <c r="E23" s="1193" t="s">
        <v>48</v>
      </c>
      <c r="F23" s="1194" t="s">
        <v>48</v>
      </c>
      <c r="G23" s="28" t="s">
        <v>48</v>
      </c>
      <c r="H23" s="137">
        <v>8</v>
      </c>
      <c r="I23" s="230" t="s">
        <v>839</v>
      </c>
      <c r="J23" s="1192" t="s">
        <v>724</v>
      </c>
      <c r="K23" s="1529"/>
      <c r="L23" s="1530"/>
    </row>
    <row r="24" spans="1:12" ht="78.400000000000006" customHeight="1">
      <c r="A24" s="1176" t="s">
        <v>1070</v>
      </c>
      <c r="B24" s="1177" t="s">
        <v>1071</v>
      </c>
      <c r="C24" s="1110" t="s">
        <v>1072</v>
      </c>
      <c r="D24" s="1178">
        <v>-15</v>
      </c>
      <c r="E24" s="428" t="s">
        <v>920</v>
      </c>
      <c r="F24" s="1202" t="s">
        <v>1073</v>
      </c>
      <c r="G24" s="428" t="s">
        <v>920</v>
      </c>
      <c r="H24" s="132">
        <v>32</v>
      </c>
      <c r="I24" s="233" t="s">
        <v>922</v>
      </c>
      <c r="J24" s="1108" t="s">
        <v>729</v>
      </c>
      <c r="K24" s="1529"/>
      <c r="L24" s="1530"/>
    </row>
    <row r="25" spans="1:12" ht="89.5" customHeight="1">
      <c r="A25" s="1187" t="s">
        <v>1074</v>
      </c>
      <c r="B25" s="1188" t="s">
        <v>1075</v>
      </c>
      <c r="C25" s="1190" t="s">
        <v>48</v>
      </c>
      <c r="D25" s="1190" t="s">
        <v>48</v>
      </c>
      <c r="E25" s="1190" t="s">
        <v>48</v>
      </c>
      <c r="F25" s="1190" t="s">
        <v>48</v>
      </c>
      <c r="G25" s="1190" t="s">
        <v>48</v>
      </c>
      <c r="H25" s="137">
        <v>8</v>
      </c>
      <c r="I25" s="228" t="s">
        <v>839</v>
      </c>
      <c r="J25" s="1107" t="s">
        <v>729</v>
      </c>
      <c r="K25" s="1529"/>
      <c r="L25" s="1530"/>
    </row>
    <row r="26" spans="1:12" ht="56.5" customHeight="1">
      <c r="A26" s="1176" t="s">
        <v>1076</v>
      </c>
      <c r="B26" s="1177" t="s">
        <v>1077</v>
      </c>
      <c r="C26" s="124" t="s">
        <v>1072</v>
      </c>
      <c r="D26" s="1178">
        <v>-15.686999999999999</v>
      </c>
      <c r="E26" s="428" t="s">
        <v>920</v>
      </c>
      <c r="F26" s="1202" t="s">
        <v>1078</v>
      </c>
      <c r="G26" s="428" t="s">
        <v>920</v>
      </c>
      <c r="H26" s="132">
        <v>32</v>
      </c>
      <c r="I26" s="229" t="s">
        <v>922</v>
      </c>
      <c r="J26" s="1108" t="s">
        <v>724</v>
      </c>
      <c r="K26" s="1529"/>
      <c r="L26" s="1530"/>
    </row>
    <row r="27" spans="1:12" ht="56.1" customHeight="1">
      <c r="A27" s="1187" t="s">
        <v>1079</v>
      </c>
      <c r="B27" s="1188" t="s">
        <v>1080</v>
      </c>
      <c r="C27" s="1193" t="s">
        <v>48</v>
      </c>
      <c r="D27" s="1193" t="s">
        <v>48</v>
      </c>
      <c r="E27" s="1193" t="s">
        <v>48</v>
      </c>
      <c r="F27" s="1194" t="s">
        <v>48</v>
      </c>
      <c r="G27" s="28" t="s">
        <v>48</v>
      </c>
      <c r="H27" s="137">
        <v>8</v>
      </c>
      <c r="I27" s="230" t="s">
        <v>839</v>
      </c>
      <c r="J27" s="1107" t="s">
        <v>729</v>
      </c>
      <c r="K27" s="1529"/>
      <c r="L27" s="1530"/>
    </row>
    <row r="28" spans="1:12" ht="43.15" customHeight="1">
      <c r="A28" s="1176" t="s">
        <v>1081</v>
      </c>
      <c r="B28" s="1185" t="s">
        <v>1082</v>
      </c>
      <c r="C28" s="1110" t="s">
        <v>1072</v>
      </c>
      <c r="D28" s="1203" t="s">
        <v>1083</v>
      </c>
      <c r="E28" s="428" t="s">
        <v>920</v>
      </c>
      <c r="F28" s="1202" t="s">
        <v>1084</v>
      </c>
      <c r="G28" s="428" t="s">
        <v>920</v>
      </c>
      <c r="H28" s="132">
        <v>32</v>
      </c>
      <c r="I28" s="233" t="s">
        <v>922</v>
      </c>
      <c r="J28" s="1108" t="s">
        <v>729</v>
      </c>
      <c r="K28" s="1529"/>
      <c r="L28" s="1530"/>
    </row>
    <row r="29" spans="1:12" ht="57" customHeight="1">
      <c r="A29" s="1187" t="s">
        <v>1085</v>
      </c>
      <c r="B29" s="1188" t="s">
        <v>1086</v>
      </c>
      <c r="C29" s="1193" t="s">
        <v>48</v>
      </c>
      <c r="D29" s="1193" t="s">
        <v>48</v>
      </c>
      <c r="E29" s="1193" t="s">
        <v>48</v>
      </c>
      <c r="F29" s="1196" t="s">
        <v>48</v>
      </c>
      <c r="G29" s="33" t="s">
        <v>48</v>
      </c>
      <c r="H29" s="137">
        <v>8</v>
      </c>
      <c r="I29" s="232" t="s">
        <v>839</v>
      </c>
      <c r="J29" s="1107" t="s">
        <v>729</v>
      </c>
      <c r="K29" s="1529"/>
      <c r="L29" s="1530"/>
    </row>
    <row r="30" spans="1:12" ht="43.15" customHeight="1">
      <c r="A30" s="1176" t="s">
        <v>1087</v>
      </c>
      <c r="B30" s="1185" t="s">
        <v>1088</v>
      </c>
      <c r="C30" s="1178" t="s">
        <v>1066</v>
      </c>
      <c r="D30" s="1203" t="s">
        <v>1083</v>
      </c>
      <c r="E30" s="428" t="s">
        <v>920</v>
      </c>
      <c r="F30" s="1202" t="s">
        <v>1084</v>
      </c>
      <c r="G30" s="428" t="s">
        <v>920</v>
      </c>
      <c r="H30" s="132">
        <v>32</v>
      </c>
      <c r="I30" s="233" t="s">
        <v>922</v>
      </c>
      <c r="J30" s="1108" t="s">
        <v>729</v>
      </c>
      <c r="K30" s="1529"/>
      <c r="L30" s="1530"/>
    </row>
    <row r="31" spans="1:12" ht="57.6" customHeight="1">
      <c r="A31" s="1187" t="s">
        <v>1089</v>
      </c>
      <c r="B31" s="1188" t="s">
        <v>1090</v>
      </c>
      <c r="C31" s="1193" t="s">
        <v>48</v>
      </c>
      <c r="D31" s="1193" t="s">
        <v>48</v>
      </c>
      <c r="E31" s="1193" t="s">
        <v>48</v>
      </c>
      <c r="F31" s="1196" t="s">
        <v>48</v>
      </c>
      <c r="G31" s="33" t="s">
        <v>48</v>
      </c>
      <c r="H31" s="137">
        <v>8</v>
      </c>
      <c r="I31" s="232" t="s">
        <v>839</v>
      </c>
      <c r="J31" s="1107" t="s">
        <v>729</v>
      </c>
      <c r="K31" s="1529"/>
      <c r="L31" s="1530"/>
    </row>
    <row r="32" spans="1:12" ht="43.15" customHeight="1">
      <c r="A32" s="1176" t="s">
        <v>1091</v>
      </c>
      <c r="B32" s="1185" t="s">
        <v>1092</v>
      </c>
      <c r="C32" s="1178" t="s">
        <v>1066</v>
      </c>
      <c r="D32" s="1203" t="s">
        <v>1083</v>
      </c>
      <c r="E32" s="428" t="s">
        <v>920</v>
      </c>
      <c r="F32" s="1202" t="s">
        <v>1084</v>
      </c>
      <c r="G32" s="428" t="s">
        <v>920</v>
      </c>
      <c r="H32" s="132">
        <v>32</v>
      </c>
      <c r="I32" s="233" t="s">
        <v>922</v>
      </c>
      <c r="J32" s="1108" t="s">
        <v>729</v>
      </c>
      <c r="K32" s="1529"/>
      <c r="L32" s="1530"/>
    </row>
    <row r="33" spans="1:12" ht="57.6" customHeight="1">
      <c r="A33" s="1187" t="s">
        <v>1093</v>
      </c>
      <c r="B33" s="1188" t="s">
        <v>1094</v>
      </c>
      <c r="C33" s="1193" t="s">
        <v>48</v>
      </c>
      <c r="D33" s="1193" t="s">
        <v>48</v>
      </c>
      <c r="E33" s="1193" t="s">
        <v>48</v>
      </c>
      <c r="F33" s="1196" t="s">
        <v>48</v>
      </c>
      <c r="G33" s="33" t="s">
        <v>48</v>
      </c>
      <c r="H33" s="137">
        <v>8</v>
      </c>
      <c r="I33" s="232" t="s">
        <v>839</v>
      </c>
      <c r="J33" s="1107" t="s">
        <v>729</v>
      </c>
      <c r="K33" s="1529"/>
      <c r="L33" s="1530"/>
    </row>
    <row r="34" spans="1:12" ht="72" customHeight="1">
      <c r="A34" s="1176" t="s">
        <v>1095</v>
      </c>
      <c r="B34" s="1177" t="s">
        <v>1096</v>
      </c>
      <c r="C34" s="1178" t="s">
        <v>936</v>
      </c>
      <c r="D34" s="1079">
        <v>-35.74</v>
      </c>
      <c r="E34" s="428" t="s">
        <v>920</v>
      </c>
      <c r="F34" s="1202" t="s">
        <v>1097</v>
      </c>
      <c r="G34" s="428" t="s">
        <v>920</v>
      </c>
      <c r="H34" s="132">
        <v>32</v>
      </c>
      <c r="I34" s="233" t="s">
        <v>922</v>
      </c>
      <c r="J34" s="1108" t="s">
        <v>729</v>
      </c>
      <c r="K34" s="1529"/>
      <c r="L34" s="1530"/>
    </row>
    <row r="35" spans="1:12" ht="56.65" customHeight="1">
      <c r="A35" s="1187" t="s">
        <v>1098</v>
      </c>
      <c r="B35" s="1204" t="s">
        <v>1099</v>
      </c>
      <c r="C35" s="1193" t="s">
        <v>48</v>
      </c>
      <c r="D35" s="1193" t="s">
        <v>48</v>
      </c>
      <c r="E35" s="1193" t="s">
        <v>48</v>
      </c>
      <c r="F35" s="1196" t="s">
        <v>48</v>
      </c>
      <c r="G35" s="33" t="s">
        <v>48</v>
      </c>
      <c r="H35" s="137">
        <v>8</v>
      </c>
      <c r="I35" s="232" t="s">
        <v>839</v>
      </c>
      <c r="J35" s="1107" t="s">
        <v>729</v>
      </c>
      <c r="K35" s="1529"/>
      <c r="L35" s="1530"/>
    </row>
    <row r="36" spans="1:12" ht="25.8">
      <c r="A36" s="1205" t="s">
        <v>1100</v>
      </c>
      <c r="B36" s="1206" t="s">
        <v>1101</v>
      </c>
      <c r="C36" s="1207" t="s">
        <v>1066</v>
      </c>
      <c r="D36" s="1207">
        <v>-6.2831999999999999</v>
      </c>
      <c r="E36" s="428" t="s">
        <v>920</v>
      </c>
      <c r="F36" s="1202" t="s">
        <v>1102</v>
      </c>
      <c r="G36" s="428" t="s">
        <v>920</v>
      </c>
      <c r="H36" s="132">
        <v>32</v>
      </c>
      <c r="I36" s="1208" t="s">
        <v>922</v>
      </c>
      <c r="J36" s="1108" t="s">
        <v>729</v>
      </c>
      <c r="K36" s="1529"/>
      <c r="L36" s="1530"/>
    </row>
    <row r="37" spans="1:12">
      <c r="A37" s="1209" t="s">
        <v>1103</v>
      </c>
      <c r="B37" s="1210" t="s">
        <v>1104</v>
      </c>
      <c r="C37" s="1190" t="s">
        <v>48</v>
      </c>
      <c r="D37" s="1190" t="s">
        <v>48</v>
      </c>
      <c r="E37" s="1190" t="s">
        <v>48</v>
      </c>
      <c r="F37" s="1190" t="s">
        <v>48</v>
      </c>
      <c r="G37" s="1190" t="s">
        <v>48</v>
      </c>
      <c r="H37" s="137">
        <v>8</v>
      </c>
      <c r="I37" s="1068" t="s">
        <v>839</v>
      </c>
      <c r="J37" s="1107" t="s">
        <v>729</v>
      </c>
      <c r="K37" s="1529"/>
      <c r="L37" s="1530"/>
    </row>
    <row r="38" spans="1:12" ht="57.75" customHeight="1">
      <c r="A38" s="1094" t="s">
        <v>1105</v>
      </c>
      <c r="B38" s="1094" t="s">
        <v>1106</v>
      </c>
      <c r="C38" s="1085" t="s">
        <v>936</v>
      </c>
      <c r="D38" s="1085" t="s">
        <v>1107</v>
      </c>
      <c r="E38" s="428" t="s">
        <v>920</v>
      </c>
      <c r="F38" s="1202" t="s">
        <v>1108</v>
      </c>
      <c r="G38" s="428" t="s">
        <v>920</v>
      </c>
      <c r="H38" s="132">
        <v>32</v>
      </c>
      <c r="I38" s="1095" t="s">
        <v>922</v>
      </c>
      <c r="J38" s="1108" t="s">
        <v>729</v>
      </c>
      <c r="K38" s="1529"/>
      <c r="L38" s="1530"/>
    </row>
    <row r="39" spans="1:12" ht="63.75" customHeight="1">
      <c r="A39" s="1211" t="s">
        <v>1109</v>
      </c>
      <c r="B39" s="1211" t="s">
        <v>1110</v>
      </c>
      <c r="C39" s="1199" t="s">
        <v>48</v>
      </c>
      <c r="D39" s="1199" t="s">
        <v>48</v>
      </c>
      <c r="E39" s="1199" t="s">
        <v>48</v>
      </c>
      <c r="F39" s="1196" t="s">
        <v>48</v>
      </c>
      <c r="G39" s="33" t="s">
        <v>48</v>
      </c>
      <c r="H39" s="137">
        <v>8</v>
      </c>
      <c r="I39" s="232" t="s">
        <v>839</v>
      </c>
      <c r="J39" s="1107" t="s">
        <v>729</v>
      </c>
      <c r="K39" s="1529"/>
      <c r="L39" s="1530"/>
    </row>
    <row r="40" spans="1:12" ht="91.9" customHeight="1">
      <c r="A40" s="1176" t="s">
        <v>1111</v>
      </c>
      <c r="B40" s="1177" t="s">
        <v>1112</v>
      </c>
      <c r="C40" s="1178" t="s">
        <v>936</v>
      </c>
      <c r="D40" s="1079">
        <v>-1.57</v>
      </c>
      <c r="E40" s="428" t="s">
        <v>920</v>
      </c>
      <c r="F40" s="1202" t="s">
        <v>1108</v>
      </c>
      <c r="G40" s="428" t="s">
        <v>920</v>
      </c>
      <c r="H40" s="132">
        <v>32</v>
      </c>
      <c r="I40" s="233" t="s">
        <v>922</v>
      </c>
      <c r="J40" s="1108" t="s">
        <v>729</v>
      </c>
      <c r="K40" s="1529"/>
      <c r="L40" s="1530"/>
    </row>
    <row r="41" spans="1:12" ht="47.5" customHeight="1">
      <c r="A41" s="1187" t="s">
        <v>1113</v>
      </c>
      <c r="B41" s="1211" t="s">
        <v>1114</v>
      </c>
      <c r="C41" s="1199" t="s">
        <v>48</v>
      </c>
      <c r="D41" s="1199" t="s">
        <v>48</v>
      </c>
      <c r="E41" s="1199" t="s">
        <v>48</v>
      </c>
      <c r="F41" s="1196" t="s">
        <v>48</v>
      </c>
      <c r="G41" s="33" t="s">
        <v>48</v>
      </c>
      <c r="H41" s="137">
        <v>8</v>
      </c>
      <c r="I41" s="232" t="s">
        <v>839</v>
      </c>
      <c r="J41" s="1107" t="s">
        <v>729</v>
      </c>
      <c r="K41" s="1529"/>
      <c r="L41" s="1530"/>
    </row>
    <row r="42" spans="1:12" ht="35.5" customHeight="1">
      <c r="A42" s="1176" t="s">
        <v>1115</v>
      </c>
      <c r="B42" s="1177" t="s">
        <v>1116</v>
      </c>
      <c r="C42" s="1178" t="s">
        <v>1117</v>
      </c>
      <c r="D42" s="1178">
        <v>0</v>
      </c>
      <c r="E42" s="428" t="s">
        <v>920</v>
      </c>
      <c r="F42" s="1202" t="s">
        <v>1118</v>
      </c>
      <c r="G42" s="428" t="s">
        <v>920</v>
      </c>
      <c r="H42" s="132">
        <v>32</v>
      </c>
      <c r="I42" s="233" t="s">
        <v>922</v>
      </c>
      <c r="J42" s="1" t="s">
        <v>724</v>
      </c>
      <c r="K42" s="1529"/>
      <c r="L42" s="1530"/>
    </row>
    <row r="43" spans="1:12" ht="55.15" customHeight="1">
      <c r="A43" s="1187" t="s">
        <v>1119</v>
      </c>
      <c r="B43" s="1204" t="s">
        <v>1120</v>
      </c>
      <c r="C43" s="1190" t="s">
        <v>48</v>
      </c>
      <c r="D43" s="1190" t="s">
        <v>48</v>
      </c>
      <c r="E43" s="1190" t="s">
        <v>48</v>
      </c>
      <c r="F43" s="1190" t="s">
        <v>48</v>
      </c>
      <c r="G43" s="1190" t="s">
        <v>48</v>
      </c>
      <c r="H43" s="137">
        <v>8</v>
      </c>
      <c r="I43" s="228" t="s">
        <v>839</v>
      </c>
      <c r="J43" s="1107" t="s">
        <v>729</v>
      </c>
      <c r="K43" s="1529"/>
      <c r="L43" s="1530"/>
    </row>
    <row r="44" spans="1:12" ht="56.1" customHeight="1">
      <c r="A44" s="1187" t="s">
        <v>1121</v>
      </c>
      <c r="B44" s="1204" t="s">
        <v>1122</v>
      </c>
      <c r="C44" s="1212" t="s">
        <v>48</v>
      </c>
      <c r="D44" s="1193">
        <v>0</v>
      </c>
      <c r="E44" s="1193">
        <v>1</v>
      </c>
      <c r="F44" s="1213" t="s">
        <v>1055</v>
      </c>
      <c r="G44" s="1198">
        <v>0</v>
      </c>
      <c r="H44" s="137">
        <v>8</v>
      </c>
      <c r="I44" s="228" t="s">
        <v>1056</v>
      </c>
      <c r="J44" s="1107" t="s">
        <v>724</v>
      </c>
      <c r="K44" s="1529"/>
      <c r="L44" s="1530"/>
    </row>
    <row r="45" spans="1:12" ht="61.5" customHeight="1">
      <c r="A45" s="1176" t="s">
        <v>1123</v>
      </c>
      <c r="B45" s="1177" t="s">
        <v>1124</v>
      </c>
      <c r="C45" s="1178" t="s">
        <v>48</v>
      </c>
      <c r="D45" s="1178" t="s">
        <v>48</v>
      </c>
      <c r="E45" s="1178" t="s">
        <v>48</v>
      </c>
      <c r="F45" s="1214" t="s">
        <v>48</v>
      </c>
      <c r="G45" s="133" t="s">
        <v>48</v>
      </c>
      <c r="H45" s="132">
        <v>8</v>
      </c>
      <c r="I45" s="234" t="s">
        <v>839</v>
      </c>
      <c r="J45" s="1215" t="s">
        <v>729</v>
      </c>
      <c r="K45" s="1529"/>
      <c r="L45" s="1530"/>
    </row>
    <row r="46" spans="1:12" ht="25.8">
      <c r="A46" s="1209" t="s">
        <v>1125</v>
      </c>
      <c r="B46" s="1216" t="s">
        <v>1126</v>
      </c>
      <c r="C46" s="1199" t="s">
        <v>1117</v>
      </c>
      <c r="D46" s="1199">
        <v>0</v>
      </c>
      <c r="E46" s="1213" t="s">
        <v>920</v>
      </c>
      <c r="F46" s="1213" t="s">
        <v>1118</v>
      </c>
      <c r="G46" s="1213" t="s">
        <v>920</v>
      </c>
      <c r="H46" s="137">
        <v>32</v>
      </c>
      <c r="I46" s="1217" t="s">
        <v>922</v>
      </c>
      <c r="J46" s="1218" t="s">
        <v>729</v>
      </c>
      <c r="K46" s="1529"/>
      <c r="L46" s="1530"/>
    </row>
    <row r="47" spans="1:12">
      <c r="A47" s="1205" t="s">
        <v>1127</v>
      </c>
      <c r="B47" s="1206" t="s">
        <v>1128</v>
      </c>
      <c r="C47" s="1105" t="s">
        <v>48</v>
      </c>
      <c r="D47" s="1105" t="s">
        <v>48</v>
      </c>
      <c r="E47" s="1105" t="s">
        <v>48</v>
      </c>
      <c r="F47" s="1105" t="s">
        <v>48</v>
      </c>
      <c r="G47" s="1105" t="s">
        <v>48</v>
      </c>
      <c r="H47" s="132">
        <v>8</v>
      </c>
      <c r="I47" s="235" t="s">
        <v>839</v>
      </c>
      <c r="J47" s="1215" t="s">
        <v>729</v>
      </c>
      <c r="K47" s="1529"/>
      <c r="L47" s="1530"/>
    </row>
    <row r="48" spans="1:12" ht="74.5" customHeight="1">
      <c r="A48" s="1209" t="s">
        <v>1129</v>
      </c>
      <c r="B48" s="1216" t="s">
        <v>1130</v>
      </c>
      <c r="C48" s="1199" t="s">
        <v>1131</v>
      </c>
      <c r="D48" s="1199">
        <v>-1000</v>
      </c>
      <c r="E48" s="1213" t="s">
        <v>920</v>
      </c>
      <c r="F48" s="1213" t="s">
        <v>1132</v>
      </c>
      <c r="G48" s="1213" t="s">
        <v>920</v>
      </c>
      <c r="H48" s="137">
        <v>32</v>
      </c>
      <c r="I48" s="1217" t="s">
        <v>922</v>
      </c>
      <c r="J48" s="1218" t="s">
        <v>729</v>
      </c>
      <c r="K48" s="1529"/>
      <c r="L48" s="1530"/>
    </row>
    <row r="49" spans="1:12">
      <c r="A49" s="1205" t="s">
        <v>1133</v>
      </c>
      <c r="B49" s="1206" t="s">
        <v>1134</v>
      </c>
      <c r="C49" s="1105" t="s">
        <v>48</v>
      </c>
      <c r="D49" s="1105" t="s">
        <v>48</v>
      </c>
      <c r="E49" s="1105" t="s">
        <v>48</v>
      </c>
      <c r="F49" s="1105" t="s">
        <v>48</v>
      </c>
      <c r="G49" s="1105" t="s">
        <v>48</v>
      </c>
      <c r="H49" s="132">
        <v>8</v>
      </c>
      <c r="I49" s="235" t="s">
        <v>839</v>
      </c>
      <c r="J49" s="1215" t="s">
        <v>729</v>
      </c>
      <c r="K49" s="1529"/>
      <c r="L49" s="1530"/>
    </row>
    <row r="50" spans="1:12" ht="75.599999999999994" customHeight="1">
      <c r="A50" s="1187" t="s">
        <v>1135</v>
      </c>
      <c r="B50" s="1204" t="s">
        <v>1136</v>
      </c>
      <c r="C50" s="1212" t="s">
        <v>48</v>
      </c>
      <c r="D50" s="1193">
        <v>0</v>
      </c>
      <c r="E50" s="1193">
        <v>3</v>
      </c>
      <c r="F50" s="1197" t="s">
        <v>1137</v>
      </c>
      <c r="G50" s="1198">
        <v>0</v>
      </c>
      <c r="H50" s="137">
        <v>8</v>
      </c>
      <c r="I50" s="228" t="s">
        <v>743</v>
      </c>
      <c r="J50" s="1218" t="s">
        <v>729</v>
      </c>
      <c r="K50" s="1529"/>
      <c r="L50" s="1530"/>
    </row>
    <row r="51" spans="1:12" ht="95.5" customHeight="1">
      <c r="A51" s="1176" t="s">
        <v>1138</v>
      </c>
      <c r="B51" s="1177" t="s">
        <v>1139</v>
      </c>
      <c r="C51" s="1178" t="s">
        <v>48</v>
      </c>
      <c r="D51" s="1178">
        <v>0</v>
      </c>
      <c r="E51" s="1178">
        <v>1</v>
      </c>
      <c r="F51" s="1195" t="s">
        <v>1055</v>
      </c>
      <c r="G51" s="1108">
        <v>0</v>
      </c>
      <c r="H51" s="132">
        <v>8</v>
      </c>
      <c r="I51" s="234" t="s">
        <v>1056</v>
      </c>
      <c r="J51" s="1215" t="s">
        <v>729</v>
      </c>
      <c r="K51" s="1529"/>
      <c r="L51" s="1530"/>
    </row>
    <row r="52" spans="1:12" ht="43.15" customHeight="1">
      <c r="A52" s="1187" t="s">
        <v>1140</v>
      </c>
      <c r="B52" s="1204" t="s">
        <v>1141</v>
      </c>
      <c r="C52" s="1190" t="s">
        <v>48</v>
      </c>
      <c r="D52" s="1193">
        <v>0</v>
      </c>
      <c r="E52" s="1193">
        <v>1</v>
      </c>
      <c r="F52" s="1197" t="s">
        <v>1055</v>
      </c>
      <c r="G52" s="1198">
        <v>0</v>
      </c>
      <c r="H52" s="137">
        <v>8</v>
      </c>
      <c r="I52" s="228" t="s">
        <v>1056</v>
      </c>
      <c r="J52" s="1218" t="s">
        <v>729</v>
      </c>
      <c r="K52" s="1529"/>
      <c r="L52" s="1530"/>
    </row>
    <row r="53" spans="1:12" ht="170.5" customHeight="1">
      <c r="A53" s="1176" t="s">
        <v>1142</v>
      </c>
      <c r="B53" s="1177" t="s">
        <v>1143</v>
      </c>
      <c r="C53" s="1178" t="s">
        <v>48</v>
      </c>
      <c r="D53" s="1178">
        <v>0</v>
      </c>
      <c r="E53" s="1178">
        <v>4</v>
      </c>
      <c r="F53" s="1195" t="s">
        <v>1144</v>
      </c>
      <c r="G53" s="1108">
        <v>0</v>
      </c>
      <c r="H53" s="132">
        <v>8</v>
      </c>
      <c r="I53" s="231" t="s">
        <v>743</v>
      </c>
      <c r="J53" s="1215" t="s">
        <v>729</v>
      </c>
      <c r="K53" s="1529"/>
      <c r="L53" s="1530"/>
    </row>
    <row r="54" spans="1:12" ht="43.15" customHeight="1">
      <c r="A54" s="1187" t="s">
        <v>1145</v>
      </c>
      <c r="B54" s="1204" t="s">
        <v>1146</v>
      </c>
      <c r="C54" s="1190" t="s">
        <v>48</v>
      </c>
      <c r="D54" s="1190" t="s">
        <v>48</v>
      </c>
      <c r="E54" s="1190" t="s">
        <v>48</v>
      </c>
      <c r="F54" s="1190" t="s">
        <v>48</v>
      </c>
      <c r="G54" s="1190" t="s">
        <v>48</v>
      </c>
      <c r="H54" s="137">
        <v>8</v>
      </c>
      <c r="I54" s="228" t="s">
        <v>839</v>
      </c>
      <c r="J54" s="1218" t="s">
        <v>729</v>
      </c>
      <c r="K54" s="1529"/>
      <c r="L54" s="1530"/>
    </row>
    <row r="55" spans="1:12" ht="136.5" customHeight="1">
      <c r="A55" s="1176" t="s">
        <v>1147</v>
      </c>
      <c r="B55" s="1177" t="s">
        <v>1148</v>
      </c>
      <c r="C55" s="1111" t="s">
        <v>48</v>
      </c>
      <c r="D55" s="1178">
        <v>0</v>
      </c>
      <c r="E55" s="1178">
        <v>2</v>
      </c>
      <c r="F55" s="1195" t="s">
        <v>1149</v>
      </c>
      <c r="G55" s="1108">
        <v>0</v>
      </c>
      <c r="H55" s="132">
        <v>8</v>
      </c>
      <c r="I55" s="231" t="s">
        <v>743</v>
      </c>
      <c r="J55" s="1215" t="s">
        <v>729</v>
      </c>
      <c r="K55" s="1529"/>
      <c r="L55" s="1530"/>
    </row>
    <row r="56" spans="1:12" ht="372.6" customHeight="1">
      <c r="A56" s="1187" t="s">
        <v>1150</v>
      </c>
      <c r="B56" s="1204" t="s">
        <v>1151</v>
      </c>
      <c r="C56" s="1193" t="s">
        <v>48</v>
      </c>
      <c r="D56" s="1193">
        <v>0</v>
      </c>
      <c r="E56" s="1193">
        <v>26</v>
      </c>
      <c r="F56" s="1197" t="s">
        <v>1152</v>
      </c>
      <c r="G56" s="1198">
        <v>0</v>
      </c>
      <c r="H56" s="137">
        <v>8</v>
      </c>
      <c r="I56" s="228" t="s">
        <v>743</v>
      </c>
      <c r="J56" s="1218" t="s">
        <v>729</v>
      </c>
      <c r="K56" s="1529"/>
      <c r="L56" s="1530"/>
    </row>
    <row r="57" spans="1:12" ht="372.6" customHeight="1">
      <c r="A57" s="1176" t="s">
        <v>1153</v>
      </c>
      <c r="B57" s="1206" t="s">
        <v>1154</v>
      </c>
      <c r="C57" s="1111" t="s">
        <v>48</v>
      </c>
      <c r="D57" s="1178">
        <v>0</v>
      </c>
      <c r="E57" s="1178">
        <v>26</v>
      </c>
      <c r="F57" s="1195" t="s">
        <v>1152</v>
      </c>
      <c r="G57" s="1108">
        <v>0</v>
      </c>
      <c r="H57" s="132">
        <v>8</v>
      </c>
      <c r="I57" s="231" t="s">
        <v>743</v>
      </c>
      <c r="J57" s="1215" t="s">
        <v>729</v>
      </c>
      <c r="K57" s="1529"/>
      <c r="L57" s="1530"/>
    </row>
    <row r="58" spans="1:12" ht="154.5" customHeight="1">
      <c r="A58" s="1219" t="s">
        <v>1155</v>
      </c>
      <c r="B58" s="1219" t="s">
        <v>1156</v>
      </c>
      <c r="C58" s="1220" t="s">
        <v>48</v>
      </c>
      <c r="D58" s="1221" t="s">
        <v>48</v>
      </c>
      <c r="E58" s="1221" t="s">
        <v>48</v>
      </c>
      <c r="F58" s="1222" t="s">
        <v>48</v>
      </c>
      <c r="G58" s="1223" t="s">
        <v>48</v>
      </c>
      <c r="H58" s="137">
        <v>8</v>
      </c>
      <c r="I58" s="228" t="s">
        <v>1157</v>
      </c>
      <c r="J58" s="1218" t="s">
        <v>729</v>
      </c>
      <c r="K58" s="1529"/>
      <c r="L58" s="1530"/>
    </row>
    <row r="59" spans="1:12" ht="43.5" customHeight="1">
      <c r="A59" s="1078" t="s">
        <v>1158</v>
      </c>
      <c r="B59" s="1078" t="s">
        <v>1159</v>
      </c>
      <c r="C59" s="1079" t="s">
        <v>48</v>
      </c>
      <c r="D59" s="1079" t="s">
        <v>48</v>
      </c>
      <c r="E59" s="1079" t="s">
        <v>48</v>
      </c>
      <c r="F59" s="1224" t="s">
        <v>48</v>
      </c>
      <c r="G59" s="1108" t="s">
        <v>48</v>
      </c>
      <c r="H59" s="132">
        <v>8</v>
      </c>
      <c r="I59" s="231" t="s">
        <v>839</v>
      </c>
      <c r="J59" s="1215" t="s">
        <v>729</v>
      </c>
      <c r="K59" s="1529"/>
      <c r="L59" s="1530"/>
    </row>
    <row r="60" spans="1:12" ht="154.5" customHeight="1">
      <c r="A60" s="1219" t="s">
        <v>1160</v>
      </c>
      <c r="B60" s="1219" t="s">
        <v>1161</v>
      </c>
      <c r="C60" s="1220" t="s">
        <v>48</v>
      </c>
      <c r="D60" s="1221" t="s">
        <v>48</v>
      </c>
      <c r="E60" s="1221" t="s">
        <v>48</v>
      </c>
      <c r="F60" s="1222" t="s">
        <v>48</v>
      </c>
      <c r="G60" s="1223" t="s">
        <v>48</v>
      </c>
      <c r="H60" s="137">
        <v>8</v>
      </c>
      <c r="I60" s="228" t="s">
        <v>1157</v>
      </c>
      <c r="J60" s="1218" t="s">
        <v>729</v>
      </c>
      <c r="K60" s="1529"/>
      <c r="L60" s="1530"/>
    </row>
    <row r="61" spans="1:12" ht="45" customHeight="1">
      <c r="A61" s="1078" t="s">
        <v>1162</v>
      </c>
      <c r="B61" s="1078" t="s">
        <v>1163</v>
      </c>
      <c r="C61" s="1079" t="s">
        <v>48</v>
      </c>
      <c r="D61" s="1079" t="s">
        <v>48</v>
      </c>
      <c r="E61" s="1079" t="s">
        <v>48</v>
      </c>
      <c r="F61" s="1224" t="s">
        <v>48</v>
      </c>
      <c r="G61" s="1108" t="s">
        <v>48</v>
      </c>
      <c r="H61" s="132">
        <v>8</v>
      </c>
      <c r="I61" s="231" t="s">
        <v>839</v>
      </c>
      <c r="J61" s="1215" t="s">
        <v>729</v>
      </c>
      <c r="K61" s="1529"/>
      <c r="L61" s="1530"/>
    </row>
    <row r="62" spans="1:12" ht="48.6" customHeight="1">
      <c r="A62" s="1225" t="s">
        <v>1164</v>
      </c>
      <c r="B62" s="1204" t="s">
        <v>1165</v>
      </c>
      <c r="C62" s="1193" t="s">
        <v>48</v>
      </c>
      <c r="D62" s="1193">
        <v>0</v>
      </c>
      <c r="E62" s="1193">
        <v>1</v>
      </c>
      <c r="F62" s="1197" t="s">
        <v>1055</v>
      </c>
      <c r="G62" s="1198">
        <v>0</v>
      </c>
      <c r="H62" s="137">
        <v>8</v>
      </c>
      <c r="I62" s="232" t="s">
        <v>1056</v>
      </c>
      <c r="J62" s="1226" t="s">
        <v>724</v>
      </c>
      <c r="K62" s="1529"/>
      <c r="L62" s="1530"/>
    </row>
    <row r="63" spans="1:12" ht="51.6" customHeight="1">
      <c r="A63" s="1227" t="s">
        <v>1166</v>
      </c>
      <c r="B63" s="1177" t="s">
        <v>1167</v>
      </c>
      <c r="C63" s="1085" t="s">
        <v>48</v>
      </c>
      <c r="D63" s="1085" t="s">
        <v>48</v>
      </c>
      <c r="E63" s="1085" t="s">
        <v>48</v>
      </c>
      <c r="F63" s="1085" t="s">
        <v>48</v>
      </c>
      <c r="G63" s="1085" t="s">
        <v>48</v>
      </c>
      <c r="H63" s="132">
        <v>8</v>
      </c>
      <c r="I63" s="231" t="s">
        <v>839</v>
      </c>
      <c r="J63" s="1215" t="s">
        <v>729</v>
      </c>
      <c r="K63" s="1529"/>
      <c r="L63" s="1530"/>
    </row>
    <row r="64" spans="1:12" ht="26.1">
      <c r="A64" s="1209" t="s">
        <v>1168</v>
      </c>
      <c r="B64" s="1228" t="s">
        <v>1169</v>
      </c>
      <c r="C64" s="1199" t="s">
        <v>1072</v>
      </c>
      <c r="D64" s="1199">
        <v>-15</v>
      </c>
      <c r="E64" s="1213" t="s">
        <v>920</v>
      </c>
      <c r="F64" s="1213" t="s">
        <v>1170</v>
      </c>
      <c r="G64" s="1213" t="s">
        <v>920</v>
      </c>
      <c r="H64" s="137">
        <v>32</v>
      </c>
      <c r="I64" s="1217" t="s">
        <v>922</v>
      </c>
      <c r="J64" s="1217" t="s">
        <v>724</v>
      </c>
      <c r="K64" s="1529"/>
      <c r="L64" s="1530"/>
    </row>
    <row r="65" spans="1:12">
      <c r="A65" s="1205" t="s">
        <v>1171</v>
      </c>
      <c r="B65" s="1229" t="s">
        <v>1172</v>
      </c>
      <c r="C65" s="1105" t="s">
        <v>48</v>
      </c>
      <c r="D65" s="1105" t="s">
        <v>48</v>
      </c>
      <c r="E65" s="1105" t="s">
        <v>48</v>
      </c>
      <c r="F65" s="1105" t="s">
        <v>48</v>
      </c>
      <c r="G65" s="1105" t="s">
        <v>48</v>
      </c>
      <c r="H65" s="132">
        <v>8</v>
      </c>
      <c r="I65" s="235" t="s">
        <v>839</v>
      </c>
      <c r="J65" s="1215" t="s">
        <v>724</v>
      </c>
      <c r="K65" s="1529"/>
      <c r="L65" s="1530"/>
    </row>
    <row r="66" spans="1:12" ht="55.5" customHeight="1">
      <c r="A66" s="1211" t="s">
        <v>1173</v>
      </c>
      <c r="B66" s="1211" t="s">
        <v>1174</v>
      </c>
      <c r="C66" s="1199" t="s">
        <v>48</v>
      </c>
      <c r="D66" s="1190">
        <v>0</v>
      </c>
      <c r="E66" s="1190">
        <v>1</v>
      </c>
      <c r="F66" s="1190" t="s">
        <v>1055</v>
      </c>
      <c r="G66" s="1190">
        <v>0</v>
      </c>
      <c r="H66" s="137">
        <v>8</v>
      </c>
      <c r="I66" s="232" t="s">
        <v>1056</v>
      </c>
      <c r="J66" s="1226" t="s">
        <v>729</v>
      </c>
      <c r="K66" s="1529"/>
      <c r="L66" s="1530"/>
    </row>
    <row r="67" spans="1:12" ht="59.25" customHeight="1">
      <c r="A67" s="1094" t="s">
        <v>1175</v>
      </c>
      <c r="B67" s="1094" t="s">
        <v>1176</v>
      </c>
      <c r="C67" s="1085" t="s">
        <v>48</v>
      </c>
      <c r="D67" s="1085" t="s">
        <v>48</v>
      </c>
      <c r="E67" s="1085" t="s">
        <v>48</v>
      </c>
      <c r="F67" s="1085" t="s">
        <v>48</v>
      </c>
      <c r="G67" s="1085" t="s">
        <v>48</v>
      </c>
      <c r="H67" s="132">
        <v>8</v>
      </c>
      <c r="I67" s="231" t="s">
        <v>839</v>
      </c>
      <c r="J67" s="1215" t="s">
        <v>729</v>
      </c>
      <c r="K67" s="1529"/>
      <c r="L67" s="1530"/>
    </row>
    <row r="68" spans="1:12" ht="61.5" customHeight="1">
      <c r="A68" s="1211" t="s">
        <v>1177</v>
      </c>
      <c r="B68" s="1211" t="s">
        <v>1178</v>
      </c>
      <c r="C68" s="1199" t="s">
        <v>48</v>
      </c>
      <c r="D68" s="1190">
        <v>0</v>
      </c>
      <c r="E68" s="1190">
        <v>1</v>
      </c>
      <c r="F68" s="1190" t="s">
        <v>1055</v>
      </c>
      <c r="G68" s="1190">
        <v>0</v>
      </c>
      <c r="H68" s="137">
        <v>8</v>
      </c>
      <c r="I68" s="232" t="s">
        <v>1056</v>
      </c>
      <c r="J68" s="1226" t="s">
        <v>729</v>
      </c>
      <c r="K68" s="1529"/>
      <c r="L68" s="1530"/>
    </row>
    <row r="69" spans="1:12" ht="72.75" customHeight="1">
      <c r="A69" s="1094" t="s">
        <v>1179</v>
      </c>
      <c r="B69" s="1094" t="s">
        <v>1180</v>
      </c>
      <c r="C69" s="1085" t="s">
        <v>48</v>
      </c>
      <c r="D69" s="1085" t="s">
        <v>48</v>
      </c>
      <c r="E69" s="1085" t="s">
        <v>48</v>
      </c>
      <c r="F69" s="1085" t="s">
        <v>48</v>
      </c>
      <c r="G69" s="1085" t="s">
        <v>48</v>
      </c>
      <c r="H69" s="132">
        <v>8</v>
      </c>
      <c r="I69" s="231" t="s">
        <v>839</v>
      </c>
      <c r="J69" s="1215" t="s">
        <v>729</v>
      </c>
      <c r="K69" s="1529"/>
      <c r="L69" s="1530"/>
    </row>
    <row r="70" spans="1:12" ht="67.5" customHeight="1">
      <c r="A70" s="1211" t="s">
        <v>1181</v>
      </c>
      <c r="B70" s="1211" t="s">
        <v>1182</v>
      </c>
      <c r="C70" s="1199" t="s">
        <v>48</v>
      </c>
      <c r="D70" s="1190">
        <v>0</v>
      </c>
      <c r="E70" s="1190">
        <v>1</v>
      </c>
      <c r="F70" s="1190" t="s">
        <v>1055</v>
      </c>
      <c r="G70" s="1190">
        <v>0</v>
      </c>
      <c r="H70" s="137">
        <v>8</v>
      </c>
      <c r="I70" s="232" t="s">
        <v>1056</v>
      </c>
      <c r="J70" s="1226" t="s">
        <v>724</v>
      </c>
      <c r="K70" s="1529"/>
      <c r="L70" s="1530"/>
    </row>
    <row r="71" spans="1:12" ht="69.75" customHeight="1">
      <c r="A71" s="1094" t="s">
        <v>1183</v>
      </c>
      <c r="B71" s="1094" t="s">
        <v>1184</v>
      </c>
      <c r="C71" s="1085" t="s">
        <v>48</v>
      </c>
      <c r="D71" s="1085" t="s">
        <v>48</v>
      </c>
      <c r="E71" s="1085" t="s">
        <v>48</v>
      </c>
      <c r="F71" s="1085" t="s">
        <v>48</v>
      </c>
      <c r="G71" s="1085" t="s">
        <v>48</v>
      </c>
      <c r="H71" s="132">
        <v>8</v>
      </c>
      <c r="I71" s="231" t="s">
        <v>839</v>
      </c>
      <c r="J71" s="1215" t="s">
        <v>729</v>
      </c>
      <c r="K71" s="1529"/>
      <c r="L71" s="1530"/>
    </row>
    <row r="72" spans="1:12" ht="122.65" customHeight="1">
      <c r="A72" s="1216" t="s">
        <v>1185</v>
      </c>
      <c r="B72" s="1216" t="s">
        <v>1186</v>
      </c>
      <c r="C72" s="1199" t="s">
        <v>48</v>
      </c>
      <c r="D72" s="1213">
        <v>0</v>
      </c>
      <c r="E72" s="1213" t="s">
        <v>920</v>
      </c>
      <c r="F72" s="1213" t="s">
        <v>1187</v>
      </c>
      <c r="G72" s="1213" t="s">
        <v>920</v>
      </c>
      <c r="H72" s="137">
        <v>32</v>
      </c>
      <c r="I72" s="236" t="s">
        <v>922</v>
      </c>
      <c r="J72" s="1226" t="s">
        <v>729</v>
      </c>
      <c r="K72" s="1529"/>
      <c r="L72" s="1530"/>
    </row>
    <row r="73" spans="1:12" ht="70" customHeight="1">
      <c r="A73" s="1206" t="s">
        <v>1188</v>
      </c>
      <c r="B73" s="1094" t="s">
        <v>1189</v>
      </c>
      <c r="C73" s="1178" t="s">
        <v>48</v>
      </c>
      <c r="D73" s="1159" t="s">
        <v>48</v>
      </c>
      <c r="E73" s="1159" t="s">
        <v>48</v>
      </c>
      <c r="F73" s="1214" t="s">
        <v>48</v>
      </c>
      <c r="G73" s="133" t="s">
        <v>48</v>
      </c>
      <c r="H73" s="132">
        <v>8</v>
      </c>
      <c r="I73" s="234" t="s">
        <v>839</v>
      </c>
      <c r="J73" s="1215" t="s">
        <v>729</v>
      </c>
      <c r="K73" s="1529"/>
      <c r="L73" s="1530"/>
    </row>
    <row r="74" spans="1:12" ht="69.400000000000006" customHeight="1">
      <c r="A74" s="1187" t="s">
        <v>1190</v>
      </c>
      <c r="B74" s="1204" t="s">
        <v>1191</v>
      </c>
      <c r="C74" s="1193" t="s">
        <v>919</v>
      </c>
      <c r="D74" s="1193">
        <v>-0.14000000000000001</v>
      </c>
      <c r="E74" s="1213" t="s">
        <v>920</v>
      </c>
      <c r="F74" s="1213" t="s">
        <v>1192</v>
      </c>
      <c r="G74" s="1213" t="s">
        <v>920</v>
      </c>
      <c r="H74" s="137">
        <v>32</v>
      </c>
      <c r="I74" s="236" t="s">
        <v>922</v>
      </c>
      <c r="J74" s="1198" t="s">
        <v>724</v>
      </c>
      <c r="K74" s="1529"/>
      <c r="L74" s="1530"/>
    </row>
    <row r="75" spans="1:12" ht="82.5" customHeight="1">
      <c r="A75" s="1176" t="s">
        <v>1193</v>
      </c>
      <c r="B75" s="1094" t="s">
        <v>1194</v>
      </c>
      <c r="C75" s="1085" t="s">
        <v>48</v>
      </c>
      <c r="D75" s="1085" t="s">
        <v>48</v>
      </c>
      <c r="E75" s="1085" t="s">
        <v>48</v>
      </c>
      <c r="F75" s="1085" t="s">
        <v>48</v>
      </c>
      <c r="G75" s="1085" t="s">
        <v>48</v>
      </c>
      <c r="H75" s="132">
        <v>8</v>
      </c>
      <c r="I75" s="231" t="s">
        <v>839</v>
      </c>
      <c r="J75" s="1186" t="s">
        <v>724</v>
      </c>
      <c r="K75" s="1529"/>
      <c r="L75" s="1530"/>
    </row>
    <row r="76" spans="1:12" ht="64.5" customHeight="1">
      <c r="A76" s="1211" t="s">
        <v>1195</v>
      </c>
      <c r="B76" s="1211" t="s">
        <v>1196</v>
      </c>
      <c r="C76" s="1190" t="s">
        <v>936</v>
      </c>
      <c r="D76" s="1190" t="s">
        <v>1197</v>
      </c>
      <c r="E76" s="1213" t="s">
        <v>920</v>
      </c>
      <c r="F76" s="1213" t="s">
        <v>1198</v>
      </c>
      <c r="G76" s="1213" t="s">
        <v>920</v>
      </c>
      <c r="H76" s="137">
        <v>32</v>
      </c>
      <c r="I76" s="1191" t="s">
        <v>922</v>
      </c>
      <c r="J76" s="1191" t="s">
        <v>729</v>
      </c>
      <c r="K76" s="1529"/>
      <c r="L76" s="1530"/>
    </row>
    <row r="77" spans="1:12" ht="61.5" customHeight="1">
      <c r="A77" s="1094" t="s">
        <v>1199</v>
      </c>
      <c r="B77" s="1094" t="s">
        <v>1200</v>
      </c>
      <c r="C77" s="1159" t="s">
        <v>48</v>
      </c>
      <c r="D77" s="1159" t="s">
        <v>48</v>
      </c>
      <c r="E77" s="1159" t="s">
        <v>48</v>
      </c>
      <c r="F77" s="1214" t="s">
        <v>48</v>
      </c>
      <c r="G77" s="133" t="s">
        <v>48</v>
      </c>
      <c r="H77" s="132">
        <v>8</v>
      </c>
      <c r="I77" s="234" t="s">
        <v>839</v>
      </c>
      <c r="J77" s="1095" t="s">
        <v>729</v>
      </c>
      <c r="K77" s="1529"/>
      <c r="L77" s="1530"/>
    </row>
    <row r="78" spans="1:12" ht="68.25" customHeight="1">
      <c r="A78" s="1211" t="s">
        <v>1201</v>
      </c>
      <c r="B78" s="1211" t="s">
        <v>1202</v>
      </c>
      <c r="C78" s="1190" t="s">
        <v>936</v>
      </c>
      <c r="D78" s="1190" t="s">
        <v>1197</v>
      </c>
      <c r="E78" s="1213" t="s">
        <v>920</v>
      </c>
      <c r="F78" s="1213" t="s">
        <v>1198</v>
      </c>
      <c r="G78" s="1213" t="s">
        <v>920</v>
      </c>
      <c r="H78" s="137">
        <v>32</v>
      </c>
      <c r="I78" s="1191" t="s">
        <v>922</v>
      </c>
      <c r="J78" s="1191" t="s">
        <v>729</v>
      </c>
      <c r="K78" s="1529"/>
      <c r="L78" s="1530"/>
    </row>
    <row r="79" spans="1:12" ht="68.25" customHeight="1">
      <c r="A79" s="1094" t="s">
        <v>1203</v>
      </c>
      <c r="B79" s="1094" t="s">
        <v>1204</v>
      </c>
      <c r="C79" s="1159" t="s">
        <v>48</v>
      </c>
      <c r="D79" s="1159" t="s">
        <v>48</v>
      </c>
      <c r="E79" s="1159" t="s">
        <v>48</v>
      </c>
      <c r="F79" s="1214" t="s">
        <v>48</v>
      </c>
      <c r="G79" s="133" t="s">
        <v>48</v>
      </c>
      <c r="H79" s="132">
        <v>8</v>
      </c>
      <c r="I79" s="234" t="s">
        <v>839</v>
      </c>
      <c r="J79" s="1095" t="s">
        <v>729</v>
      </c>
      <c r="K79" s="1529"/>
      <c r="L79" s="1530"/>
    </row>
    <row r="80" spans="1:12" ht="73.5" customHeight="1">
      <c r="A80" s="1211" t="s">
        <v>1205</v>
      </c>
      <c r="B80" s="1211" t="s">
        <v>1206</v>
      </c>
      <c r="C80" s="1190" t="s">
        <v>919</v>
      </c>
      <c r="D80" s="1190" t="s">
        <v>1207</v>
      </c>
      <c r="E80" s="1213" t="s">
        <v>920</v>
      </c>
      <c r="F80" s="1213" t="s">
        <v>1208</v>
      </c>
      <c r="G80" s="1213" t="s">
        <v>920</v>
      </c>
      <c r="H80" s="137">
        <v>32</v>
      </c>
      <c r="I80" s="1191" t="s">
        <v>922</v>
      </c>
      <c r="J80" s="1191" t="s">
        <v>729</v>
      </c>
      <c r="K80" s="1529"/>
      <c r="L80" s="1530"/>
    </row>
    <row r="81" spans="1:12" ht="58.5" customHeight="1">
      <c r="A81" s="1094" t="s">
        <v>1209</v>
      </c>
      <c r="B81" s="1094" t="s">
        <v>1210</v>
      </c>
      <c r="C81" s="1159" t="s">
        <v>48</v>
      </c>
      <c r="D81" s="1159" t="s">
        <v>48</v>
      </c>
      <c r="E81" s="1159" t="s">
        <v>48</v>
      </c>
      <c r="F81" s="1214" t="s">
        <v>48</v>
      </c>
      <c r="G81" s="133" t="s">
        <v>48</v>
      </c>
      <c r="H81" s="132">
        <v>8</v>
      </c>
      <c r="I81" s="234" t="s">
        <v>839</v>
      </c>
      <c r="J81" s="1095" t="s">
        <v>729</v>
      </c>
      <c r="K81" s="1529"/>
      <c r="L81" s="1530"/>
    </row>
    <row r="82" spans="1:12" ht="54.75" customHeight="1">
      <c r="A82" s="1211" t="s">
        <v>1211</v>
      </c>
      <c r="B82" s="1211" t="s">
        <v>1212</v>
      </c>
      <c r="C82" s="1190" t="s">
        <v>919</v>
      </c>
      <c r="D82" s="1190" t="s">
        <v>1207</v>
      </c>
      <c r="E82" s="1213" t="s">
        <v>920</v>
      </c>
      <c r="F82" s="1213" t="s">
        <v>1208</v>
      </c>
      <c r="G82" s="1213" t="s">
        <v>920</v>
      </c>
      <c r="H82" s="137">
        <v>32</v>
      </c>
      <c r="I82" s="1191" t="s">
        <v>922</v>
      </c>
      <c r="J82" s="1191" t="s">
        <v>729</v>
      </c>
      <c r="K82" s="1529"/>
      <c r="L82" s="1530"/>
    </row>
    <row r="83" spans="1:12" ht="56.25" customHeight="1">
      <c r="A83" s="1094" t="s">
        <v>1213</v>
      </c>
      <c r="B83" s="1094" t="s">
        <v>1214</v>
      </c>
      <c r="C83" s="1159" t="s">
        <v>48</v>
      </c>
      <c r="D83" s="1159" t="s">
        <v>48</v>
      </c>
      <c r="E83" s="1159" t="s">
        <v>48</v>
      </c>
      <c r="F83" s="1214" t="s">
        <v>48</v>
      </c>
      <c r="G83" s="133" t="s">
        <v>48</v>
      </c>
      <c r="H83" s="132">
        <v>8</v>
      </c>
      <c r="I83" s="234" t="s">
        <v>839</v>
      </c>
      <c r="J83" s="1095" t="s">
        <v>729</v>
      </c>
      <c r="K83" s="1529"/>
      <c r="L83" s="1530"/>
    </row>
    <row r="84" spans="1:12" ht="58.5" customHeight="1">
      <c r="A84" s="1211" t="s">
        <v>1215</v>
      </c>
      <c r="B84" s="1211" t="s">
        <v>1216</v>
      </c>
      <c r="C84" s="1190" t="s">
        <v>919</v>
      </c>
      <c r="D84" s="1190" t="s">
        <v>1207</v>
      </c>
      <c r="E84" s="1213" t="s">
        <v>920</v>
      </c>
      <c r="F84" s="1213" t="s">
        <v>1208</v>
      </c>
      <c r="G84" s="1213" t="s">
        <v>920</v>
      </c>
      <c r="H84" s="194">
        <v>32</v>
      </c>
      <c r="I84" s="1230" t="s">
        <v>922</v>
      </c>
      <c r="J84" s="1191" t="s">
        <v>729</v>
      </c>
      <c r="K84" s="1529"/>
      <c r="L84" s="1530"/>
    </row>
    <row r="85" spans="1:12" ht="54.75" customHeight="1">
      <c r="A85" s="1094" t="s">
        <v>1217</v>
      </c>
      <c r="B85" s="1094" t="s">
        <v>1218</v>
      </c>
      <c r="C85" s="1159" t="s">
        <v>48</v>
      </c>
      <c r="D85" s="1159" t="s">
        <v>48</v>
      </c>
      <c r="E85" s="1159" t="s">
        <v>48</v>
      </c>
      <c r="F85" s="1214" t="s">
        <v>48</v>
      </c>
      <c r="G85" s="133" t="s">
        <v>48</v>
      </c>
      <c r="H85" s="132">
        <v>8</v>
      </c>
      <c r="I85" s="234" t="s">
        <v>839</v>
      </c>
      <c r="J85" s="1095" t="s">
        <v>729</v>
      </c>
      <c r="K85" s="1529"/>
      <c r="L85" s="1530"/>
    </row>
    <row r="86" spans="1:12" ht="59.25" customHeight="1">
      <c r="A86" s="1211" t="s">
        <v>1219</v>
      </c>
      <c r="B86" s="1211" t="s">
        <v>1220</v>
      </c>
      <c r="C86" s="1190" t="s">
        <v>919</v>
      </c>
      <c r="D86" s="1190" t="s">
        <v>1207</v>
      </c>
      <c r="E86" s="1213" t="s">
        <v>920</v>
      </c>
      <c r="F86" s="1213" t="s">
        <v>1208</v>
      </c>
      <c r="G86" s="1213" t="s">
        <v>920</v>
      </c>
      <c r="H86" s="137">
        <v>32</v>
      </c>
      <c r="I86" s="1191" t="s">
        <v>922</v>
      </c>
      <c r="J86" s="1191" t="s">
        <v>729</v>
      </c>
      <c r="K86" s="1529"/>
      <c r="L86" s="1530"/>
    </row>
    <row r="87" spans="1:12" ht="60.75" customHeight="1">
      <c r="A87" s="1094" t="s">
        <v>1221</v>
      </c>
      <c r="B87" s="1094" t="s">
        <v>1222</v>
      </c>
      <c r="C87" s="1159" t="s">
        <v>48</v>
      </c>
      <c r="D87" s="1159" t="s">
        <v>48</v>
      </c>
      <c r="E87" s="1159" t="s">
        <v>48</v>
      </c>
      <c r="F87" s="135" t="s">
        <v>48</v>
      </c>
      <c r="G87" s="136" t="s">
        <v>48</v>
      </c>
      <c r="H87" s="132">
        <v>8</v>
      </c>
      <c r="I87" s="237" t="s">
        <v>839</v>
      </c>
      <c r="J87" s="1095" t="s">
        <v>729</v>
      </c>
      <c r="K87" s="1529"/>
      <c r="L87" s="1530"/>
    </row>
    <row r="88" spans="1:12" ht="34.9" customHeight="1">
      <c r="A88" s="1187" t="s">
        <v>1223</v>
      </c>
      <c r="B88" s="1188" t="s">
        <v>1224</v>
      </c>
      <c r="C88" s="1193" t="s">
        <v>1066</v>
      </c>
      <c r="D88" s="1193">
        <v>-327.60000000000002</v>
      </c>
      <c r="E88" s="1213" t="s">
        <v>920</v>
      </c>
      <c r="F88" s="1213" t="s">
        <v>1225</v>
      </c>
      <c r="G88" s="1213" t="s">
        <v>920</v>
      </c>
      <c r="H88" s="137">
        <v>32</v>
      </c>
      <c r="I88" s="236" t="s">
        <v>922</v>
      </c>
      <c r="J88" s="1191" t="s">
        <v>729</v>
      </c>
      <c r="K88" s="1529"/>
      <c r="L88" s="1530"/>
    </row>
    <row r="89" spans="1:12" ht="81.599999999999994" customHeight="1">
      <c r="A89" s="1176" t="s">
        <v>1226</v>
      </c>
      <c r="B89" s="1185" t="s">
        <v>1227</v>
      </c>
      <c r="C89" s="1178" t="s">
        <v>48</v>
      </c>
      <c r="D89" s="1178">
        <v>0</v>
      </c>
      <c r="E89" s="1178">
        <v>4</v>
      </c>
      <c r="F89" s="1214" t="s">
        <v>1228</v>
      </c>
      <c r="G89" s="133">
        <v>0</v>
      </c>
      <c r="H89" s="132">
        <v>8</v>
      </c>
      <c r="I89" s="234" t="s">
        <v>743</v>
      </c>
      <c r="J89" s="1095" t="s">
        <v>729</v>
      </c>
      <c r="K89" s="1529"/>
      <c r="L89" s="1530"/>
    </row>
    <row r="90" spans="1:12" ht="40.9" customHeight="1">
      <c r="A90" s="1187" t="s">
        <v>1229</v>
      </c>
      <c r="B90" s="1188" t="s">
        <v>1230</v>
      </c>
      <c r="C90" s="1193" t="s">
        <v>1066</v>
      </c>
      <c r="D90" s="1193">
        <v>-327.60000000000002</v>
      </c>
      <c r="E90" s="1213" t="s">
        <v>920</v>
      </c>
      <c r="F90" s="1213" t="s">
        <v>1225</v>
      </c>
      <c r="G90" s="1213" t="s">
        <v>920</v>
      </c>
      <c r="H90" s="137">
        <v>32</v>
      </c>
      <c r="I90" s="236" t="s">
        <v>922</v>
      </c>
      <c r="J90" s="1191" t="s">
        <v>729</v>
      </c>
      <c r="K90" s="1529"/>
      <c r="L90" s="1530"/>
    </row>
    <row r="91" spans="1:12" ht="87.6" customHeight="1">
      <c r="A91" s="1176" t="s">
        <v>1231</v>
      </c>
      <c r="B91" s="1185" t="s">
        <v>1232</v>
      </c>
      <c r="C91" s="1085" t="s">
        <v>48</v>
      </c>
      <c r="D91" s="1178">
        <v>0</v>
      </c>
      <c r="E91" s="1178">
        <v>4</v>
      </c>
      <c r="F91" s="1214" t="s">
        <v>1228</v>
      </c>
      <c r="G91" s="133">
        <v>0</v>
      </c>
      <c r="H91" s="132">
        <v>8</v>
      </c>
      <c r="I91" s="234" t="s">
        <v>743</v>
      </c>
      <c r="J91" s="1095" t="s">
        <v>729</v>
      </c>
      <c r="K91" s="1529"/>
      <c r="L91" s="1530"/>
    </row>
    <row r="92" spans="1:12" ht="38.5" customHeight="1">
      <c r="A92" s="1187" t="s">
        <v>1233</v>
      </c>
      <c r="B92" s="1188" t="s">
        <v>1234</v>
      </c>
      <c r="C92" s="1193" t="s">
        <v>1066</v>
      </c>
      <c r="D92" s="1193">
        <v>-327.60000000000002</v>
      </c>
      <c r="E92" s="1213" t="s">
        <v>920</v>
      </c>
      <c r="F92" s="1213" t="s">
        <v>1225</v>
      </c>
      <c r="G92" s="1213" t="s">
        <v>920</v>
      </c>
      <c r="H92" s="137">
        <v>32</v>
      </c>
      <c r="I92" s="236" t="s">
        <v>922</v>
      </c>
      <c r="J92" s="1191" t="s">
        <v>729</v>
      </c>
      <c r="K92" s="1529"/>
      <c r="L92" s="1530"/>
    </row>
    <row r="93" spans="1:12" ht="85.9" customHeight="1">
      <c r="A93" s="1176" t="s">
        <v>1235</v>
      </c>
      <c r="B93" s="1185" t="s">
        <v>1236</v>
      </c>
      <c r="C93" s="1178" t="s">
        <v>48</v>
      </c>
      <c r="D93" s="1178">
        <v>0</v>
      </c>
      <c r="E93" s="1178">
        <v>4</v>
      </c>
      <c r="F93" s="1214" t="s">
        <v>1228</v>
      </c>
      <c r="G93" s="133">
        <v>0</v>
      </c>
      <c r="H93" s="132">
        <v>8</v>
      </c>
      <c r="I93" s="234" t="s">
        <v>743</v>
      </c>
      <c r="J93" s="1095" t="s">
        <v>729</v>
      </c>
      <c r="K93" s="1529"/>
      <c r="L93" s="1530"/>
    </row>
    <row r="94" spans="1:12" ht="33" customHeight="1">
      <c r="A94" s="1187" t="s">
        <v>1237</v>
      </c>
      <c r="B94" s="1188" t="s">
        <v>1238</v>
      </c>
      <c r="C94" s="1193" t="s">
        <v>1066</v>
      </c>
      <c r="D94" s="1193">
        <v>-327.60000000000002</v>
      </c>
      <c r="E94" s="1213" t="s">
        <v>920</v>
      </c>
      <c r="F94" s="1213" t="s">
        <v>1225</v>
      </c>
      <c r="G94" s="1213" t="s">
        <v>920</v>
      </c>
      <c r="H94" s="137">
        <v>32</v>
      </c>
      <c r="I94" s="236" t="s">
        <v>922</v>
      </c>
      <c r="J94" s="1191" t="s">
        <v>729</v>
      </c>
      <c r="K94" s="1529"/>
      <c r="L94" s="1530"/>
    </row>
    <row r="95" spans="1:12" ht="117.75" customHeight="1">
      <c r="A95" s="1176" t="s">
        <v>1239</v>
      </c>
      <c r="B95" s="1185" t="s">
        <v>1240</v>
      </c>
      <c r="C95" s="1085" t="s">
        <v>48</v>
      </c>
      <c r="D95" s="1178">
        <v>0</v>
      </c>
      <c r="E95" s="1178">
        <v>4</v>
      </c>
      <c r="F95" s="1214" t="s">
        <v>1228</v>
      </c>
      <c r="G95" s="133">
        <v>0</v>
      </c>
      <c r="H95" s="132">
        <v>8</v>
      </c>
      <c r="I95" s="234" t="s">
        <v>743</v>
      </c>
      <c r="J95" s="1095" t="s">
        <v>729</v>
      </c>
      <c r="K95" s="1529"/>
      <c r="L95" s="1530"/>
    </row>
    <row r="96" spans="1:12" ht="74.5" customHeight="1">
      <c r="A96" s="1187" t="s">
        <v>1241</v>
      </c>
      <c r="B96" s="1188" t="s">
        <v>1242</v>
      </c>
      <c r="C96" s="1193" t="s">
        <v>48</v>
      </c>
      <c r="D96" s="1193">
        <v>0</v>
      </c>
      <c r="E96" s="1193">
        <v>3</v>
      </c>
      <c r="F96" s="1197" t="s">
        <v>1243</v>
      </c>
      <c r="G96" s="1198">
        <v>3</v>
      </c>
      <c r="H96" s="137">
        <v>8</v>
      </c>
      <c r="I96" s="228" t="s">
        <v>743</v>
      </c>
      <c r="J96" s="1191" t="s">
        <v>729</v>
      </c>
      <c r="K96" s="1529"/>
      <c r="L96" s="1530"/>
    </row>
    <row r="97" spans="1:12" ht="64.5" customHeight="1">
      <c r="A97" s="1176" t="s">
        <v>1244</v>
      </c>
      <c r="B97" s="1231" t="s">
        <v>1245</v>
      </c>
      <c r="C97" s="1178" t="s">
        <v>48</v>
      </c>
      <c r="D97" s="1178" t="s">
        <v>48</v>
      </c>
      <c r="E97" s="1178" t="s">
        <v>48</v>
      </c>
      <c r="F97" s="1214" t="s">
        <v>48</v>
      </c>
      <c r="G97" s="133" t="s">
        <v>48</v>
      </c>
      <c r="H97" s="132">
        <v>8</v>
      </c>
      <c r="I97" s="234" t="s">
        <v>839</v>
      </c>
      <c r="J97" s="1095" t="s">
        <v>729</v>
      </c>
      <c r="K97" s="1529"/>
      <c r="L97" s="1530"/>
    </row>
    <row r="98" spans="1:12" ht="82.5" customHeight="1">
      <c r="A98" s="1187" t="s">
        <v>1246</v>
      </c>
      <c r="B98" s="1188" t="s">
        <v>1247</v>
      </c>
      <c r="C98" s="1212" t="s">
        <v>48</v>
      </c>
      <c r="D98" s="1193">
        <v>0</v>
      </c>
      <c r="E98" s="1193">
        <v>3</v>
      </c>
      <c r="F98" s="1197" t="s">
        <v>1243</v>
      </c>
      <c r="G98" s="1198">
        <v>3</v>
      </c>
      <c r="H98" s="137">
        <v>8</v>
      </c>
      <c r="I98" s="228" t="s">
        <v>743</v>
      </c>
      <c r="J98" s="1191" t="s">
        <v>729</v>
      </c>
      <c r="K98" s="1529"/>
      <c r="L98" s="1530"/>
    </row>
    <row r="99" spans="1:12" ht="72" customHeight="1">
      <c r="A99" s="1176" t="s">
        <v>1248</v>
      </c>
      <c r="B99" s="1231" t="s">
        <v>1249</v>
      </c>
      <c r="C99" s="1085" t="s">
        <v>48</v>
      </c>
      <c r="D99" s="1085" t="s">
        <v>48</v>
      </c>
      <c r="E99" s="1085" t="s">
        <v>48</v>
      </c>
      <c r="F99" s="1085" t="s">
        <v>48</v>
      </c>
      <c r="G99" s="1085" t="s">
        <v>48</v>
      </c>
      <c r="H99" s="132">
        <v>8</v>
      </c>
      <c r="I99" s="231" t="s">
        <v>839</v>
      </c>
      <c r="J99" s="1095" t="s">
        <v>729</v>
      </c>
      <c r="K99" s="1529"/>
      <c r="L99" s="1530"/>
    </row>
    <row r="100" spans="1:12" ht="81" customHeight="1">
      <c r="A100" s="1187" t="s">
        <v>1250</v>
      </c>
      <c r="B100" s="1188" t="s">
        <v>1251</v>
      </c>
      <c r="C100" s="1193" t="s">
        <v>48</v>
      </c>
      <c r="D100" s="1193">
        <v>0</v>
      </c>
      <c r="E100" s="1193">
        <v>3</v>
      </c>
      <c r="F100" s="1197" t="s">
        <v>1243</v>
      </c>
      <c r="G100" s="1198">
        <v>3</v>
      </c>
      <c r="H100" s="137">
        <v>8</v>
      </c>
      <c r="I100" s="228" t="s">
        <v>743</v>
      </c>
      <c r="J100" s="1191" t="s">
        <v>729</v>
      </c>
      <c r="K100" s="1529"/>
      <c r="L100" s="1530"/>
    </row>
    <row r="101" spans="1:12" ht="59.1" customHeight="1">
      <c r="A101" s="1176" t="s">
        <v>1252</v>
      </c>
      <c r="B101" s="1231" t="s">
        <v>1253</v>
      </c>
      <c r="C101" s="1178" t="s">
        <v>48</v>
      </c>
      <c r="D101" s="1178" t="s">
        <v>48</v>
      </c>
      <c r="E101" s="1178" t="s">
        <v>48</v>
      </c>
      <c r="F101" s="1214" t="s">
        <v>48</v>
      </c>
      <c r="G101" s="133" t="s">
        <v>48</v>
      </c>
      <c r="H101" s="132">
        <v>8</v>
      </c>
      <c r="I101" s="234" t="s">
        <v>839</v>
      </c>
      <c r="J101" s="1095" t="s">
        <v>729</v>
      </c>
      <c r="K101" s="1529"/>
      <c r="L101" s="1530"/>
    </row>
    <row r="102" spans="1:12" ht="81.599999999999994" customHeight="1">
      <c r="A102" s="1187" t="s">
        <v>1254</v>
      </c>
      <c r="B102" s="1188" t="s">
        <v>1255</v>
      </c>
      <c r="C102" s="1212" t="s">
        <v>48</v>
      </c>
      <c r="D102" s="1193">
        <v>0</v>
      </c>
      <c r="E102" s="1193">
        <v>3</v>
      </c>
      <c r="F102" s="1197" t="s">
        <v>1243</v>
      </c>
      <c r="G102" s="1198">
        <v>3</v>
      </c>
      <c r="H102" s="137">
        <v>8</v>
      </c>
      <c r="I102" s="228" t="s">
        <v>743</v>
      </c>
      <c r="J102" s="1191" t="s">
        <v>729</v>
      </c>
      <c r="K102" s="1529"/>
      <c r="L102" s="1530"/>
    </row>
    <row r="103" spans="1:12" ht="43.9" customHeight="1">
      <c r="A103" s="1176" t="s">
        <v>1256</v>
      </c>
      <c r="B103" s="1231" t="s">
        <v>1257</v>
      </c>
      <c r="C103" s="1085" t="s">
        <v>48</v>
      </c>
      <c r="D103" s="1085" t="s">
        <v>48</v>
      </c>
      <c r="E103" s="1085" t="s">
        <v>48</v>
      </c>
      <c r="F103" s="1085" t="s">
        <v>48</v>
      </c>
      <c r="G103" s="1085" t="s">
        <v>48</v>
      </c>
      <c r="H103" s="132">
        <v>8</v>
      </c>
      <c r="I103" s="231" t="s">
        <v>839</v>
      </c>
      <c r="J103" s="1095" t="s">
        <v>729</v>
      </c>
      <c r="K103" s="1529"/>
      <c r="L103" s="1530"/>
    </row>
    <row r="104" spans="1:12" ht="80.25" customHeight="1">
      <c r="A104" s="1211" t="s">
        <v>1258</v>
      </c>
      <c r="B104" s="1211" t="s">
        <v>1259</v>
      </c>
      <c r="C104" s="1190" t="s">
        <v>48</v>
      </c>
      <c r="D104" s="1190">
        <v>0</v>
      </c>
      <c r="E104" s="1190">
        <v>65535</v>
      </c>
      <c r="F104" s="1213" t="s">
        <v>1260</v>
      </c>
      <c r="G104" s="1190">
        <v>65535</v>
      </c>
      <c r="H104" s="137">
        <v>16</v>
      </c>
      <c r="I104" s="228" t="s">
        <v>991</v>
      </c>
      <c r="J104" s="1191" t="s">
        <v>729</v>
      </c>
      <c r="K104" s="1529"/>
      <c r="L104" s="1530"/>
    </row>
    <row r="105" spans="1:12" ht="34.9" customHeight="1">
      <c r="A105" s="1094" t="s">
        <v>1261</v>
      </c>
      <c r="B105" s="1094" t="s">
        <v>1262</v>
      </c>
      <c r="C105" s="1159" t="s">
        <v>48</v>
      </c>
      <c r="D105" s="1159" t="s">
        <v>48</v>
      </c>
      <c r="E105" s="1159" t="s">
        <v>48</v>
      </c>
      <c r="F105" s="1214" t="s">
        <v>48</v>
      </c>
      <c r="G105" s="133" t="s">
        <v>48</v>
      </c>
      <c r="H105" s="132">
        <v>8</v>
      </c>
      <c r="I105" s="234" t="s">
        <v>839</v>
      </c>
      <c r="J105" s="1095" t="s">
        <v>729</v>
      </c>
      <c r="K105" s="1529"/>
      <c r="L105" s="1530"/>
    </row>
    <row r="106" spans="1:12" ht="72.75" customHeight="1">
      <c r="A106" s="1211" t="s">
        <v>1263</v>
      </c>
      <c r="B106" s="1211" t="s">
        <v>1264</v>
      </c>
      <c r="C106" s="1190" t="s">
        <v>48</v>
      </c>
      <c r="D106" s="1190">
        <v>0</v>
      </c>
      <c r="E106" s="1190">
        <v>65535</v>
      </c>
      <c r="F106" s="1213" t="s">
        <v>1260</v>
      </c>
      <c r="G106" s="1190">
        <v>65535</v>
      </c>
      <c r="H106" s="137">
        <v>16</v>
      </c>
      <c r="I106" s="228" t="s">
        <v>991</v>
      </c>
      <c r="J106" s="1191" t="s">
        <v>729</v>
      </c>
      <c r="K106" s="1529"/>
      <c r="L106" s="1530"/>
    </row>
    <row r="107" spans="1:12" ht="36" customHeight="1">
      <c r="A107" s="1094" t="s">
        <v>1265</v>
      </c>
      <c r="B107" s="1094" t="s">
        <v>1266</v>
      </c>
      <c r="C107" s="1085" t="s">
        <v>48</v>
      </c>
      <c r="D107" s="1085" t="s">
        <v>48</v>
      </c>
      <c r="E107" s="1085" t="s">
        <v>48</v>
      </c>
      <c r="F107" s="1085" t="s">
        <v>48</v>
      </c>
      <c r="G107" s="1085" t="s">
        <v>48</v>
      </c>
      <c r="H107" s="132">
        <v>8</v>
      </c>
      <c r="I107" s="231" t="s">
        <v>839</v>
      </c>
      <c r="J107" s="1095" t="s">
        <v>729</v>
      </c>
      <c r="K107" s="1529"/>
      <c r="L107" s="1530"/>
    </row>
    <row r="108" spans="1:12" ht="64.150000000000006" customHeight="1">
      <c r="A108" s="1211" t="s">
        <v>1267</v>
      </c>
      <c r="B108" s="1211" t="s">
        <v>1268</v>
      </c>
      <c r="C108" s="1190" t="s">
        <v>48</v>
      </c>
      <c r="D108" s="1190">
        <v>0</v>
      </c>
      <c r="E108" s="1190">
        <v>65535</v>
      </c>
      <c r="F108" s="1213" t="s">
        <v>1260</v>
      </c>
      <c r="G108" s="1190">
        <v>65535</v>
      </c>
      <c r="H108" s="137">
        <v>16</v>
      </c>
      <c r="I108" s="228" t="s">
        <v>991</v>
      </c>
      <c r="J108" s="1191" t="s">
        <v>729</v>
      </c>
      <c r="K108" s="1529"/>
      <c r="L108" s="1530"/>
    </row>
    <row r="109" spans="1:12" ht="32.5" customHeight="1">
      <c r="A109" s="1094" t="s">
        <v>1269</v>
      </c>
      <c r="B109" s="1094" t="s">
        <v>1270</v>
      </c>
      <c r="C109" s="1159" t="s">
        <v>48</v>
      </c>
      <c r="D109" s="1159" t="s">
        <v>48</v>
      </c>
      <c r="E109" s="1159" t="s">
        <v>48</v>
      </c>
      <c r="F109" s="1214" t="s">
        <v>48</v>
      </c>
      <c r="G109" s="133" t="s">
        <v>48</v>
      </c>
      <c r="H109" s="132">
        <v>8</v>
      </c>
      <c r="I109" s="234" t="s">
        <v>839</v>
      </c>
      <c r="J109" s="1095" t="s">
        <v>729</v>
      </c>
      <c r="K109" s="1529"/>
      <c r="L109" s="1530"/>
    </row>
    <row r="110" spans="1:12" ht="94.5" customHeight="1">
      <c r="A110" s="1211" t="s">
        <v>1271</v>
      </c>
      <c r="B110" s="1211" t="s">
        <v>1272</v>
      </c>
      <c r="C110" s="1190" t="s">
        <v>48</v>
      </c>
      <c r="D110" s="1190">
        <v>0</v>
      </c>
      <c r="E110" s="1190">
        <v>65535</v>
      </c>
      <c r="F110" s="1213" t="s">
        <v>1260</v>
      </c>
      <c r="G110" s="1190">
        <v>65535</v>
      </c>
      <c r="H110" s="137">
        <v>16</v>
      </c>
      <c r="I110" s="228" t="s">
        <v>991</v>
      </c>
      <c r="J110" s="1191" t="s">
        <v>729</v>
      </c>
      <c r="K110" s="1529"/>
      <c r="L110" s="1530"/>
    </row>
    <row r="111" spans="1:12" ht="65.25" customHeight="1">
      <c r="A111" s="1094" t="s">
        <v>1273</v>
      </c>
      <c r="B111" s="1094" t="s">
        <v>1274</v>
      </c>
      <c r="C111" s="1085" t="s">
        <v>48</v>
      </c>
      <c r="D111" s="1085" t="s">
        <v>48</v>
      </c>
      <c r="E111" s="1085" t="s">
        <v>48</v>
      </c>
      <c r="F111" s="1085" t="s">
        <v>48</v>
      </c>
      <c r="G111" s="1085" t="s">
        <v>48</v>
      </c>
      <c r="H111" s="132">
        <v>8</v>
      </c>
      <c r="I111" s="231" t="s">
        <v>839</v>
      </c>
      <c r="J111" s="1095" t="s">
        <v>729</v>
      </c>
      <c r="K111" s="1529"/>
      <c r="L111" s="1530"/>
    </row>
    <row r="112" spans="1:12" ht="81" customHeight="1">
      <c r="A112" s="1211" t="s">
        <v>1275</v>
      </c>
      <c r="B112" s="1211" t="s">
        <v>1276</v>
      </c>
      <c r="C112" s="1190" t="s">
        <v>1277</v>
      </c>
      <c r="D112" s="1190">
        <v>0</v>
      </c>
      <c r="E112" s="1190">
        <v>4294967295</v>
      </c>
      <c r="F112" s="1190" t="s">
        <v>1278</v>
      </c>
      <c r="G112" s="1190">
        <v>4294967295</v>
      </c>
      <c r="H112" s="137">
        <v>32</v>
      </c>
      <c r="I112" s="228" t="s">
        <v>1032</v>
      </c>
      <c r="J112" s="1191" t="s">
        <v>729</v>
      </c>
      <c r="K112" s="1529"/>
      <c r="L112" s="1530"/>
    </row>
    <row r="113" spans="1:12" ht="81.75" customHeight="1">
      <c r="A113" s="1094" t="s">
        <v>1279</v>
      </c>
      <c r="B113" s="1094" t="s">
        <v>1280</v>
      </c>
      <c r="C113" s="1159" t="s">
        <v>48</v>
      </c>
      <c r="D113" s="1159" t="s">
        <v>48</v>
      </c>
      <c r="E113" s="1159" t="s">
        <v>48</v>
      </c>
      <c r="F113" s="1214" t="s">
        <v>48</v>
      </c>
      <c r="G113" s="133" t="s">
        <v>48</v>
      </c>
      <c r="H113" s="132">
        <v>8</v>
      </c>
      <c r="I113" s="234" t="s">
        <v>839</v>
      </c>
      <c r="J113" s="1095" t="s">
        <v>729</v>
      </c>
      <c r="K113" s="1529"/>
      <c r="L113" s="1530"/>
    </row>
    <row r="114" spans="1:12" ht="78.75" customHeight="1">
      <c r="A114" s="1211" t="s">
        <v>1281</v>
      </c>
      <c r="B114" s="1211" t="s">
        <v>1276</v>
      </c>
      <c r="C114" s="1190" t="s">
        <v>1277</v>
      </c>
      <c r="D114" s="1190">
        <v>0</v>
      </c>
      <c r="E114" s="1190">
        <v>4294967295</v>
      </c>
      <c r="F114" s="1190" t="s">
        <v>1278</v>
      </c>
      <c r="G114" s="1190">
        <v>4294967295</v>
      </c>
      <c r="H114" s="137">
        <v>32</v>
      </c>
      <c r="I114" s="228" t="s">
        <v>1032</v>
      </c>
      <c r="J114" s="1191" t="s">
        <v>729</v>
      </c>
      <c r="K114" s="1529"/>
      <c r="L114" s="1530"/>
    </row>
    <row r="115" spans="1:12" ht="90" customHeight="1">
      <c r="A115" s="1094" t="s">
        <v>1282</v>
      </c>
      <c r="B115" s="1094" t="s">
        <v>1283</v>
      </c>
      <c r="C115" s="1085" t="s">
        <v>48</v>
      </c>
      <c r="D115" s="1085" t="s">
        <v>48</v>
      </c>
      <c r="E115" s="1085" t="s">
        <v>48</v>
      </c>
      <c r="F115" s="1085" t="s">
        <v>48</v>
      </c>
      <c r="G115" s="1085" t="s">
        <v>48</v>
      </c>
      <c r="H115" s="132">
        <v>8</v>
      </c>
      <c r="I115" s="231" t="s">
        <v>839</v>
      </c>
      <c r="J115" s="1095" t="s">
        <v>729</v>
      </c>
      <c r="K115" s="1529"/>
      <c r="L115" s="1530"/>
    </row>
    <row r="116" spans="1:12" ht="94.5" customHeight="1">
      <c r="A116" s="1211" t="s">
        <v>1284</v>
      </c>
      <c r="B116" s="1211" t="s">
        <v>1276</v>
      </c>
      <c r="C116" s="1190" t="s">
        <v>1277</v>
      </c>
      <c r="D116" s="1190">
        <v>0</v>
      </c>
      <c r="E116" s="1190">
        <v>4294967295</v>
      </c>
      <c r="F116" s="1190" t="s">
        <v>1278</v>
      </c>
      <c r="G116" s="1190">
        <v>4294967295</v>
      </c>
      <c r="H116" s="137">
        <v>32</v>
      </c>
      <c r="I116" s="228" t="s">
        <v>1032</v>
      </c>
      <c r="J116" s="1191" t="s">
        <v>729</v>
      </c>
      <c r="K116" s="1529"/>
      <c r="L116" s="1530"/>
    </row>
    <row r="117" spans="1:12" ht="87" customHeight="1">
      <c r="A117" s="1094" t="s">
        <v>1285</v>
      </c>
      <c r="B117" s="1094" t="s">
        <v>1286</v>
      </c>
      <c r="C117" s="1159" t="s">
        <v>48</v>
      </c>
      <c r="D117" s="1159" t="s">
        <v>48</v>
      </c>
      <c r="E117" s="1159" t="s">
        <v>48</v>
      </c>
      <c r="F117" s="1214" t="s">
        <v>48</v>
      </c>
      <c r="G117" s="133" t="s">
        <v>48</v>
      </c>
      <c r="H117" s="132">
        <v>8</v>
      </c>
      <c r="I117" s="234" t="s">
        <v>839</v>
      </c>
      <c r="J117" s="1095" t="s">
        <v>729</v>
      </c>
      <c r="K117" s="1529"/>
      <c r="L117" s="1530"/>
    </row>
    <row r="118" spans="1:12" ht="104.25" customHeight="1">
      <c r="A118" s="1211" t="s">
        <v>1287</v>
      </c>
      <c r="B118" s="1211" t="s">
        <v>1276</v>
      </c>
      <c r="C118" s="1190" t="s">
        <v>1277</v>
      </c>
      <c r="D118" s="1190">
        <v>0</v>
      </c>
      <c r="E118" s="1190">
        <v>4294967295</v>
      </c>
      <c r="F118" s="1190" t="s">
        <v>1278</v>
      </c>
      <c r="G118" s="1190">
        <v>4294967295</v>
      </c>
      <c r="H118" s="137">
        <v>32</v>
      </c>
      <c r="I118" s="228" t="s">
        <v>1032</v>
      </c>
      <c r="J118" s="1191" t="s">
        <v>729</v>
      </c>
      <c r="K118" s="1529"/>
      <c r="L118" s="1530"/>
    </row>
    <row r="119" spans="1:12" ht="81" customHeight="1">
      <c r="A119" s="1094" t="s">
        <v>1288</v>
      </c>
      <c r="B119" s="1094" t="s">
        <v>1289</v>
      </c>
      <c r="C119" s="1085" t="s">
        <v>48</v>
      </c>
      <c r="D119" s="1085" t="s">
        <v>48</v>
      </c>
      <c r="E119" s="1085" t="s">
        <v>48</v>
      </c>
      <c r="F119" s="1085" t="s">
        <v>48</v>
      </c>
      <c r="G119" s="1085" t="s">
        <v>48</v>
      </c>
      <c r="H119" s="132">
        <v>8</v>
      </c>
      <c r="I119" s="231" t="s">
        <v>839</v>
      </c>
      <c r="J119" s="1095" t="s">
        <v>729</v>
      </c>
      <c r="K119" s="1529"/>
      <c r="L119" s="1530"/>
    </row>
    <row r="120" spans="1:12" ht="32.5" customHeight="1">
      <c r="A120" s="1187" t="s">
        <v>1290</v>
      </c>
      <c r="B120" s="1188" t="s">
        <v>1291</v>
      </c>
      <c r="C120" s="1193" t="s">
        <v>1292</v>
      </c>
      <c r="D120" s="1193">
        <v>0</v>
      </c>
      <c r="E120" s="1193">
        <v>255</v>
      </c>
      <c r="F120" s="1213" t="s">
        <v>1293</v>
      </c>
      <c r="G120" s="1193">
        <v>255</v>
      </c>
      <c r="H120" s="137">
        <v>8</v>
      </c>
      <c r="I120" s="228" t="s">
        <v>743</v>
      </c>
      <c r="J120" s="1191" t="s">
        <v>729</v>
      </c>
      <c r="K120" s="1529"/>
      <c r="L120" s="1530"/>
    </row>
    <row r="121" spans="1:12" ht="41.1" customHeight="1">
      <c r="A121" s="1176" t="s">
        <v>1294</v>
      </c>
      <c r="B121" s="1185" t="s">
        <v>1295</v>
      </c>
      <c r="C121" s="1178" t="s">
        <v>48</v>
      </c>
      <c r="D121" s="1178" t="s">
        <v>48</v>
      </c>
      <c r="E121" s="1178" t="s">
        <v>48</v>
      </c>
      <c r="F121" s="1214" t="s">
        <v>48</v>
      </c>
      <c r="G121" s="133" t="s">
        <v>48</v>
      </c>
      <c r="H121" s="132">
        <v>8</v>
      </c>
      <c r="I121" s="234" t="s">
        <v>839</v>
      </c>
      <c r="J121" s="1095" t="s">
        <v>729</v>
      </c>
      <c r="K121" s="1529"/>
      <c r="L121" s="1530"/>
    </row>
    <row r="122" spans="1:12" ht="35.5" customHeight="1">
      <c r="A122" s="1187" t="s">
        <v>1296</v>
      </c>
      <c r="B122" s="1188" t="s">
        <v>1297</v>
      </c>
      <c r="C122" s="1193" t="s">
        <v>1292</v>
      </c>
      <c r="D122" s="1193">
        <v>0</v>
      </c>
      <c r="E122" s="1193">
        <v>255</v>
      </c>
      <c r="F122" s="1213" t="s">
        <v>1293</v>
      </c>
      <c r="G122" s="1193">
        <v>255</v>
      </c>
      <c r="H122" s="137">
        <v>8</v>
      </c>
      <c r="I122" s="228" t="s">
        <v>743</v>
      </c>
      <c r="J122" s="1191" t="s">
        <v>729</v>
      </c>
      <c r="K122" s="1529"/>
      <c r="L122" s="1530"/>
    </row>
    <row r="123" spans="1:12" ht="72" customHeight="1">
      <c r="A123" s="1176" t="s">
        <v>1298</v>
      </c>
      <c r="B123" s="1185" t="s">
        <v>1299</v>
      </c>
      <c r="C123" s="1085" t="s">
        <v>48</v>
      </c>
      <c r="D123" s="1085" t="s">
        <v>48</v>
      </c>
      <c r="E123" s="1085" t="s">
        <v>48</v>
      </c>
      <c r="F123" s="1085" t="s">
        <v>48</v>
      </c>
      <c r="G123" s="1085" t="s">
        <v>48</v>
      </c>
      <c r="H123" s="132">
        <v>8</v>
      </c>
      <c r="I123" s="231" t="s">
        <v>839</v>
      </c>
      <c r="J123" s="1095" t="s">
        <v>729</v>
      </c>
      <c r="K123" s="1529"/>
      <c r="L123" s="1530"/>
    </row>
    <row r="124" spans="1:12" ht="34.15" customHeight="1">
      <c r="A124" s="1187" t="s">
        <v>1300</v>
      </c>
      <c r="B124" s="1188" t="s">
        <v>1301</v>
      </c>
      <c r="C124" s="1193" t="s">
        <v>1292</v>
      </c>
      <c r="D124" s="1193">
        <v>0</v>
      </c>
      <c r="E124" s="1193">
        <v>255</v>
      </c>
      <c r="F124" s="1213" t="s">
        <v>1293</v>
      </c>
      <c r="G124" s="1193">
        <v>255</v>
      </c>
      <c r="H124" s="137">
        <v>8</v>
      </c>
      <c r="I124" s="228" t="s">
        <v>743</v>
      </c>
      <c r="J124" s="1191" t="s">
        <v>729</v>
      </c>
      <c r="K124" s="1529"/>
      <c r="L124" s="1530"/>
    </row>
    <row r="125" spans="1:12" ht="72" customHeight="1">
      <c r="A125" s="1176" t="s">
        <v>1302</v>
      </c>
      <c r="B125" s="1185" t="s">
        <v>1303</v>
      </c>
      <c r="C125" s="1178" t="s">
        <v>48</v>
      </c>
      <c r="D125" s="1178" t="s">
        <v>48</v>
      </c>
      <c r="E125" s="1178" t="s">
        <v>48</v>
      </c>
      <c r="F125" s="1214" t="s">
        <v>48</v>
      </c>
      <c r="G125" s="133" t="s">
        <v>48</v>
      </c>
      <c r="H125" s="132">
        <v>8</v>
      </c>
      <c r="I125" s="234" t="s">
        <v>839</v>
      </c>
      <c r="J125" s="1095" t="s">
        <v>729</v>
      </c>
      <c r="K125" s="1529"/>
      <c r="L125" s="1530"/>
    </row>
    <row r="126" spans="1:12" ht="38.5" customHeight="1">
      <c r="A126" s="1187" t="s">
        <v>1304</v>
      </c>
      <c r="B126" s="1188" t="s">
        <v>1305</v>
      </c>
      <c r="C126" s="1193" t="s">
        <v>1292</v>
      </c>
      <c r="D126" s="1193">
        <v>0</v>
      </c>
      <c r="E126" s="1193">
        <v>255</v>
      </c>
      <c r="F126" s="1213" t="s">
        <v>1293</v>
      </c>
      <c r="G126" s="1193">
        <v>255</v>
      </c>
      <c r="H126" s="137">
        <v>8</v>
      </c>
      <c r="I126" s="228" t="s">
        <v>743</v>
      </c>
      <c r="J126" s="1191" t="s">
        <v>729</v>
      </c>
      <c r="K126" s="1529"/>
      <c r="L126" s="1530"/>
    </row>
    <row r="127" spans="1:12" ht="72" customHeight="1">
      <c r="A127" s="1176" t="s">
        <v>1306</v>
      </c>
      <c r="B127" s="1185" t="s">
        <v>1307</v>
      </c>
      <c r="C127" s="1085" t="s">
        <v>48</v>
      </c>
      <c r="D127" s="1085" t="s">
        <v>48</v>
      </c>
      <c r="E127" s="1085" t="s">
        <v>48</v>
      </c>
      <c r="F127" s="1085" t="s">
        <v>48</v>
      </c>
      <c r="G127" s="1085" t="s">
        <v>48</v>
      </c>
      <c r="H127" s="132">
        <v>8</v>
      </c>
      <c r="I127" s="231" t="s">
        <v>839</v>
      </c>
      <c r="J127" s="1095" t="s">
        <v>729</v>
      </c>
      <c r="K127" s="1529"/>
      <c r="L127" s="1530"/>
    </row>
    <row r="128" spans="1:12" ht="68.099999999999994" customHeight="1">
      <c r="A128" s="1187" t="s">
        <v>1308</v>
      </c>
      <c r="B128" s="1204" t="s">
        <v>1309</v>
      </c>
      <c r="C128" s="1193" t="s">
        <v>1310</v>
      </c>
      <c r="D128" s="1193">
        <v>0</v>
      </c>
      <c r="E128" s="1193">
        <v>65535</v>
      </c>
      <c r="F128" s="1213" t="s">
        <v>1311</v>
      </c>
      <c r="G128" s="1193">
        <v>65535</v>
      </c>
      <c r="H128" s="137">
        <v>16</v>
      </c>
      <c r="I128" s="238" t="s">
        <v>991</v>
      </c>
      <c r="J128" s="1191" t="s">
        <v>729</v>
      </c>
      <c r="K128" s="1529"/>
      <c r="L128" s="1530"/>
    </row>
    <row r="129" spans="1:12" ht="45.6" customHeight="1">
      <c r="A129" s="1176" t="s">
        <v>1312</v>
      </c>
      <c r="B129" s="1177" t="s">
        <v>1313</v>
      </c>
      <c r="C129" s="1085" t="s">
        <v>48</v>
      </c>
      <c r="D129" s="1085" t="s">
        <v>48</v>
      </c>
      <c r="E129" s="1085" t="s">
        <v>48</v>
      </c>
      <c r="F129" s="1085" t="s">
        <v>48</v>
      </c>
      <c r="G129" s="1085" t="s">
        <v>48</v>
      </c>
      <c r="H129" s="132">
        <v>8</v>
      </c>
      <c r="I129" s="231" t="s">
        <v>839</v>
      </c>
      <c r="J129" s="1095" t="s">
        <v>729</v>
      </c>
      <c r="K129" s="1529"/>
      <c r="L129" s="1530"/>
    </row>
    <row r="130" spans="1:12" ht="60.75" customHeight="1">
      <c r="A130" s="1232" t="s">
        <v>1314</v>
      </c>
      <c r="B130" s="1233" t="s">
        <v>1315</v>
      </c>
      <c r="C130" s="1234" t="s">
        <v>1316</v>
      </c>
      <c r="D130" s="1234">
        <v>-50</v>
      </c>
      <c r="E130" s="1234" t="s">
        <v>920</v>
      </c>
      <c r="F130" s="1213" t="s">
        <v>1317</v>
      </c>
      <c r="G130" s="1234" t="s">
        <v>920</v>
      </c>
      <c r="H130" s="137">
        <v>32</v>
      </c>
      <c r="I130" s="236" t="s">
        <v>922</v>
      </c>
      <c r="J130" s="1191" t="s">
        <v>729</v>
      </c>
      <c r="K130" s="1529"/>
      <c r="L130" s="1530"/>
    </row>
    <row r="131" spans="1:12" ht="36" customHeight="1">
      <c r="A131" s="1235" t="s">
        <v>1318</v>
      </c>
      <c r="B131" s="1236" t="s">
        <v>1319</v>
      </c>
      <c r="C131" s="1178" t="s">
        <v>48</v>
      </c>
      <c r="D131" s="1159" t="s">
        <v>48</v>
      </c>
      <c r="E131" s="1159" t="s">
        <v>48</v>
      </c>
      <c r="F131" s="1214" t="s">
        <v>48</v>
      </c>
      <c r="G131" s="133" t="s">
        <v>48</v>
      </c>
      <c r="H131" s="132">
        <v>8</v>
      </c>
      <c r="I131" s="234" t="s">
        <v>839</v>
      </c>
      <c r="J131" s="1095" t="s">
        <v>729</v>
      </c>
      <c r="K131" s="1529"/>
      <c r="L131" s="1530"/>
    </row>
    <row r="132" spans="1:12" ht="96.75" customHeight="1">
      <c r="A132" s="1211" t="s">
        <v>1320</v>
      </c>
      <c r="B132" s="1211" t="s">
        <v>1321</v>
      </c>
      <c r="C132" s="1199" t="s">
        <v>48</v>
      </c>
      <c r="D132" s="1190">
        <v>0</v>
      </c>
      <c r="E132" s="1190">
        <v>1</v>
      </c>
      <c r="F132" s="1190" t="s">
        <v>1055</v>
      </c>
      <c r="G132" s="1190">
        <v>0</v>
      </c>
      <c r="H132" s="137">
        <v>8</v>
      </c>
      <c r="I132" s="232" t="s">
        <v>1056</v>
      </c>
      <c r="J132" s="1191" t="s">
        <v>729</v>
      </c>
      <c r="K132" s="1529"/>
      <c r="L132" s="1530"/>
    </row>
    <row r="133" spans="1:12" ht="88.5" customHeight="1">
      <c r="A133" s="1094" t="s">
        <v>1322</v>
      </c>
      <c r="B133" s="1094" t="s">
        <v>1323</v>
      </c>
      <c r="C133" s="1085" t="s">
        <v>48</v>
      </c>
      <c r="D133" s="1085" t="s">
        <v>48</v>
      </c>
      <c r="E133" s="1085" t="s">
        <v>48</v>
      </c>
      <c r="F133" s="1085" t="s">
        <v>48</v>
      </c>
      <c r="G133" s="1085" t="s">
        <v>48</v>
      </c>
      <c r="H133" s="132">
        <v>8</v>
      </c>
      <c r="I133" s="231" t="s">
        <v>839</v>
      </c>
      <c r="J133" s="1095" t="s">
        <v>729</v>
      </c>
      <c r="K133" s="1529"/>
      <c r="L133" s="1530"/>
    </row>
    <row r="134" spans="1:12" ht="136.5" customHeight="1">
      <c r="A134" s="1211" t="s">
        <v>1324</v>
      </c>
      <c r="B134" s="1211" t="s">
        <v>1325</v>
      </c>
      <c r="C134" s="1199" t="s">
        <v>48</v>
      </c>
      <c r="D134" s="1190">
        <v>0</v>
      </c>
      <c r="E134" s="1190">
        <v>1</v>
      </c>
      <c r="F134" s="1190" t="s">
        <v>1055</v>
      </c>
      <c r="G134" s="1190">
        <v>0</v>
      </c>
      <c r="H134" s="137">
        <v>8</v>
      </c>
      <c r="I134" s="232" t="s">
        <v>1056</v>
      </c>
      <c r="J134" s="1191" t="s">
        <v>729</v>
      </c>
      <c r="K134" s="1529"/>
      <c r="L134" s="1530"/>
    </row>
    <row r="135" spans="1:12" ht="84" customHeight="1">
      <c r="A135" s="1094" t="s">
        <v>1326</v>
      </c>
      <c r="B135" s="1094" t="s">
        <v>1327</v>
      </c>
      <c r="C135" s="1085" t="s">
        <v>48</v>
      </c>
      <c r="D135" s="1085" t="s">
        <v>48</v>
      </c>
      <c r="E135" s="1085" t="s">
        <v>48</v>
      </c>
      <c r="F135" s="1085" t="s">
        <v>48</v>
      </c>
      <c r="G135" s="1085" t="s">
        <v>48</v>
      </c>
      <c r="H135" s="132">
        <v>8</v>
      </c>
      <c r="I135" s="239" t="s">
        <v>839</v>
      </c>
      <c r="J135" s="1095" t="s">
        <v>729</v>
      </c>
      <c r="K135" s="1529"/>
      <c r="L135" s="1530"/>
    </row>
    <row r="136" spans="1:12" ht="84" customHeight="1">
      <c r="A136" s="1211" t="s">
        <v>1328</v>
      </c>
      <c r="B136" s="1211" t="s">
        <v>1329</v>
      </c>
      <c r="C136" s="1199" t="s">
        <v>48</v>
      </c>
      <c r="D136" s="1190" t="s">
        <v>48</v>
      </c>
      <c r="E136" s="1190" t="s">
        <v>48</v>
      </c>
      <c r="F136" s="1190" t="s">
        <v>48</v>
      </c>
      <c r="G136" s="1190" t="s">
        <v>48</v>
      </c>
      <c r="H136" s="137">
        <v>8</v>
      </c>
      <c r="I136" s="232" t="s">
        <v>839</v>
      </c>
      <c r="J136" s="1226" t="s">
        <v>729</v>
      </c>
      <c r="K136" s="1529"/>
      <c r="L136" s="1530"/>
    </row>
    <row r="137" spans="1:12" ht="119.25" customHeight="1">
      <c r="A137" s="1094" t="s">
        <v>1330</v>
      </c>
      <c r="B137" s="1094" t="s">
        <v>1331</v>
      </c>
      <c r="C137" s="1085" t="s">
        <v>48</v>
      </c>
      <c r="D137" s="1085">
        <v>0</v>
      </c>
      <c r="E137" s="1085">
        <v>255</v>
      </c>
      <c r="F137" s="1085" t="s">
        <v>1332</v>
      </c>
      <c r="G137" s="1085">
        <v>255</v>
      </c>
      <c r="H137" s="132">
        <v>8</v>
      </c>
      <c r="I137" s="239" t="s">
        <v>743</v>
      </c>
      <c r="J137" s="1186" t="s">
        <v>729</v>
      </c>
      <c r="K137" s="1529"/>
      <c r="L137" s="1530"/>
    </row>
    <row r="138" spans="1:12" ht="81" customHeight="1">
      <c r="A138" s="1237" t="s">
        <v>1333</v>
      </c>
      <c r="B138" s="1238" t="s">
        <v>1334</v>
      </c>
      <c r="C138" s="1199" t="s">
        <v>48</v>
      </c>
      <c r="D138" s="1190" t="s">
        <v>48</v>
      </c>
      <c r="E138" s="1190" t="s">
        <v>48</v>
      </c>
      <c r="F138" s="1190" t="s">
        <v>48</v>
      </c>
      <c r="G138" s="1190" t="s">
        <v>48</v>
      </c>
      <c r="H138" s="137">
        <v>8</v>
      </c>
      <c r="I138" s="232" t="s">
        <v>839</v>
      </c>
      <c r="J138" s="1226" t="s">
        <v>729</v>
      </c>
      <c r="K138" s="1529"/>
      <c r="L138" s="1530"/>
    </row>
    <row r="139" spans="1:12" ht="33.75" customHeight="1">
      <c r="A139" s="931" t="s">
        <v>1335</v>
      </c>
      <c r="B139" s="152" t="s">
        <v>1336</v>
      </c>
      <c r="C139" s="1239" t="s">
        <v>48</v>
      </c>
      <c r="D139" s="1085">
        <v>0</v>
      </c>
      <c r="E139" s="1085">
        <v>1</v>
      </c>
      <c r="F139" s="1114" t="s">
        <v>1055</v>
      </c>
      <c r="G139" s="1085">
        <v>0</v>
      </c>
      <c r="H139" s="132">
        <v>8</v>
      </c>
      <c r="I139" s="231" t="s">
        <v>1056</v>
      </c>
      <c r="J139" s="1108" t="s">
        <v>729</v>
      </c>
      <c r="K139" s="1529"/>
      <c r="L139" s="1530"/>
    </row>
  </sheetData>
  <autoFilter ref="A3:L139" xr:uid="{D1F1C6B3-F032-4851-B607-319953D38286}"/>
  <mergeCells count="5">
    <mergeCell ref="A2:B2"/>
    <mergeCell ref="C1:D1"/>
    <mergeCell ref="C2:I2"/>
    <mergeCell ref="K4:K139"/>
    <mergeCell ref="L4:L139"/>
  </mergeCells>
  <conditionalFormatting sqref="A36:A37">
    <cfRule type="notContainsErrors" dxfId="674" priority="13">
      <formula>NOT(ISERROR(A36))</formula>
    </cfRule>
  </conditionalFormatting>
  <conditionalFormatting sqref="B36:B37">
    <cfRule type="notContainsErrors" dxfId="673" priority="12">
      <formula>NOT(ISERROR(B36))</formula>
    </cfRule>
  </conditionalFormatting>
  <conditionalFormatting sqref="C36">
    <cfRule type="notContainsErrors" dxfId="672" priority="11">
      <formula>NOT(ISERROR(C36))</formula>
    </cfRule>
  </conditionalFormatting>
  <conditionalFormatting sqref="A46:A47">
    <cfRule type="notContainsErrors" dxfId="671" priority="10">
      <formula>NOT(ISERROR(A46))</formula>
    </cfRule>
  </conditionalFormatting>
  <conditionalFormatting sqref="B46:B47">
    <cfRule type="notContainsErrors" dxfId="670" priority="9">
      <formula>NOT(ISERROR(B46))</formula>
    </cfRule>
  </conditionalFormatting>
  <conditionalFormatting sqref="C46">
    <cfRule type="notContainsErrors" dxfId="669" priority="8">
      <formula>NOT(ISERROR(C46))</formula>
    </cfRule>
  </conditionalFormatting>
  <conditionalFormatting sqref="A48:A49">
    <cfRule type="notContainsErrors" dxfId="668" priority="7">
      <formula>NOT(ISERROR(A48))</formula>
    </cfRule>
  </conditionalFormatting>
  <conditionalFormatting sqref="B48:B49">
    <cfRule type="notContainsErrors" dxfId="667" priority="6">
      <formula>NOT(ISERROR(B48))</formula>
    </cfRule>
  </conditionalFormatting>
  <conditionalFormatting sqref="C48">
    <cfRule type="notContainsErrors" dxfId="666" priority="5">
      <formula>NOT(ISERROR(C48))</formula>
    </cfRule>
  </conditionalFormatting>
  <conditionalFormatting sqref="A64:A65">
    <cfRule type="notContainsErrors" dxfId="665" priority="4">
      <formula>NOT(ISERROR(A64))</formula>
    </cfRule>
  </conditionalFormatting>
  <conditionalFormatting sqref="B64:B65">
    <cfRule type="notContainsErrors" dxfId="664" priority="3">
      <formula>NOT(ISERROR(B64))</formula>
    </cfRule>
  </conditionalFormatting>
  <conditionalFormatting sqref="C64">
    <cfRule type="notContainsErrors" dxfId="663" priority="2">
      <formula>NOT(ISERROR(C64))</formula>
    </cfRule>
  </conditionalFormatting>
  <hyperlinks>
    <hyperlink ref="J1" location="'Revision Map'!A1" display="INDEX" xr:uid="{0F31102A-D737-48D5-BF39-38F94988EA59}"/>
    <hyperlink ref="K1" location="'Cross-FCN_Definitions'!A1" display="Cross-FCN_Definitions" xr:uid="{3F97A249-A960-4C8F-BB41-DAA5E384F82F}"/>
  </hyperlinks>
  <pageMargins left="0.7" right="0.7" top="0.75" bottom="0.75" header="0.3" footer="0.3"/>
  <pageSetup paperSize="9" orientation="portrait" r:id="rId1"/>
  <headerFooter>
    <oddFooter>&amp;C_x000D_&amp;1#&amp;"Calibri"&amp;11&amp;KFF0000 Internal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52"/>
  <sheetViews>
    <sheetView workbookViewId="0">
      <pane ySplit="1" topLeftCell="A50" activePane="bottomLeft" state="frozen"/>
      <selection pane="bottomLeft" activeCell="B52" sqref="B52"/>
    </sheetView>
  </sheetViews>
  <sheetFormatPr defaultColWidth="9.15625" defaultRowHeight="14.4"/>
  <cols>
    <col min="1" max="1" width="10.26171875" style="1014" bestFit="1" customWidth="1"/>
    <col min="2" max="2" width="11.26171875" style="40" customWidth="1"/>
    <col min="3" max="3" width="64.15625" style="2" customWidth="1"/>
    <col min="4" max="4" width="20.26171875" bestFit="1" customWidth="1"/>
    <col min="5" max="5" width="10.15625" customWidth="1"/>
  </cols>
  <sheetData>
    <row r="1" spans="1:5">
      <c r="A1" s="1014" t="s">
        <v>644</v>
      </c>
      <c r="B1" s="40" t="s">
        <v>645</v>
      </c>
      <c r="C1" s="2" t="s">
        <v>646</v>
      </c>
      <c r="D1" t="s">
        <v>647</v>
      </c>
      <c r="E1" t="s">
        <v>648</v>
      </c>
    </row>
    <row r="2" spans="1:5">
      <c r="A2" s="1010" t="s">
        <v>655</v>
      </c>
      <c r="B2" s="51"/>
      <c r="C2" s="576" t="s">
        <v>1337</v>
      </c>
      <c r="D2" s="5" t="s">
        <v>658</v>
      </c>
      <c r="E2" s="5" t="s">
        <v>655</v>
      </c>
    </row>
    <row r="3" spans="1:5">
      <c r="A3" s="1010" t="s">
        <v>1338</v>
      </c>
      <c r="B3" s="51">
        <v>44057</v>
      </c>
      <c r="C3" s="576" t="s">
        <v>1339</v>
      </c>
      <c r="D3" s="5" t="s">
        <v>658</v>
      </c>
      <c r="E3" s="5" t="s">
        <v>651</v>
      </c>
    </row>
    <row r="4" spans="1:5" ht="28.8">
      <c r="A4" s="1010" t="s">
        <v>652</v>
      </c>
      <c r="B4" s="51">
        <v>44210</v>
      </c>
      <c r="C4" s="583" t="s">
        <v>1340</v>
      </c>
      <c r="D4" s="5" t="s">
        <v>1341</v>
      </c>
      <c r="E4" s="5"/>
    </row>
    <row r="5" spans="1:5" ht="28.8">
      <c r="A5" s="1010" t="s">
        <v>656</v>
      </c>
      <c r="B5" s="51">
        <v>44265</v>
      </c>
      <c r="C5" s="576" t="s">
        <v>1342</v>
      </c>
      <c r="D5" s="5" t="s">
        <v>1343</v>
      </c>
      <c r="E5" s="5" t="s">
        <v>655</v>
      </c>
    </row>
    <row r="6" spans="1:5">
      <c r="A6" s="1010" t="s">
        <v>659</v>
      </c>
      <c r="B6" s="51">
        <v>44284</v>
      </c>
      <c r="C6" s="576"/>
      <c r="D6" s="5" t="s">
        <v>658</v>
      </c>
      <c r="E6" s="5" t="s">
        <v>651</v>
      </c>
    </row>
    <row r="7" spans="1:5">
      <c r="A7" s="1010" t="s">
        <v>663</v>
      </c>
      <c r="B7" s="51">
        <v>44309</v>
      </c>
      <c r="C7" s="576" t="s">
        <v>1344</v>
      </c>
      <c r="D7" s="5" t="s">
        <v>658</v>
      </c>
      <c r="E7" s="5" t="s">
        <v>655</v>
      </c>
    </row>
    <row r="8" spans="1:5">
      <c r="A8" s="1010">
        <v>3</v>
      </c>
      <c r="B8" s="51">
        <v>44335</v>
      </c>
      <c r="C8" s="576"/>
      <c r="D8" s="5" t="s">
        <v>658</v>
      </c>
      <c r="E8" s="5" t="s">
        <v>651</v>
      </c>
    </row>
    <row r="9" spans="1:5">
      <c r="A9" s="1050">
        <v>3</v>
      </c>
      <c r="B9" s="51">
        <v>44341</v>
      </c>
      <c r="C9" s="582" t="s">
        <v>102</v>
      </c>
      <c r="D9" s="582" t="s">
        <v>654</v>
      </c>
      <c r="E9" s="587" t="s">
        <v>661</v>
      </c>
    </row>
    <row r="10" spans="1:5">
      <c r="A10" s="1010">
        <v>3</v>
      </c>
      <c r="B10" s="51">
        <v>44452</v>
      </c>
      <c r="C10" s="576" t="s">
        <v>1345</v>
      </c>
      <c r="D10" s="5" t="s">
        <v>654</v>
      </c>
      <c r="E10" s="5" t="s">
        <v>661</v>
      </c>
    </row>
    <row r="11" spans="1:5" ht="59.5" customHeight="1">
      <c r="A11" s="1050" t="s">
        <v>668</v>
      </c>
      <c r="B11" s="51">
        <v>44662</v>
      </c>
      <c r="C11" s="582" t="s">
        <v>1346</v>
      </c>
      <c r="D11" s="5" t="s">
        <v>658</v>
      </c>
      <c r="E11" s="5" t="s">
        <v>655</v>
      </c>
    </row>
    <row r="12" spans="1:5" ht="57.6">
      <c r="A12" s="1010" t="s">
        <v>1347</v>
      </c>
      <c r="B12" s="51">
        <v>44685</v>
      </c>
      <c r="C12" s="576" t="s">
        <v>1348</v>
      </c>
      <c r="D12" s="5" t="s">
        <v>658</v>
      </c>
      <c r="E12" s="5" t="s">
        <v>655</v>
      </c>
    </row>
    <row r="13" spans="1:5" ht="86.4">
      <c r="A13" s="1010" t="s">
        <v>671</v>
      </c>
      <c r="B13" s="51">
        <v>44693</v>
      </c>
      <c r="C13" s="576" t="s">
        <v>1349</v>
      </c>
      <c r="D13" s="5" t="s">
        <v>658</v>
      </c>
      <c r="E13" s="5" t="s">
        <v>655</v>
      </c>
    </row>
    <row r="14" spans="1:5" ht="43.2">
      <c r="A14" s="1010" t="s">
        <v>673</v>
      </c>
      <c r="B14" s="51">
        <v>44697</v>
      </c>
      <c r="C14" s="576" t="s">
        <v>1350</v>
      </c>
      <c r="D14" s="5" t="s">
        <v>658</v>
      </c>
      <c r="E14" s="5" t="s">
        <v>655</v>
      </c>
    </row>
    <row r="15" spans="1:5" ht="43.2">
      <c r="A15" s="1010" t="s">
        <v>680</v>
      </c>
      <c r="B15" s="51">
        <v>44699</v>
      </c>
      <c r="C15" s="576" t="s">
        <v>1351</v>
      </c>
      <c r="D15" s="5" t="s">
        <v>658</v>
      </c>
      <c r="E15" s="5" t="s">
        <v>655</v>
      </c>
    </row>
    <row r="16" spans="1:5">
      <c r="A16" s="1010" t="s">
        <v>680</v>
      </c>
      <c r="B16" s="51"/>
      <c r="C16" s="576" t="s">
        <v>1352</v>
      </c>
      <c r="D16" s="5" t="s">
        <v>1353</v>
      </c>
      <c r="E16" s="5" t="s">
        <v>655</v>
      </c>
    </row>
    <row r="17" spans="1:5" ht="284.25" customHeight="1">
      <c r="A17" s="1010" t="s">
        <v>1354</v>
      </c>
      <c r="B17" s="51">
        <v>44706</v>
      </c>
      <c r="C17" s="576" t="s">
        <v>1355</v>
      </c>
      <c r="D17" s="5" t="s">
        <v>658</v>
      </c>
      <c r="E17" s="5" t="s">
        <v>655</v>
      </c>
    </row>
    <row r="18" spans="1:5">
      <c r="A18" s="1010" t="s">
        <v>1356</v>
      </c>
      <c r="B18" s="51">
        <v>44706</v>
      </c>
      <c r="C18" s="576" t="s">
        <v>1357</v>
      </c>
      <c r="D18" s="5" t="s">
        <v>658</v>
      </c>
      <c r="E18" s="5" t="s">
        <v>655</v>
      </c>
    </row>
    <row r="19" spans="1:5">
      <c r="A19" s="1010" t="s">
        <v>1356</v>
      </c>
      <c r="B19" s="51">
        <v>44711</v>
      </c>
      <c r="C19" s="576" t="s">
        <v>1358</v>
      </c>
      <c r="D19" s="5" t="s">
        <v>654</v>
      </c>
      <c r="E19" s="5" t="s">
        <v>655</v>
      </c>
    </row>
    <row r="20" spans="1:5">
      <c r="A20" s="1010" t="s">
        <v>686</v>
      </c>
      <c r="B20" s="51">
        <v>44711</v>
      </c>
      <c r="C20" s="576" t="s">
        <v>1359</v>
      </c>
      <c r="D20" s="5" t="s">
        <v>658</v>
      </c>
      <c r="E20" s="5" t="s">
        <v>651</v>
      </c>
    </row>
    <row r="21" spans="1:5">
      <c r="A21" s="1010">
        <v>4</v>
      </c>
      <c r="B21" s="51">
        <v>44719</v>
      </c>
      <c r="C21" s="576" t="s">
        <v>1360</v>
      </c>
      <c r="D21" s="5" t="s">
        <v>654</v>
      </c>
      <c r="E21" s="5" t="s">
        <v>661</v>
      </c>
    </row>
    <row r="22" spans="1:5">
      <c r="A22" s="1010">
        <v>4</v>
      </c>
      <c r="B22" s="51">
        <v>44741</v>
      </c>
      <c r="C22" s="588" t="s">
        <v>1361</v>
      </c>
      <c r="D22" s="5" t="s">
        <v>658</v>
      </c>
      <c r="E22" s="5" t="s">
        <v>651</v>
      </c>
    </row>
    <row r="23" spans="1:5">
      <c r="A23" s="1010">
        <v>4</v>
      </c>
      <c r="B23" s="51">
        <v>44742</v>
      </c>
      <c r="C23" s="576" t="s">
        <v>1362</v>
      </c>
      <c r="D23" s="5" t="s">
        <v>654</v>
      </c>
      <c r="E23" s="5" t="s">
        <v>661</v>
      </c>
    </row>
    <row r="24" spans="1:5" ht="28.8">
      <c r="A24" s="1010" t="s">
        <v>688</v>
      </c>
      <c r="B24" s="51">
        <v>44895</v>
      </c>
      <c r="C24" s="576" t="s">
        <v>1363</v>
      </c>
      <c r="D24" s="5" t="s">
        <v>683</v>
      </c>
      <c r="E24" s="5" t="s">
        <v>655</v>
      </c>
    </row>
    <row r="25" spans="1:5" ht="57.6">
      <c r="A25" s="1010" t="s">
        <v>1364</v>
      </c>
      <c r="B25" s="51">
        <v>44900</v>
      </c>
      <c r="C25" s="576" t="s">
        <v>1365</v>
      </c>
      <c r="D25" s="5" t="s">
        <v>654</v>
      </c>
      <c r="E25" s="5" t="s">
        <v>655</v>
      </c>
    </row>
    <row r="26" spans="1:5">
      <c r="A26" s="1010" t="s">
        <v>1364</v>
      </c>
      <c r="B26" s="51">
        <v>44901</v>
      </c>
      <c r="C26" s="576" t="s">
        <v>1366</v>
      </c>
      <c r="D26" s="5" t="s">
        <v>676</v>
      </c>
      <c r="E26" s="5" t="s">
        <v>655</v>
      </c>
    </row>
    <row r="27" spans="1:5">
      <c r="A27" s="1010" t="s">
        <v>1367</v>
      </c>
      <c r="B27" s="51">
        <v>44903</v>
      </c>
      <c r="C27" s="576" t="s">
        <v>1368</v>
      </c>
      <c r="D27" s="5" t="s">
        <v>683</v>
      </c>
      <c r="E27" s="5" t="s">
        <v>655</v>
      </c>
    </row>
    <row r="28" spans="1:5">
      <c r="A28" s="1010" t="s">
        <v>1367</v>
      </c>
      <c r="B28" s="51">
        <v>44904</v>
      </c>
      <c r="C28" s="576" t="s">
        <v>1369</v>
      </c>
      <c r="D28" s="5" t="s">
        <v>676</v>
      </c>
      <c r="E28" s="5" t="s">
        <v>655</v>
      </c>
    </row>
    <row r="29" spans="1:5">
      <c r="A29" s="1010" t="s">
        <v>1367</v>
      </c>
      <c r="B29" s="51">
        <v>44937</v>
      </c>
      <c r="C29" s="576" t="s">
        <v>677</v>
      </c>
      <c r="D29" s="5" t="s">
        <v>678</v>
      </c>
      <c r="E29" s="5" t="s">
        <v>655</v>
      </c>
    </row>
    <row r="30" spans="1:5" ht="36" customHeight="1">
      <c r="A30" s="1010" t="s">
        <v>1370</v>
      </c>
      <c r="B30" s="51">
        <v>44939</v>
      </c>
      <c r="C30" s="576" t="s">
        <v>1371</v>
      </c>
      <c r="D30" s="5" t="s">
        <v>678</v>
      </c>
      <c r="E30" s="5" t="s">
        <v>655</v>
      </c>
    </row>
    <row r="31" spans="1:5">
      <c r="A31" s="1010" t="s">
        <v>1372</v>
      </c>
      <c r="B31" s="51">
        <v>44945</v>
      </c>
      <c r="C31" s="576" t="s">
        <v>1373</v>
      </c>
      <c r="D31" s="5" t="s">
        <v>1001</v>
      </c>
      <c r="E31" s="5" t="s">
        <v>655</v>
      </c>
    </row>
    <row r="32" spans="1:5">
      <c r="A32" s="1010" t="s">
        <v>1372</v>
      </c>
      <c r="B32" s="51">
        <v>44949</v>
      </c>
      <c r="C32" s="576" t="s">
        <v>1374</v>
      </c>
      <c r="D32" s="5" t="s">
        <v>678</v>
      </c>
      <c r="E32" s="5" t="s">
        <v>655</v>
      </c>
    </row>
    <row r="33" spans="1:5">
      <c r="A33" s="1010" t="s">
        <v>690</v>
      </c>
      <c r="B33" s="51">
        <v>44956</v>
      </c>
      <c r="C33" s="576" t="s">
        <v>1011</v>
      </c>
      <c r="D33" s="5" t="s">
        <v>658</v>
      </c>
      <c r="E33" s="5" t="s">
        <v>651</v>
      </c>
    </row>
    <row r="34" spans="1:5">
      <c r="A34" s="1010">
        <v>5</v>
      </c>
      <c r="B34" s="51">
        <v>44957</v>
      </c>
      <c r="C34" s="576" t="s">
        <v>687</v>
      </c>
      <c r="D34" s="5" t="s">
        <v>676</v>
      </c>
      <c r="E34" s="5" t="s">
        <v>661</v>
      </c>
    </row>
    <row r="35" spans="1:5" ht="28.8">
      <c r="A35" s="1010" t="s">
        <v>693</v>
      </c>
      <c r="B35" s="51">
        <v>44966</v>
      </c>
      <c r="C35" s="576" t="s">
        <v>1375</v>
      </c>
      <c r="D35" s="5" t="s">
        <v>658</v>
      </c>
      <c r="E35" s="5" t="s">
        <v>655</v>
      </c>
    </row>
    <row r="36" spans="1:5">
      <c r="A36" s="1010" t="s">
        <v>1376</v>
      </c>
      <c r="B36" s="51">
        <v>44966</v>
      </c>
      <c r="C36" s="576" t="s">
        <v>1377</v>
      </c>
      <c r="D36" s="5" t="s">
        <v>658</v>
      </c>
      <c r="E36" s="5" t="s">
        <v>655</v>
      </c>
    </row>
    <row r="37" spans="1:5">
      <c r="A37" s="1010" t="s">
        <v>1376</v>
      </c>
      <c r="B37" s="51">
        <v>44967</v>
      </c>
      <c r="C37" s="5" t="s">
        <v>1378</v>
      </c>
      <c r="D37" s="5" t="s">
        <v>676</v>
      </c>
      <c r="E37" s="5" t="s">
        <v>655</v>
      </c>
    </row>
    <row r="38" spans="1:5">
      <c r="A38" s="1010">
        <v>6</v>
      </c>
      <c r="B38" s="51">
        <v>44970</v>
      </c>
      <c r="C38" s="576" t="s">
        <v>1011</v>
      </c>
      <c r="D38" s="5" t="s">
        <v>658</v>
      </c>
      <c r="E38" s="5" t="s">
        <v>651</v>
      </c>
    </row>
    <row r="39" spans="1:5">
      <c r="A39" s="1010">
        <v>6</v>
      </c>
      <c r="B39" s="51">
        <v>44970</v>
      </c>
      <c r="C39" s="576" t="s">
        <v>691</v>
      </c>
      <c r="D39" s="5" t="s">
        <v>676</v>
      </c>
      <c r="E39" s="5" t="s">
        <v>661</v>
      </c>
    </row>
    <row r="40" spans="1:5">
      <c r="A40" s="1010">
        <v>7</v>
      </c>
      <c r="B40" s="51">
        <v>44993</v>
      </c>
      <c r="C40" s="576" t="s">
        <v>1012</v>
      </c>
      <c r="D40" s="5" t="s">
        <v>683</v>
      </c>
      <c r="E40" s="5" t="s">
        <v>651</v>
      </c>
    </row>
    <row r="41" spans="1:5">
      <c r="A41" s="1010">
        <v>7</v>
      </c>
      <c r="B41" s="678">
        <v>44998</v>
      </c>
      <c r="C41" s="576" t="s">
        <v>692</v>
      </c>
      <c r="D41" s="5" t="s">
        <v>678</v>
      </c>
      <c r="E41" s="5" t="s">
        <v>661</v>
      </c>
    </row>
    <row r="42" spans="1:5" ht="72">
      <c r="A42" s="1010" t="s">
        <v>59</v>
      </c>
      <c r="B42" s="51">
        <v>45034</v>
      </c>
      <c r="C42" s="576" t="s">
        <v>1379</v>
      </c>
      <c r="D42" s="5" t="s">
        <v>658</v>
      </c>
      <c r="E42" s="5" t="s">
        <v>655</v>
      </c>
    </row>
    <row r="43" spans="1:5">
      <c r="A43" s="1010" t="s">
        <v>59</v>
      </c>
      <c r="B43" s="51">
        <v>45040</v>
      </c>
      <c r="C43" s="576" t="s">
        <v>1380</v>
      </c>
      <c r="D43" s="5" t="s">
        <v>678</v>
      </c>
      <c r="E43" s="5" t="s">
        <v>655</v>
      </c>
    </row>
    <row r="44" spans="1:5">
      <c r="A44" s="1010">
        <v>8</v>
      </c>
      <c r="B44" s="51">
        <v>45040</v>
      </c>
      <c r="C44" s="576" t="s">
        <v>651</v>
      </c>
      <c r="D44" s="5" t="s">
        <v>658</v>
      </c>
      <c r="E44" s="5" t="s">
        <v>651</v>
      </c>
    </row>
    <row r="45" spans="1:5" ht="99.75" customHeight="1">
      <c r="A45" s="1010" t="s">
        <v>62</v>
      </c>
      <c r="B45" s="51">
        <v>45069</v>
      </c>
      <c r="C45" s="576" t="s">
        <v>1381</v>
      </c>
      <c r="D45" s="5" t="s">
        <v>658</v>
      </c>
      <c r="E45" s="5" t="s">
        <v>655</v>
      </c>
    </row>
    <row r="46" spans="1:5">
      <c r="A46" s="1010" t="s">
        <v>62</v>
      </c>
      <c r="B46" s="51">
        <v>45077</v>
      </c>
      <c r="C46" s="576" t="s">
        <v>1380</v>
      </c>
      <c r="D46" s="5" t="s">
        <v>1001</v>
      </c>
      <c r="E46" s="5" t="s">
        <v>655</v>
      </c>
    </row>
    <row r="47" spans="1:5">
      <c r="A47" s="1010" t="s">
        <v>1382</v>
      </c>
      <c r="B47" s="51">
        <v>45077</v>
      </c>
      <c r="C47" s="576" t="s">
        <v>1013</v>
      </c>
      <c r="D47" s="5" t="s">
        <v>658</v>
      </c>
      <c r="E47" s="5" t="s">
        <v>651</v>
      </c>
    </row>
    <row r="48" spans="1:5">
      <c r="A48" s="1010" t="s">
        <v>1382</v>
      </c>
      <c r="B48" s="191">
        <v>45078</v>
      </c>
      <c r="C48" s="5" t="s">
        <v>699</v>
      </c>
      <c r="D48" s="5" t="s">
        <v>678</v>
      </c>
      <c r="E48" s="5" t="s">
        <v>661</v>
      </c>
    </row>
    <row r="49" spans="1:5">
      <c r="A49" s="629" t="s">
        <v>1383</v>
      </c>
      <c r="B49" s="38">
        <v>45097</v>
      </c>
      <c r="C49" s="576" t="s">
        <v>818</v>
      </c>
      <c r="D49" s="5" t="s">
        <v>678</v>
      </c>
      <c r="E49" s="586" t="s">
        <v>655</v>
      </c>
    </row>
    <row r="50" spans="1:5">
      <c r="A50" s="629" t="s">
        <v>1014</v>
      </c>
      <c r="B50" s="38">
        <v>45097</v>
      </c>
      <c r="C50" s="576" t="s">
        <v>1013</v>
      </c>
      <c r="D50" s="5" t="s">
        <v>678</v>
      </c>
      <c r="E50" s="5" t="s">
        <v>651</v>
      </c>
    </row>
    <row r="51" spans="1:5">
      <c r="A51" s="1012" t="s">
        <v>1014</v>
      </c>
      <c r="B51" s="678">
        <v>45097</v>
      </c>
      <c r="C51" s="576" t="s">
        <v>700</v>
      </c>
      <c r="D51" s="5" t="s">
        <v>678</v>
      </c>
      <c r="E51" s="5" t="s">
        <v>661</v>
      </c>
    </row>
    <row r="52" spans="1:5">
      <c r="A52" s="1012" t="s">
        <v>1014</v>
      </c>
      <c r="B52" s="1065">
        <v>45205</v>
      </c>
      <c r="C52" s="595" t="s">
        <v>701</v>
      </c>
      <c r="D52" s="595" t="s">
        <v>678</v>
      </c>
      <c r="E52" s="596" t="s">
        <v>661</v>
      </c>
    </row>
  </sheetData>
  <pageMargins left="0.7" right="0.7" top="0.75" bottom="0.75" header="0.3" footer="0.3"/>
  <headerFooter>
    <oddFooter>&amp;C_x000D_&amp;1#&amp;"Calibri"&amp;11&amp;KFF0000 Internal</oddFoot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ABD9A-EF70-4C17-A0F2-0989541D4A3A}">
  <sheetPr codeName="Sheet18"/>
  <dimension ref="A1:O33"/>
  <sheetViews>
    <sheetView zoomScaleNormal="100" workbookViewId="0">
      <pane ySplit="3" topLeftCell="A4" activePane="bottomLeft" state="frozen"/>
      <selection pane="bottomLeft" activeCell="C1" sqref="C1:D1"/>
    </sheetView>
  </sheetViews>
  <sheetFormatPr defaultColWidth="9.15625" defaultRowHeight="14.4"/>
  <cols>
    <col min="1" max="1" width="32.83984375" customWidth="1"/>
    <col min="2" max="2" width="29.83984375" customWidth="1"/>
    <col min="3" max="3" width="8.15625" bestFit="1" customWidth="1"/>
    <col min="4" max="4" width="6.578125" customWidth="1"/>
    <col min="5" max="5" width="11.26171875" bestFit="1" customWidth="1"/>
    <col min="6" max="6" width="37.68359375" customWidth="1"/>
    <col min="7" max="7" width="17.41796875" customWidth="1"/>
    <col min="8" max="8" width="7.578125" customWidth="1"/>
    <col min="9" max="9" width="20.68359375" customWidth="1"/>
    <col min="10" max="10" width="16.26171875" bestFit="1" customWidth="1"/>
    <col min="11" max="11" width="20.68359375" customWidth="1"/>
    <col min="12" max="12" width="15" bestFit="1" customWidth="1"/>
    <col min="13" max="13" width="9.15625" customWidth="1"/>
    <col min="14" max="14" width="19.68359375" bestFit="1" customWidth="1"/>
  </cols>
  <sheetData>
    <row r="1" spans="1:12" ht="15" customHeight="1">
      <c r="A1" s="24" t="s">
        <v>104</v>
      </c>
      <c r="B1" s="14" t="s">
        <v>72</v>
      </c>
      <c r="C1" s="1533" t="s">
        <v>106</v>
      </c>
      <c r="D1" s="1534"/>
      <c r="E1" s="1240">
        <v>8</v>
      </c>
      <c r="F1" s="1241" t="s">
        <v>702</v>
      </c>
      <c r="G1" s="1240">
        <v>528</v>
      </c>
      <c r="H1" s="934"/>
      <c r="I1" s="934"/>
      <c r="J1" s="1242" t="s">
        <v>69</v>
      </c>
      <c r="K1" s="1242" t="s">
        <v>703</v>
      </c>
      <c r="L1" s="169"/>
    </row>
    <row r="2" spans="1:12" ht="28.5" customHeight="1">
      <c r="A2" s="1531" t="s">
        <v>820</v>
      </c>
      <c r="B2" s="1532"/>
      <c r="C2" s="1509" t="s">
        <v>706</v>
      </c>
      <c r="D2" s="1510"/>
      <c r="E2" s="1510"/>
      <c r="F2" s="1510"/>
      <c r="G2" s="1510"/>
      <c r="H2" s="1510"/>
      <c r="I2" s="1511"/>
      <c r="J2" s="240" t="s">
        <v>707</v>
      </c>
      <c r="K2" s="1075" t="s">
        <v>1384</v>
      </c>
      <c r="L2" s="222"/>
    </row>
    <row r="3" spans="1:12">
      <c r="A3" s="156" t="s">
        <v>709</v>
      </c>
      <c r="B3" s="157" t="s">
        <v>710</v>
      </c>
      <c r="C3" s="157" t="s">
        <v>711</v>
      </c>
      <c r="D3" s="157" t="s">
        <v>712</v>
      </c>
      <c r="E3" s="157" t="s">
        <v>713</v>
      </c>
      <c r="F3" s="157" t="s">
        <v>714</v>
      </c>
      <c r="G3" s="157" t="s">
        <v>715</v>
      </c>
      <c r="H3" s="157" t="s">
        <v>716</v>
      </c>
      <c r="I3" s="157" t="s">
        <v>717</v>
      </c>
      <c r="J3" s="22" t="s">
        <v>718</v>
      </c>
      <c r="K3" s="157" t="s">
        <v>719</v>
      </c>
      <c r="L3" s="157" t="s">
        <v>720</v>
      </c>
    </row>
    <row r="4" spans="1:12" ht="25.8">
      <c r="A4" s="753" t="s">
        <v>1385</v>
      </c>
      <c r="B4" s="754" t="s">
        <v>1386</v>
      </c>
      <c r="C4" s="755" t="s">
        <v>48</v>
      </c>
      <c r="D4" s="755" t="s">
        <v>48</v>
      </c>
      <c r="E4" s="755" t="s">
        <v>48</v>
      </c>
      <c r="F4" s="755" t="s">
        <v>48</v>
      </c>
      <c r="G4" s="755" t="s">
        <v>48</v>
      </c>
      <c r="H4" s="755">
        <v>216</v>
      </c>
      <c r="I4" s="756" t="s">
        <v>723</v>
      </c>
      <c r="J4" s="756" t="s">
        <v>724</v>
      </c>
      <c r="K4" s="1535">
        <v>1</v>
      </c>
      <c r="L4" s="1538" t="s">
        <v>1387</v>
      </c>
    </row>
    <row r="5" spans="1:12">
      <c r="A5" s="757" t="s">
        <v>1388</v>
      </c>
      <c r="B5" s="691" t="s">
        <v>1389</v>
      </c>
      <c r="C5" s="346" t="s">
        <v>48</v>
      </c>
      <c r="D5" s="346" t="s">
        <v>48</v>
      </c>
      <c r="E5" s="346" t="s">
        <v>48</v>
      </c>
      <c r="F5" s="346" t="s">
        <v>48</v>
      </c>
      <c r="G5" s="346" t="s">
        <v>48</v>
      </c>
      <c r="H5" s="346">
        <v>8</v>
      </c>
      <c r="I5" s="26" t="s">
        <v>1390</v>
      </c>
      <c r="J5" s="26" t="s">
        <v>729</v>
      </c>
      <c r="K5" s="1536"/>
      <c r="L5" s="1539"/>
    </row>
    <row r="6" spans="1:12" ht="25.8">
      <c r="A6" s="757" t="s">
        <v>1391</v>
      </c>
      <c r="B6" s="691" t="s">
        <v>1392</v>
      </c>
      <c r="C6" s="346" t="s">
        <v>48</v>
      </c>
      <c r="D6" s="346" t="s">
        <v>48</v>
      </c>
      <c r="E6" s="346" t="s">
        <v>48</v>
      </c>
      <c r="F6" s="346" t="s">
        <v>48</v>
      </c>
      <c r="G6" s="346" t="s">
        <v>48</v>
      </c>
      <c r="H6" s="346">
        <v>8</v>
      </c>
      <c r="I6" s="26" t="s">
        <v>1393</v>
      </c>
      <c r="J6" s="26" t="s">
        <v>729</v>
      </c>
      <c r="K6" s="1536"/>
      <c r="L6" s="1539"/>
    </row>
    <row r="7" spans="1:12" ht="27.6" customHeight="1">
      <c r="A7" s="758" t="s">
        <v>1394</v>
      </c>
      <c r="B7" s="751" t="s">
        <v>1395</v>
      </c>
      <c r="C7" s="346" t="s">
        <v>48</v>
      </c>
      <c r="D7" s="346" t="s">
        <v>48</v>
      </c>
      <c r="E7" s="346" t="s">
        <v>48</v>
      </c>
      <c r="F7" s="346" t="s">
        <v>48</v>
      </c>
      <c r="G7" s="346" t="s">
        <v>48</v>
      </c>
      <c r="H7" s="346">
        <v>8</v>
      </c>
      <c r="I7" s="26" t="s">
        <v>1396</v>
      </c>
      <c r="J7" s="26" t="s">
        <v>729</v>
      </c>
      <c r="K7" s="1536"/>
      <c r="L7" s="1539"/>
    </row>
    <row r="8" spans="1:12" ht="27.6" customHeight="1">
      <c r="A8" s="758" t="s">
        <v>1397</v>
      </c>
      <c r="B8" s="751" t="s">
        <v>1398</v>
      </c>
      <c r="C8" s="346" t="s">
        <v>48</v>
      </c>
      <c r="D8" s="346" t="s">
        <v>48</v>
      </c>
      <c r="E8" s="346" t="s">
        <v>48</v>
      </c>
      <c r="F8" s="346" t="s">
        <v>48</v>
      </c>
      <c r="G8" s="346" t="s">
        <v>48</v>
      </c>
      <c r="H8" s="346">
        <v>8</v>
      </c>
      <c r="I8" s="26" t="s">
        <v>1399</v>
      </c>
      <c r="J8" s="26" t="s">
        <v>729</v>
      </c>
      <c r="K8" s="1536"/>
      <c r="L8" s="1539"/>
    </row>
    <row r="9" spans="1:12" ht="39.75" customHeight="1">
      <c r="A9" s="758" t="s">
        <v>1400</v>
      </c>
      <c r="B9" s="751" t="s">
        <v>1401</v>
      </c>
      <c r="C9" s="346" t="s">
        <v>48</v>
      </c>
      <c r="D9" s="346" t="s">
        <v>48</v>
      </c>
      <c r="E9" s="346" t="s">
        <v>48</v>
      </c>
      <c r="F9" s="346" t="s">
        <v>48</v>
      </c>
      <c r="G9" s="346" t="s">
        <v>48</v>
      </c>
      <c r="H9" s="346">
        <v>8</v>
      </c>
      <c r="I9" s="26" t="s">
        <v>1402</v>
      </c>
      <c r="J9" s="26" t="s">
        <v>729</v>
      </c>
      <c r="K9" s="1536"/>
      <c r="L9" s="1539"/>
    </row>
    <row r="10" spans="1:12" ht="25.8">
      <c r="A10" s="758" t="s">
        <v>1403</v>
      </c>
      <c r="B10" s="751" t="s">
        <v>1404</v>
      </c>
      <c r="C10" s="346" t="s">
        <v>48</v>
      </c>
      <c r="D10" s="346" t="s">
        <v>48</v>
      </c>
      <c r="E10" s="346" t="s">
        <v>48</v>
      </c>
      <c r="F10" s="346" t="s">
        <v>48</v>
      </c>
      <c r="G10" s="346" t="s">
        <v>48</v>
      </c>
      <c r="H10" s="346">
        <v>8</v>
      </c>
      <c r="I10" s="26" t="s">
        <v>830</v>
      </c>
      <c r="J10" s="26" t="s">
        <v>729</v>
      </c>
      <c r="K10" s="1536"/>
      <c r="L10" s="1539"/>
    </row>
    <row r="11" spans="1:12" ht="25.8">
      <c r="A11" s="758" t="s">
        <v>1405</v>
      </c>
      <c r="B11" s="751" t="s">
        <v>1406</v>
      </c>
      <c r="C11" s="346" t="s">
        <v>48</v>
      </c>
      <c r="D11" s="346" t="s">
        <v>48</v>
      </c>
      <c r="E11" s="346" t="s">
        <v>48</v>
      </c>
      <c r="F11" s="346" t="s">
        <v>48</v>
      </c>
      <c r="G11" s="346" t="s">
        <v>48</v>
      </c>
      <c r="H11" s="133">
        <v>8</v>
      </c>
      <c r="I11" s="26" t="s">
        <v>830</v>
      </c>
      <c r="J11" s="26" t="s">
        <v>729</v>
      </c>
      <c r="K11" s="1536"/>
      <c r="L11" s="1539"/>
    </row>
    <row r="12" spans="1:12" ht="25.8">
      <c r="A12" s="758" t="s">
        <v>1407</v>
      </c>
      <c r="B12" s="751" t="s">
        <v>1408</v>
      </c>
      <c r="C12" s="346" t="s">
        <v>48</v>
      </c>
      <c r="D12" s="346" t="s">
        <v>48</v>
      </c>
      <c r="E12" s="346" t="s">
        <v>48</v>
      </c>
      <c r="F12" s="346" t="s">
        <v>48</v>
      </c>
      <c r="G12" s="346" t="s">
        <v>48</v>
      </c>
      <c r="H12" s="133">
        <v>8</v>
      </c>
      <c r="I12" s="26" t="s">
        <v>1409</v>
      </c>
      <c r="J12" s="26" t="s">
        <v>729</v>
      </c>
      <c r="K12" s="1536"/>
      <c r="L12" s="1539"/>
    </row>
    <row r="13" spans="1:12" ht="25.8">
      <c r="A13" s="758" t="s">
        <v>1410</v>
      </c>
      <c r="B13" s="751" t="s">
        <v>1411</v>
      </c>
      <c r="C13" s="346" t="s">
        <v>48</v>
      </c>
      <c r="D13" s="346" t="s">
        <v>48</v>
      </c>
      <c r="E13" s="346" t="s">
        <v>48</v>
      </c>
      <c r="F13" s="346" t="s">
        <v>48</v>
      </c>
      <c r="G13" s="346" t="s">
        <v>48</v>
      </c>
      <c r="H13" s="346">
        <v>16</v>
      </c>
      <c r="I13" s="346" t="s">
        <v>823</v>
      </c>
      <c r="J13" s="26" t="s">
        <v>729</v>
      </c>
      <c r="K13" s="1536"/>
      <c r="L13" s="1539"/>
    </row>
    <row r="14" spans="1:12" ht="38.700000000000003">
      <c r="A14" s="758" t="s">
        <v>1412</v>
      </c>
      <c r="B14" s="751" t="s">
        <v>1413</v>
      </c>
      <c r="C14" s="346" t="s">
        <v>48</v>
      </c>
      <c r="D14" s="346" t="s">
        <v>48</v>
      </c>
      <c r="E14" s="346" t="s">
        <v>48</v>
      </c>
      <c r="F14" s="346" t="s">
        <v>48</v>
      </c>
      <c r="G14" s="346" t="s">
        <v>48</v>
      </c>
      <c r="H14" s="133">
        <v>64</v>
      </c>
      <c r="I14" s="26" t="s">
        <v>1026</v>
      </c>
      <c r="J14" s="26" t="s">
        <v>724</v>
      </c>
      <c r="K14" s="1536"/>
      <c r="L14" s="1539"/>
    </row>
    <row r="15" spans="1:12" ht="25.8">
      <c r="A15" s="758" t="s">
        <v>1414</v>
      </c>
      <c r="B15" s="751" t="s">
        <v>1415</v>
      </c>
      <c r="C15" s="346" t="s">
        <v>48</v>
      </c>
      <c r="D15" s="346" t="s">
        <v>48</v>
      </c>
      <c r="E15" s="346" t="s">
        <v>48</v>
      </c>
      <c r="F15" s="346" t="s">
        <v>48</v>
      </c>
      <c r="G15" s="346" t="s">
        <v>48</v>
      </c>
      <c r="H15" s="133">
        <v>64</v>
      </c>
      <c r="I15" s="26" t="s">
        <v>1026</v>
      </c>
      <c r="J15" s="26" t="s">
        <v>1416</v>
      </c>
      <c r="K15" s="1536"/>
      <c r="L15" s="1539"/>
    </row>
    <row r="16" spans="1:12" ht="38.700000000000003">
      <c r="A16" s="758" t="s">
        <v>1417</v>
      </c>
      <c r="B16" s="751" t="s">
        <v>1418</v>
      </c>
      <c r="C16" s="346" t="s">
        <v>48</v>
      </c>
      <c r="D16" s="346" t="s">
        <v>48</v>
      </c>
      <c r="E16" s="346" t="s">
        <v>48</v>
      </c>
      <c r="F16" s="346" t="s">
        <v>48</v>
      </c>
      <c r="G16" s="346" t="s">
        <v>48</v>
      </c>
      <c r="H16" s="133">
        <v>64</v>
      </c>
      <c r="I16" s="26" t="s">
        <v>1026</v>
      </c>
      <c r="J16" s="26" t="s">
        <v>729</v>
      </c>
      <c r="K16" s="1536"/>
      <c r="L16" s="1539"/>
    </row>
    <row r="17" spans="1:15" ht="33" customHeight="1">
      <c r="A17" s="759" t="s">
        <v>1419</v>
      </c>
      <c r="B17" s="752" t="s">
        <v>1420</v>
      </c>
      <c r="C17" s="26" t="s">
        <v>48</v>
      </c>
      <c r="D17" s="26">
        <v>0</v>
      </c>
      <c r="E17" s="691">
        <v>4294967295</v>
      </c>
      <c r="F17" s="26" t="s">
        <v>1031</v>
      </c>
      <c r="G17" s="26">
        <v>4294967295</v>
      </c>
      <c r="H17" s="345">
        <v>32</v>
      </c>
      <c r="I17" s="346" t="s">
        <v>1032</v>
      </c>
      <c r="J17" s="345" t="s">
        <v>729</v>
      </c>
      <c r="K17" s="1536"/>
      <c r="L17" s="1539"/>
    </row>
    <row r="18" spans="1:15" ht="223.5" customHeight="1">
      <c r="A18" s="925" t="s">
        <v>1421</v>
      </c>
      <c r="B18" s="926" t="s">
        <v>1422</v>
      </c>
      <c r="C18" s="694" t="s">
        <v>48</v>
      </c>
      <c r="D18" s="694">
        <v>0</v>
      </c>
      <c r="E18" s="694">
        <v>255</v>
      </c>
      <c r="F18" s="694" t="s">
        <v>1423</v>
      </c>
      <c r="G18" s="694">
        <v>200</v>
      </c>
      <c r="H18" s="301">
        <v>8</v>
      </c>
      <c r="I18" s="694" t="s">
        <v>743</v>
      </c>
      <c r="J18" s="694" t="s">
        <v>729</v>
      </c>
      <c r="K18" s="1537"/>
      <c r="L18" s="1540"/>
      <c r="O18" s="29"/>
    </row>
    <row r="19" spans="1:15">
      <c r="A19" s="21"/>
      <c r="B19" s="21"/>
      <c r="C19" s="29"/>
      <c r="D19" s="29"/>
      <c r="E19" s="29"/>
      <c r="F19" s="29"/>
      <c r="G19" s="29"/>
      <c r="H19" s="29"/>
      <c r="I19" s="29"/>
      <c r="J19" s="29"/>
      <c r="K19" s="21"/>
      <c r="L19" s="21"/>
    </row>
    <row r="20" spans="1:15">
      <c r="A20" s="21"/>
      <c r="B20" s="21"/>
      <c r="C20" s="21"/>
      <c r="D20" s="21"/>
      <c r="E20" s="21"/>
      <c r="F20" s="21"/>
      <c r="G20" s="21"/>
      <c r="H20" s="29"/>
      <c r="I20" s="29"/>
      <c r="J20" s="29"/>
      <c r="K20" s="21"/>
      <c r="L20" s="21"/>
    </row>
    <row r="21" spans="1:15">
      <c r="A21" s="21"/>
      <c r="B21" s="21"/>
      <c r="C21" s="21"/>
      <c r="D21" s="21"/>
      <c r="E21" s="21"/>
      <c r="F21" s="21"/>
      <c r="G21" s="21"/>
      <c r="H21" s="29"/>
      <c r="I21" s="29"/>
      <c r="J21" s="29"/>
      <c r="K21" s="21"/>
      <c r="L21" s="21"/>
    </row>
    <row r="22" spans="1:15">
      <c r="A22" s="21"/>
      <c r="B22" s="21"/>
      <c r="C22" s="21"/>
      <c r="D22" s="21"/>
      <c r="E22" s="21"/>
      <c r="F22" s="21"/>
      <c r="G22" s="21"/>
      <c r="H22" s="20"/>
      <c r="I22" s="21"/>
      <c r="J22" s="21"/>
      <c r="K22" s="21"/>
      <c r="L22" s="21"/>
    </row>
    <row r="23" spans="1:15">
      <c r="A23" s="21"/>
      <c r="B23" s="21"/>
      <c r="C23" s="21"/>
      <c r="D23" s="21"/>
      <c r="E23" s="21"/>
      <c r="F23" s="21"/>
      <c r="G23" s="21"/>
      <c r="H23" s="20"/>
      <c r="I23" s="21"/>
      <c r="J23" s="21"/>
      <c r="K23" s="21"/>
      <c r="L23" s="21"/>
    </row>
    <row r="24" spans="1:15">
      <c r="A24" s="21"/>
      <c r="B24" s="21"/>
      <c r="C24" s="21"/>
      <c r="D24" s="21"/>
      <c r="E24" s="21"/>
      <c r="F24" s="21"/>
      <c r="G24" s="21"/>
      <c r="H24" s="20"/>
      <c r="I24" s="21"/>
      <c r="J24" s="21"/>
      <c r="K24" s="21"/>
      <c r="L24" s="21"/>
    </row>
    <row r="25" spans="1:15">
      <c r="A25" s="21"/>
      <c r="B25" s="21"/>
      <c r="C25" s="21"/>
      <c r="D25" s="21"/>
      <c r="E25" s="21"/>
      <c r="F25" s="21"/>
      <c r="G25" s="21"/>
      <c r="H25" s="20"/>
      <c r="I25" s="21"/>
      <c r="J25" s="21"/>
      <c r="K25" s="21"/>
      <c r="L25" s="21"/>
    </row>
    <row r="26" spans="1:15">
      <c r="A26" s="21"/>
      <c r="B26" s="21"/>
      <c r="C26" s="21"/>
      <c r="D26" s="21"/>
      <c r="E26" s="21"/>
      <c r="F26" s="21"/>
      <c r="G26" s="21"/>
      <c r="H26" s="20"/>
      <c r="I26" s="21"/>
      <c r="J26" s="21"/>
      <c r="K26" s="21"/>
      <c r="L26" s="21"/>
    </row>
    <row r="27" spans="1:15">
      <c r="A27" s="21"/>
      <c r="B27" s="21"/>
      <c r="C27" s="21"/>
      <c r="D27" s="21"/>
      <c r="E27" s="21"/>
      <c r="F27" s="21"/>
      <c r="G27" s="21"/>
      <c r="H27" s="20"/>
      <c r="I27" s="21"/>
      <c r="J27" s="21"/>
      <c r="K27" s="21"/>
      <c r="L27" s="21"/>
    </row>
    <row r="28" spans="1:15">
      <c r="A28" s="21"/>
      <c r="B28" s="21"/>
      <c r="C28" s="21"/>
      <c r="D28" s="21"/>
      <c r="E28" s="21"/>
      <c r="F28" s="21"/>
      <c r="G28" s="21"/>
      <c r="H28" s="20"/>
      <c r="I28" s="21"/>
      <c r="J28" s="21"/>
      <c r="K28" s="21"/>
      <c r="L28" s="21"/>
    </row>
    <row r="29" spans="1:15">
      <c r="A29" s="21"/>
      <c r="B29" s="21"/>
      <c r="C29" s="21"/>
      <c r="D29" s="21"/>
      <c r="E29" s="21"/>
      <c r="F29" s="21"/>
      <c r="G29" s="21"/>
      <c r="H29" s="20"/>
      <c r="I29" s="21"/>
      <c r="J29" s="21"/>
      <c r="K29" s="21"/>
      <c r="L29" s="21"/>
    </row>
    <row r="30" spans="1:15">
      <c r="A30" s="21"/>
      <c r="B30" s="21"/>
      <c r="C30" s="21"/>
      <c r="D30" s="21"/>
      <c r="E30" s="21"/>
      <c r="F30" s="21"/>
      <c r="G30" s="21"/>
      <c r="H30" s="20"/>
      <c r="I30" s="21"/>
      <c r="J30" s="21"/>
      <c r="K30" s="21"/>
      <c r="L30" s="21"/>
    </row>
    <row r="31" spans="1:15">
      <c r="A31" s="21"/>
      <c r="B31" s="21"/>
      <c r="C31" s="21"/>
      <c r="D31" s="21"/>
      <c r="E31" s="21"/>
      <c r="F31" s="21"/>
      <c r="G31" s="21"/>
      <c r="H31" s="20"/>
      <c r="I31" s="21"/>
      <c r="J31" s="21"/>
      <c r="K31" s="21"/>
      <c r="L31" s="21"/>
    </row>
    <row r="32" spans="1:15">
      <c r="A32" s="21"/>
      <c r="B32" s="21"/>
      <c r="C32" s="21"/>
      <c r="D32" s="21"/>
      <c r="E32" s="21"/>
      <c r="F32" s="21"/>
      <c r="G32" s="21"/>
      <c r="H32" s="20"/>
      <c r="I32" s="21"/>
      <c r="J32" s="21"/>
      <c r="K32" s="21"/>
      <c r="L32" s="21"/>
    </row>
    <row r="33" spans="1:12">
      <c r="A33" s="21"/>
      <c r="B33" s="21"/>
      <c r="C33" s="21"/>
      <c r="D33" s="21"/>
      <c r="E33" s="21"/>
      <c r="F33" s="21"/>
      <c r="G33" s="21"/>
      <c r="H33" s="20"/>
      <c r="I33" s="21"/>
      <c r="J33" s="21"/>
      <c r="K33" s="21"/>
      <c r="L33" s="21"/>
    </row>
  </sheetData>
  <mergeCells count="5">
    <mergeCell ref="A2:B2"/>
    <mergeCell ref="C1:D1"/>
    <mergeCell ref="C2:I2"/>
    <mergeCell ref="K4:K18"/>
    <mergeCell ref="L4:L18"/>
  </mergeCells>
  <hyperlinks>
    <hyperlink ref="J1" location="'Revision Map'!A1" display="INDEX" xr:uid="{F3172FD5-43F8-422C-9D98-B11ED9233DE2}"/>
    <hyperlink ref="K1" location="'Cross-FCN_Definitions'!A1" display="Cross-FCN_Definitions" xr:uid="{3E72BE7B-6764-47B9-9931-8AEF8AAF3850}"/>
  </hyperlinks>
  <pageMargins left="0.7" right="0.7" top="0.75" bottom="0.75" header="0.3" footer="0.3"/>
  <pageSetup orientation="portrait" r:id="rId1"/>
  <headerFooter>
    <oddFooter>&amp;C_x000D_&amp;1#&amp;"Calibri"&amp;11&amp;KFF0000 Internal</oddFooter>
  </headerFooter>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1B11-938E-4BAA-B308-4A39BCEC521B}">
  <sheetPr codeName="Sheet17"/>
  <dimension ref="A1:F45"/>
  <sheetViews>
    <sheetView workbookViewId="0">
      <pane ySplit="1" topLeftCell="A37" activePane="bottomLeft" state="frozen"/>
      <selection pane="bottomLeft" activeCell="B45" sqref="B45"/>
    </sheetView>
  </sheetViews>
  <sheetFormatPr defaultColWidth="9.15625" defaultRowHeight="14.4"/>
  <cols>
    <col min="1" max="1" width="11" style="1014" bestFit="1" customWidth="1"/>
    <col min="2" max="2" width="16.68359375" style="51" customWidth="1"/>
    <col min="3" max="3" width="64.26171875" bestFit="1" customWidth="1"/>
    <col min="4" max="4" width="20.15625" customWidth="1"/>
    <col min="5" max="5" width="9.68359375" bestFit="1" customWidth="1"/>
    <col min="9" max="9" width="8.68359375" bestFit="1" customWidth="1"/>
  </cols>
  <sheetData>
    <row r="1" spans="1:6">
      <c r="A1" s="1017" t="s">
        <v>644</v>
      </c>
      <c r="B1" s="656" t="s">
        <v>645</v>
      </c>
      <c r="C1" s="658" t="s">
        <v>646</v>
      </c>
      <c r="D1" s="658" t="s">
        <v>647</v>
      </c>
      <c r="E1" s="659" t="s">
        <v>648</v>
      </c>
      <c r="F1" s="658"/>
    </row>
    <row r="2" spans="1:6">
      <c r="A2" s="629">
        <v>0.1</v>
      </c>
      <c r="B2" s="38">
        <v>44308</v>
      </c>
      <c r="C2" s="35" t="s">
        <v>1424</v>
      </c>
      <c r="D2" s="35" t="s">
        <v>654</v>
      </c>
      <c r="E2" s="36" t="s">
        <v>655</v>
      </c>
      <c r="F2" s="5"/>
    </row>
    <row r="3" spans="1:6">
      <c r="A3" s="629">
        <v>1</v>
      </c>
      <c r="B3" s="37">
        <v>44336</v>
      </c>
      <c r="C3" s="34" t="s">
        <v>1424</v>
      </c>
      <c r="D3" s="35" t="s">
        <v>654</v>
      </c>
      <c r="E3" s="36" t="s">
        <v>651</v>
      </c>
      <c r="F3" s="5"/>
    </row>
    <row r="4" spans="1:6">
      <c r="A4" s="629">
        <v>1</v>
      </c>
      <c r="B4" s="38">
        <v>44341</v>
      </c>
      <c r="C4" s="70"/>
      <c r="D4" s="35" t="s">
        <v>654</v>
      </c>
      <c r="E4" s="36" t="s">
        <v>661</v>
      </c>
      <c r="F4" s="5"/>
    </row>
    <row r="5" spans="1:6">
      <c r="A5" s="629">
        <v>1</v>
      </c>
      <c r="B5" s="38">
        <v>44452</v>
      </c>
      <c r="C5" s="35" t="s">
        <v>1345</v>
      </c>
      <c r="D5" s="35" t="s">
        <v>654</v>
      </c>
      <c r="E5" s="36" t="s">
        <v>661</v>
      </c>
      <c r="F5" s="5"/>
    </row>
    <row r="6" spans="1:6" ht="43.2">
      <c r="A6" s="629">
        <v>1.1000000000000001</v>
      </c>
      <c r="B6" s="38">
        <v>44662</v>
      </c>
      <c r="C6" s="71" t="s">
        <v>1425</v>
      </c>
      <c r="D6" s="35" t="s">
        <v>654</v>
      </c>
      <c r="E6" s="36" t="s">
        <v>655</v>
      </c>
      <c r="F6" s="5"/>
    </row>
    <row r="7" spans="1:6" ht="115.2">
      <c r="A7" s="629">
        <v>1.2</v>
      </c>
      <c r="B7" s="38">
        <v>44686</v>
      </c>
      <c r="C7" s="72" t="s">
        <v>1426</v>
      </c>
      <c r="D7" s="35" t="s">
        <v>654</v>
      </c>
      <c r="E7" s="36" t="s">
        <v>655</v>
      </c>
      <c r="F7" s="5"/>
    </row>
    <row r="8" spans="1:6">
      <c r="A8" s="629">
        <v>1.3</v>
      </c>
      <c r="B8" s="38">
        <v>44687</v>
      </c>
      <c r="C8" s="73" t="s">
        <v>1427</v>
      </c>
      <c r="D8" s="35" t="s">
        <v>654</v>
      </c>
      <c r="E8" s="36" t="s">
        <v>655</v>
      </c>
      <c r="F8" s="5"/>
    </row>
    <row r="9" spans="1:6" ht="86.4">
      <c r="A9" s="1010">
        <v>1.4</v>
      </c>
      <c r="B9" s="39">
        <v>44693</v>
      </c>
      <c r="C9" s="106" t="s">
        <v>1428</v>
      </c>
      <c r="D9" s="30" t="s">
        <v>654</v>
      </c>
      <c r="E9" s="30" t="s">
        <v>655</v>
      </c>
      <c r="F9" s="5"/>
    </row>
    <row r="10" spans="1:6">
      <c r="A10" s="1010">
        <v>1.4</v>
      </c>
      <c r="B10" s="51">
        <v>44693</v>
      </c>
      <c r="C10" s="5" t="s">
        <v>1429</v>
      </c>
      <c r="D10" s="5" t="s">
        <v>796</v>
      </c>
      <c r="E10" s="5" t="s">
        <v>655</v>
      </c>
      <c r="F10" s="5"/>
    </row>
    <row r="11" spans="1:6">
      <c r="A11" s="1010">
        <v>1.5</v>
      </c>
      <c r="B11" s="51">
        <v>44706</v>
      </c>
      <c r="C11" s="5" t="s">
        <v>1430</v>
      </c>
      <c r="D11" s="30" t="s">
        <v>654</v>
      </c>
      <c r="E11" s="30" t="s">
        <v>655</v>
      </c>
      <c r="F11" s="5"/>
    </row>
    <row r="12" spans="1:6">
      <c r="A12" s="1010">
        <v>1.5</v>
      </c>
      <c r="B12" s="51">
        <v>44706</v>
      </c>
      <c r="C12" s="5" t="s">
        <v>1431</v>
      </c>
      <c r="D12" s="30" t="s">
        <v>658</v>
      </c>
      <c r="E12" s="30" t="s">
        <v>655</v>
      </c>
      <c r="F12" s="5"/>
    </row>
    <row r="13" spans="1:6">
      <c r="A13" s="1010">
        <v>2</v>
      </c>
      <c r="B13" s="51">
        <v>44706</v>
      </c>
      <c r="C13" s="5" t="s">
        <v>1432</v>
      </c>
      <c r="D13" s="30" t="s">
        <v>654</v>
      </c>
      <c r="E13" s="30" t="s">
        <v>651</v>
      </c>
      <c r="F13" s="5"/>
    </row>
    <row r="14" spans="1:6">
      <c r="A14" s="1010">
        <v>2</v>
      </c>
      <c r="B14" s="51">
        <v>44719</v>
      </c>
      <c r="C14" s="5" t="s">
        <v>1360</v>
      </c>
      <c r="D14" s="30" t="s">
        <v>654</v>
      </c>
      <c r="E14" s="30" t="s">
        <v>661</v>
      </c>
      <c r="F14" s="5"/>
    </row>
    <row r="15" spans="1:6">
      <c r="A15" s="1010">
        <v>2.1</v>
      </c>
      <c r="B15" s="51">
        <v>44727</v>
      </c>
      <c r="C15" s="5" t="s">
        <v>1433</v>
      </c>
      <c r="D15" s="30" t="s">
        <v>654</v>
      </c>
      <c r="E15" s="30" t="s">
        <v>655</v>
      </c>
      <c r="F15" s="5"/>
    </row>
    <row r="16" spans="1:6">
      <c r="A16" s="1010">
        <v>2.1</v>
      </c>
      <c r="B16" s="51">
        <v>44728</v>
      </c>
      <c r="C16" s="576" t="s">
        <v>1434</v>
      </c>
      <c r="D16" s="5" t="s">
        <v>658</v>
      </c>
      <c r="E16" s="5" t="s">
        <v>655</v>
      </c>
      <c r="F16" s="5"/>
    </row>
    <row r="17" spans="1:6">
      <c r="A17" s="1010">
        <v>3</v>
      </c>
      <c r="B17" s="51">
        <v>44728</v>
      </c>
      <c r="C17" s="5" t="s">
        <v>1435</v>
      </c>
      <c r="D17" s="30" t="s">
        <v>654</v>
      </c>
      <c r="E17" s="30" t="s">
        <v>651</v>
      </c>
      <c r="F17" s="5"/>
    </row>
    <row r="18" spans="1:6">
      <c r="A18" s="1010">
        <v>3</v>
      </c>
      <c r="B18" s="51">
        <v>44742</v>
      </c>
      <c r="C18" s="5" t="s">
        <v>1362</v>
      </c>
      <c r="D18" s="30" t="s">
        <v>654</v>
      </c>
      <c r="E18" s="30" t="s">
        <v>661</v>
      </c>
      <c r="F18" s="5"/>
    </row>
    <row r="19" spans="1:6">
      <c r="A19" s="1010">
        <v>3.1</v>
      </c>
      <c r="B19" s="51">
        <v>44797</v>
      </c>
      <c r="C19" s="5" t="s">
        <v>1436</v>
      </c>
      <c r="D19" s="30" t="s">
        <v>654</v>
      </c>
      <c r="E19" s="30" t="s">
        <v>655</v>
      </c>
      <c r="F19" s="5"/>
    </row>
    <row r="20" spans="1:6" ht="28.8">
      <c r="A20" s="1010">
        <v>3.2</v>
      </c>
      <c r="B20" s="51">
        <v>44816</v>
      </c>
      <c r="C20" s="576" t="s">
        <v>1437</v>
      </c>
      <c r="D20" s="30" t="s">
        <v>654</v>
      </c>
      <c r="E20" s="30" t="s">
        <v>655</v>
      </c>
      <c r="F20" s="5"/>
    </row>
    <row r="21" spans="1:6">
      <c r="A21" s="1010">
        <v>3.3</v>
      </c>
      <c r="B21" s="51">
        <v>44879</v>
      </c>
      <c r="C21" s="5" t="s">
        <v>1438</v>
      </c>
      <c r="D21" s="5" t="s">
        <v>1439</v>
      </c>
      <c r="E21" s="5" t="s">
        <v>655</v>
      </c>
      <c r="F21" s="5"/>
    </row>
    <row r="22" spans="1:6" ht="29.5" customHeight="1">
      <c r="A22" s="1010">
        <v>3.4</v>
      </c>
      <c r="B22" s="51">
        <v>44895</v>
      </c>
      <c r="C22" s="576" t="s">
        <v>1363</v>
      </c>
      <c r="D22" s="5" t="s">
        <v>683</v>
      </c>
      <c r="E22" s="5" t="s">
        <v>655</v>
      </c>
      <c r="F22" s="5"/>
    </row>
    <row r="23" spans="1:6" ht="28.8">
      <c r="A23" s="1010">
        <v>3.5</v>
      </c>
      <c r="B23" s="51">
        <v>44899</v>
      </c>
      <c r="C23" s="576" t="s">
        <v>1440</v>
      </c>
      <c r="D23" s="30" t="s">
        <v>654</v>
      </c>
      <c r="E23" s="30" t="s">
        <v>655</v>
      </c>
      <c r="F23" s="5"/>
    </row>
    <row r="24" spans="1:6" ht="28.8">
      <c r="A24" s="1010">
        <v>3.6</v>
      </c>
      <c r="B24" s="51">
        <v>44900</v>
      </c>
      <c r="C24" s="576" t="s">
        <v>1441</v>
      </c>
      <c r="D24" s="30" t="s">
        <v>654</v>
      </c>
      <c r="E24" s="30" t="s">
        <v>655</v>
      </c>
      <c r="F24" s="5"/>
    </row>
    <row r="25" spans="1:6">
      <c r="A25" s="1010">
        <v>3.6</v>
      </c>
      <c r="B25" s="188">
        <v>44902</v>
      </c>
      <c r="C25" s="584" t="s">
        <v>1366</v>
      </c>
      <c r="D25" s="585" t="s">
        <v>676</v>
      </c>
      <c r="E25" s="586" t="s">
        <v>655</v>
      </c>
      <c r="F25" s="5"/>
    </row>
    <row r="26" spans="1:6">
      <c r="A26" s="1010">
        <v>3.7</v>
      </c>
      <c r="B26" s="51">
        <v>44904</v>
      </c>
      <c r="C26" s="576" t="s">
        <v>1442</v>
      </c>
      <c r="D26" s="5" t="s">
        <v>683</v>
      </c>
      <c r="E26" s="5" t="s">
        <v>655</v>
      </c>
      <c r="F26" s="5"/>
    </row>
    <row r="27" spans="1:6" ht="43.2">
      <c r="A27" s="1010">
        <v>3.7</v>
      </c>
      <c r="B27" s="51">
        <v>44904</v>
      </c>
      <c r="C27" s="576" t="s">
        <v>1443</v>
      </c>
      <c r="D27" s="5" t="s">
        <v>796</v>
      </c>
      <c r="E27" s="5" t="s">
        <v>655</v>
      </c>
      <c r="F27" s="5"/>
    </row>
    <row r="28" spans="1:6" ht="28.8">
      <c r="A28" s="1010">
        <v>3.7</v>
      </c>
      <c r="B28" s="51">
        <v>44914</v>
      </c>
      <c r="C28" s="576" t="s">
        <v>1444</v>
      </c>
      <c r="D28" s="5" t="s">
        <v>1439</v>
      </c>
      <c r="E28" s="5" t="s">
        <v>655</v>
      </c>
      <c r="F28" s="5"/>
    </row>
    <row r="29" spans="1:6">
      <c r="A29" s="1010">
        <v>3.7</v>
      </c>
      <c r="B29" s="51">
        <v>44937</v>
      </c>
      <c r="C29" s="5" t="s">
        <v>677</v>
      </c>
      <c r="D29" s="5" t="s">
        <v>678</v>
      </c>
      <c r="E29" s="5" t="s">
        <v>655</v>
      </c>
      <c r="F29" s="5"/>
    </row>
    <row r="30" spans="1:6" ht="28.8">
      <c r="A30" s="1010">
        <v>3.8</v>
      </c>
      <c r="B30" s="51">
        <v>44945</v>
      </c>
      <c r="C30" s="584" t="s">
        <v>1445</v>
      </c>
      <c r="D30" s="585" t="s">
        <v>1001</v>
      </c>
      <c r="E30" s="586" t="s">
        <v>655</v>
      </c>
      <c r="F30" s="5"/>
    </row>
    <row r="31" spans="1:6">
      <c r="A31" s="1010">
        <v>3.8</v>
      </c>
      <c r="B31" s="51">
        <v>44949</v>
      </c>
      <c r="C31" s="5" t="s">
        <v>1446</v>
      </c>
      <c r="D31" s="5" t="s">
        <v>678</v>
      </c>
      <c r="E31" s="5" t="s">
        <v>655</v>
      </c>
      <c r="F31" s="5"/>
    </row>
    <row r="32" spans="1:6">
      <c r="A32" s="1010">
        <v>4</v>
      </c>
      <c r="B32" s="51">
        <v>44956</v>
      </c>
      <c r="C32" s="5" t="s">
        <v>1447</v>
      </c>
      <c r="D32" s="5" t="s">
        <v>658</v>
      </c>
      <c r="E32" s="5" t="s">
        <v>651</v>
      </c>
      <c r="F32" s="5"/>
    </row>
    <row r="33" spans="1:6">
      <c r="A33" s="1010">
        <v>4</v>
      </c>
      <c r="B33" s="51">
        <v>44957</v>
      </c>
      <c r="C33" s="5" t="s">
        <v>1448</v>
      </c>
      <c r="D33" s="5" t="s">
        <v>676</v>
      </c>
      <c r="E33" s="5" t="s">
        <v>661</v>
      </c>
      <c r="F33" s="5"/>
    </row>
    <row r="34" spans="1:6">
      <c r="A34" s="1010">
        <v>4</v>
      </c>
      <c r="B34" s="51">
        <v>44970</v>
      </c>
      <c r="C34" s="5" t="s">
        <v>691</v>
      </c>
      <c r="D34" s="5" t="s">
        <v>676</v>
      </c>
      <c r="E34" s="5" t="s">
        <v>661</v>
      </c>
      <c r="F34" s="5"/>
    </row>
    <row r="35" spans="1:6">
      <c r="A35" s="1010">
        <v>5</v>
      </c>
      <c r="B35" s="51">
        <v>44993</v>
      </c>
      <c r="C35" s="5" t="s">
        <v>1449</v>
      </c>
      <c r="D35" s="5" t="s">
        <v>683</v>
      </c>
      <c r="E35" s="5" t="s">
        <v>651</v>
      </c>
      <c r="F35" s="5"/>
    </row>
    <row r="36" spans="1:6">
      <c r="A36" s="1010">
        <v>5</v>
      </c>
      <c r="B36" s="191">
        <v>44998</v>
      </c>
      <c r="C36" s="5" t="s">
        <v>692</v>
      </c>
      <c r="D36" s="5" t="s">
        <v>678</v>
      </c>
      <c r="E36" s="5" t="s">
        <v>661</v>
      </c>
      <c r="F36" s="5"/>
    </row>
    <row r="37" spans="1:6" ht="28.8">
      <c r="A37" s="1010">
        <v>5.0999999999999996</v>
      </c>
      <c r="B37" s="51">
        <v>45033</v>
      </c>
      <c r="C37" s="576" t="s">
        <v>1450</v>
      </c>
      <c r="D37" s="5" t="s">
        <v>658</v>
      </c>
      <c r="E37" s="5" t="s">
        <v>655</v>
      </c>
      <c r="F37" s="5"/>
    </row>
    <row r="38" spans="1:6">
      <c r="A38" s="1010">
        <v>5.0999999999999996</v>
      </c>
      <c r="B38" s="51">
        <v>45037</v>
      </c>
      <c r="C38" s="5" t="s">
        <v>1434</v>
      </c>
      <c r="D38" s="5" t="s">
        <v>697</v>
      </c>
      <c r="E38" s="5" t="s">
        <v>655</v>
      </c>
      <c r="F38" s="5"/>
    </row>
    <row r="39" spans="1:6">
      <c r="A39" s="1010">
        <v>6</v>
      </c>
      <c r="B39" s="51">
        <v>45040</v>
      </c>
      <c r="C39" s="5" t="s">
        <v>651</v>
      </c>
      <c r="D39" s="5" t="s">
        <v>658</v>
      </c>
      <c r="E39" s="5" t="s">
        <v>651</v>
      </c>
      <c r="F39" s="5"/>
    </row>
    <row r="40" spans="1:6">
      <c r="A40" s="1010">
        <v>7</v>
      </c>
      <c r="B40" s="51">
        <v>45077</v>
      </c>
      <c r="C40" s="5" t="s">
        <v>1451</v>
      </c>
      <c r="D40" s="5" t="s">
        <v>658</v>
      </c>
      <c r="E40" s="5" t="s">
        <v>651</v>
      </c>
      <c r="F40" s="5"/>
    </row>
    <row r="41" spans="1:6">
      <c r="A41" s="1010" t="s">
        <v>1452</v>
      </c>
      <c r="B41" s="191">
        <v>45078</v>
      </c>
      <c r="C41" s="5" t="s">
        <v>699</v>
      </c>
      <c r="D41" s="5" t="s">
        <v>678</v>
      </c>
      <c r="E41" s="5" t="s">
        <v>661</v>
      </c>
    </row>
    <row r="42" spans="1:6">
      <c r="A42" s="1010" t="s">
        <v>1453</v>
      </c>
      <c r="B42" s="191">
        <v>45097</v>
      </c>
      <c r="C42" s="5" t="s">
        <v>818</v>
      </c>
      <c r="D42" s="5" t="s">
        <v>678</v>
      </c>
      <c r="E42" s="586" t="s">
        <v>655</v>
      </c>
    </row>
    <row r="43" spans="1:6">
      <c r="A43" s="1010" t="s">
        <v>1454</v>
      </c>
      <c r="B43" s="191">
        <v>45097</v>
      </c>
      <c r="C43" s="5" t="s">
        <v>1451</v>
      </c>
      <c r="D43" s="5" t="s">
        <v>678</v>
      </c>
      <c r="E43" s="5" t="s">
        <v>651</v>
      </c>
    </row>
    <row r="44" spans="1:6">
      <c r="A44" s="1010" t="s">
        <v>1454</v>
      </c>
      <c r="B44" s="191">
        <v>45097</v>
      </c>
      <c r="C44" s="5" t="s">
        <v>700</v>
      </c>
      <c r="D44" s="5" t="s">
        <v>678</v>
      </c>
      <c r="E44" s="5" t="s">
        <v>661</v>
      </c>
    </row>
    <row r="45" spans="1:6">
      <c r="A45" s="1010" t="s">
        <v>1454</v>
      </c>
      <c r="B45" s="1065">
        <v>45205</v>
      </c>
      <c r="C45" s="595" t="s">
        <v>701</v>
      </c>
      <c r="D45" s="595" t="s">
        <v>678</v>
      </c>
      <c r="E45" s="596" t="s">
        <v>661</v>
      </c>
    </row>
  </sheetData>
  <pageMargins left="0.7" right="0.7" top="0.75" bottom="0.75" header="0.3" footer="0.3"/>
  <pageSetup orientation="portrait" r:id="rId1"/>
  <headerFooter>
    <oddFooter>&amp;C_x000D_&amp;1#&amp;"Calibri"&amp;11&amp;KFF0000 Internal</oddFoot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716BA-F9AB-4771-908E-5F650D63757C}">
  <sheetPr codeName="Sheet30"/>
  <dimension ref="A1:L33"/>
  <sheetViews>
    <sheetView workbookViewId="0">
      <selection activeCell="C1" sqref="C1:D1"/>
    </sheetView>
  </sheetViews>
  <sheetFormatPr defaultRowHeight="14.4"/>
  <cols>
    <col min="1" max="1" width="38.26171875" customWidth="1"/>
    <col min="2" max="2" width="50.26171875" customWidth="1"/>
    <col min="6" max="6" width="16.41796875" customWidth="1"/>
    <col min="9" max="9" width="14.26171875" customWidth="1"/>
    <col min="10" max="10" width="16.26171875" customWidth="1"/>
    <col min="11" max="11" width="21.68359375" customWidth="1"/>
    <col min="12" max="12" width="17.68359375" customWidth="1"/>
  </cols>
  <sheetData>
    <row r="1" spans="1:12" ht="35.25" customHeight="1">
      <c r="A1" s="251" t="s">
        <v>104</v>
      </c>
      <c r="B1" s="252" t="s">
        <v>1455</v>
      </c>
      <c r="C1" s="1541" t="s">
        <v>106</v>
      </c>
      <c r="D1" s="1542"/>
      <c r="E1" s="1243">
        <v>4</v>
      </c>
      <c r="F1" s="1148" t="s">
        <v>702</v>
      </c>
      <c r="G1" s="1149">
        <v>448</v>
      </c>
      <c r="H1" s="932"/>
      <c r="I1" s="932"/>
      <c r="J1" s="1150" t="s">
        <v>69</v>
      </c>
      <c r="K1" s="1151" t="s">
        <v>703</v>
      </c>
      <c r="L1" s="253"/>
    </row>
    <row r="2" spans="1:12" ht="41.25" customHeight="1">
      <c r="A2" s="1543" t="s">
        <v>1456</v>
      </c>
      <c r="B2" s="1544"/>
      <c r="C2" s="1550" t="s">
        <v>1457</v>
      </c>
      <c r="D2" s="1551"/>
      <c r="E2" s="1551"/>
      <c r="F2" s="1551"/>
      <c r="G2" s="1551"/>
      <c r="H2" s="1551"/>
      <c r="I2" s="1552"/>
      <c r="J2" s="1152" t="s">
        <v>707</v>
      </c>
      <c r="K2" s="1153">
        <v>1</v>
      </c>
      <c r="L2" s="254"/>
    </row>
    <row r="3" spans="1:12">
      <c r="A3" s="257" t="s">
        <v>709</v>
      </c>
      <c r="B3" s="258" t="s">
        <v>710</v>
      </c>
      <c r="C3" s="258" t="s">
        <v>711</v>
      </c>
      <c r="D3" s="258" t="s">
        <v>712</v>
      </c>
      <c r="E3" s="258" t="s">
        <v>713</v>
      </c>
      <c r="F3" s="258" t="s">
        <v>714</v>
      </c>
      <c r="G3" s="258" t="s">
        <v>715</v>
      </c>
      <c r="H3" s="258" t="s">
        <v>716</v>
      </c>
      <c r="I3" s="258" t="s">
        <v>717</v>
      </c>
      <c r="J3" s="258" t="s">
        <v>718</v>
      </c>
      <c r="K3" s="258" t="s">
        <v>719</v>
      </c>
      <c r="L3" s="258" t="s">
        <v>720</v>
      </c>
    </row>
    <row r="4" spans="1:12" ht="15" customHeight="1">
      <c r="A4" s="1093" t="s">
        <v>1458</v>
      </c>
      <c r="B4" s="693" t="s">
        <v>1459</v>
      </c>
      <c r="C4" s="694" t="s">
        <v>48</v>
      </c>
      <c r="D4" s="694" t="s">
        <v>48</v>
      </c>
      <c r="E4" s="694" t="s">
        <v>48</v>
      </c>
      <c r="F4" s="694" t="s">
        <v>48</v>
      </c>
      <c r="G4" s="694" t="s">
        <v>48</v>
      </c>
      <c r="H4" s="407">
        <v>16</v>
      </c>
      <c r="I4" s="694" t="s">
        <v>823</v>
      </c>
      <c r="J4" s="133" t="s">
        <v>729</v>
      </c>
      <c r="K4" s="1545">
        <v>1</v>
      </c>
      <c r="L4" s="1549" t="s">
        <v>1460</v>
      </c>
    </row>
    <row r="5" spans="1:12" ht="15" customHeight="1">
      <c r="A5" s="695" t="s">
        <v>1461</v>
      </c>
      <c r="B5" s="691" t="s">
        <v>826</v>
      </c>
      <c r="C5" s="26" t="s">
        <v>48</v>
      </c>
      <c r="D5" s="26" t="s">
        <v>48</v>
      </c>
      <c r="E5" s="26" t="s">
        <v>48</v>
      </c>
      <c r="F5" s="26" t="s">
        <v>48</v>
      </c>
      <c r="G5" s="26" t="s">
        <v>48</v>
      </c>
      <c r="H5" s="10">
        <v>8</v>
      </c>
      <c r="I5" s="26" t="s">
        <v>827</v>
      </c>
      <c r="J5" s="692" t="s">
        <v>729</v>
      </c>
      <c r="K5" s="1546"/>
      <c r="L5" s="1549"/>
    </row>
    <row r="6" spans="1:12" ht="31.5" customHeight="1">
      <c r="A6" s="696" t="s">
        <v>1462</v>
      </c>
      <c r="B6" s="401" t="s">
        <v>1463</v>
      </c>
      <c r="C6" s="134" t="s">
        <v>48</v>
      </c>
      <c r="D6" s="134" t="s">
        <v>48</v>
      </c>
      <c r="E6" s="134" t="s">
        <v>48</v>
      </c>
      <c r="F6" s="134" t="s">
        <v>48</v>
      </c>
      <c r="G6" s="134" t="s">
        <v>48</v>
      </c>
      <c r="H6" s="134">
        <v>8</v>
      </c>
      <c r="I6" s="329" t="s">
        <v>1396</v>
      </c>
      <c r="J6" s="697" t="s">
        <v>729</v>
      </c>
      <c r="K6" s="1547"/>
      <c r="L6" s="1549"/>
    </row>
    <row r="7" spans="1:12" ht="15" customHeight="1">
      <c r="A7" s="696" t="s">
        <v>1464</v>
      </c>
      <c r="B7" s="1154" t="s">
        <v>1465</v>
      </c>
      <c r="C7" s="1157" t="s">
        <v>48</v>
      </c>
      <c r="D7" s="1157" t="s">
        <v>48</v>
      </c>
      <c r="E7" s="1157" t="s">
        <v>48</v>
      </c>
      <c r="F7" s="1157" t="s">
        <v>48</v>
      </c>
      <c r="G7" s="1157" t="s">
        <v>48</v>
      </c>
      <c r="H7" s="1157">
        <v>8</v>
      </c>
      <c r="I7" s="1157" t="s">
        <v>839</v>
      </c>
      <c r="J7" s="1244" t="s">
        <v>729</v>
      </c>
      <c r="K7" s="1547"/>
      <c r="L7" s="1549"/>
    </row>
    <row r="8" spans="1:12" ht="15" customHeight="1">
      <c r="A8" s="1245" t="s">
        <v>1466</v>
      </c>
      <c r="B8" s="1154" t="s">
        <v>1467</v>
      </c>
      <c r="C8" s="1085" t="s">
        <v>48</v>
      </c>
      <c r="D8" s="1085" t="s">
        <v>48</v>
      </c>
      <c r="E8" s="1085" t="s">
        <v>48</v>
      </c>
      <c r="F8" s="1085" t="s">
        <v>48</v>
      </c>
      <c r="G8" s="1085" t="s">
        <v>48</v>
      </c>
      <c r="H8" s="1085">
        <v>8</v>
      </c>
      <c r="I8" s="1157" t="s">
        <v>1399</v>
      </c>
      <c r="J8" s="1246" t="s">
        <v>729</v>
      </c>
      <c r="K8" s="1547"/>
      <c r="L8" s="1549"/>
    </row>
    <row r="9" spans="1:12" ht="15" customHeight="1">
      <c r="A9" s="1245" t="s">
        <v>1468</v>
      </c>
      <c r="B9" s="1154" t="s">
        <v>1469</v>
      </c>
      <c r="C9" s="1157" t="s">
        <v>48</v>
      </c>
      <c r="D9" s="1157" t="s">
        <v>48</v>
      </c>
      <c r="E9" s="1157" t="s">
        <v>48</v>
      </c>
      <c r="F9" s="1157" t="s">
        <v>48</v>
      </c>
      <c r="G9" s="1157" t="s">
        <v>48</v>
      </c>
      <c r="H9" s="1157">
        <v>8</v>
      </c>
      <c r="I9" s="1157" t="s">
        <v>839</v>
      </c>
      <c r="J9" s="1244" t="s">
        <v>729</v>
      </c>
      <c r="K9" s="1547"/>
      <c r="L9" s="1549"/>
    </row>
    <row r="10" spans="1:12" ht="69" customHeight="1">
      <c r="A10" s="1247" t="s">
        <v>1470</v>
      </c>
      <c r="B10" s="1154" t="s">
        <v>1471</v>
      </c>
      <c r="C10" s="1157" t="s">
        <v>48</v>
      </c>
      <c r="D10" s="1157">
        <v>0</v>
      </c>
      <c r="E10" s="1157">
        <v>255</v>
      </c>
      <c r="F10" s="1157" t="s">
        <v>1472</v>
      </c>
      <c r="G10" s="1157">
        <v>255</v>
      </c>
      <c r="H10" s="1111">
        <v>8</v>
      </c>
      <c r="I10" s="1157" t="s">
        <v>743</v>
      </c>
      <c r="J10" s="1246" t="s">
        <v>729</v>
      </c>
      <c r="K10" s="1547"/>
      <c r="L10" s="1549"/>
    </row>
    <row r="11" spans="1:12" ht="36" customHeight="1">
      <c r="A11" s="698" t="s">
        <v>1473</v>
      </c>
      <c r="B11" s="1248" t="s">
        <v>1474</v>
      </c>
      <c r="C11" s="1157" t="s">
        <v>48</v>
      </c>
      <c r="D11" s="1157" t="s">
        <v>48</v>
      </c>
      <c r="E11" s="1157" t="s">
        <v>48</v>
      </c>
      <c r="F11" s="1157" t="s">
        <v>48</v>
      </c>
      <c r="G11" s="1157" t="s">
        <v>48</v>
      </c>
      <c r="H11" s="1157">
        <v>8</v>
      </c>
      <c r="I11" s="1096" t="s">
        <v>839</v>
      </c>
      <c r="J11" s="1244" t="s">
        <v>729</v>
      </c>
      <c r="K11" s="1547"/>
      <c r="L11" s="1549"/>
    </row>
    <row r="12" spans="1:12" ht="37.5" customHeight="1">
      <c r="A12" s="699" t="s">
        <v>1475</v>
      </c>
      <c r="B12" s="402" t="s">
        <v>1476</v>
      </c>
      <c r="C12" s="1157" t="s">
        <v>48</v>
      </c>
      <c r="D12" s="326">
        <v>-1</v>
      </c>
      <c r="E12" s="1157">
        <v>32767</v>
      </c>
      <c r="F12" s="1157" t="s">
        <v>1477</v>
      </c>
      <c r="G12" s="1157">
        <v>32767</v>
      </c>
      <c r="H12" s="1157">
        <v>16</v>
      </c>
      <c r="I12" s="1157" t="s">
        <v>1478</v>
      </c>
      <c r="J12" s="1249" t="s">
        <v>729</v>
      </c>
      <c r="K12" s="1547"/>
      <c r="L12" s="1549"/>
    </row>
    <row r="13" spans="1:12" ht="15" customHeight="1">
      <c r="A13" s="699" t="s">
        <v>1479</v>
      </c>
      <c r="B13" s="1248" t="s">
        <v>1480</v>
      </c>
      <c r="C13" s="1157" t="s">
        <v>48</v>
      </c>
      <c r="D13" s="1157" t="s">
        <v>48</v>
      </c>
      <c r="E13" s="1157" t="s">
        <v>48</v>
      </c>
      <c r="F13" s="1157" t="s">
        <v>48</v>
      </c>
      <c r="G13" s="1157" t="s">
        <v>48</v>
      </c>
      <c r="H13" s="1157">
        <v>8</v>
      </c>
      <c r="I13" s="329" t="s">
        <v>839</v>
      </c>
      <c r="J13" s="1244" t="s">
        <v>729</v>
      </c>
      <c r="K13" s="1547"/>
      <c r="L13" s="1549"/>
    </row>
    <row r="14" spans="1:12" ht="61.5" customHeight="1">
      <c r="A14" s="997" t="s">
        <v>1481</v>
      </c>
      <c r="B14" s="1248" t="s">
        <v>1482</v>
      </c>
      <c r="C14" s="1157" t="s">
        <v>48</v>
      </c>
      <c r="D14" s="1157">
        <v>0</v>
      </c>
      <c r="E14" s="1157">
        <v>255</v>
      </c>
      <c r="F14" s="1157" t="s">
        <v>1483</v>
      </c>
      <c r="G14" s="1157">
        <v>255</v>
      </c>
      <c r="H14" s="1111">
        <v>8</v>
      </c>
      <c r="I14" s="1157" t="s">
        <v>743</v>
      </c>
      <c r="J14" s="1246" t="s">
        <v>729</v>
      </c>
      <c r="K14" s="1547"/>
      <c r="L14" s="1549"/>
    </row>
    <row r="15" spans="1:12" ht="15" customHeight="1">
      <c r="A15" s="1250" t="s">
        <v>1484</v>
      </c>
      <c r="B15" s="1248" t="s">
        <v>1485</v>
      </c>
      <c r="C15" s="1157" t="s">
        <v>48</v>
      </c>
      <c r="D15" s="1157" t="s">
        <v>48</v>
      </c>
      <c r="E15" s="1157" t="s">
        <v>48</v>
      </c>
      <c r="F15" s="1157" t="s">
        <v>48</v>
      </c>
      <c r="G15" s="1157" t="s">
        <v>48</v>
      </c>
      <c r="H15" s="1157">
        <v>8</v>
      </c>
      <c r="I15" s="1157" t="s">
        <v>839</v>
      </c>
      <c r="J15" s="1244" t="s">
        <v>729</v>
      </c>
      <c r="K15" s="1547"/>
      <c r="L15" s="1549"/>
    </row>
    <row r="16" spans="1:12" ht="118.5" customHeight="1">
      <c r="A16" s="699" t="s">
        <v>1486</v>
      </c>
      <c r="B16" s="1248" t="s">
        <v>1487</v>
      </c>
      <c r="C16" s="1157" t="s">
        <v>48</v>
      </c>
      <c r="D16" s="1157">
        <v>0</v>
      </c>
      <c r="E16" s="1157">
        <v>255</v>
      </c>
      <c r="F16" s="1157" t="s">
        <v>1488</v>
      </c>
      <c r="G16" s="1157">
        <v>255</v>
      </c>
      <c r="H16" s="1111">
        <v>8</v>
      </c>
      <c r="I16" s="1157" t="s">
        <v>743</v>
      </c>
      <c r="J16" s="1246" t="s">
        <v>729</v>
      </c>
      <c r="K16" s="1547"/>
      <c r="L16" s="1549"/>
    </row>
    <row r="17" spans="1:12" ht="15" customHeight="1">
      <c r="A17" s="700" t="s">
        <v>1489</v>
      </c>
      <c r="B17" s="1248" t="s">
        <v>1490</v>
      </c>
      <c r="C17" s="1157" t="s">
        <v>48</v>
      </c>
      <c r="D17" s="1157" t="s">
        <v>48</v>
      </c>
      <c r="E17" s="1157" t="s">
        <v>48</v>
      </c>
      <c r="F17" s="1157" t="s">
        <v>48</v>
      </c>
      <c r="G17" s="1157" t="s">
        <v>48</v>
      </c>
      <c r="H17" s="1157">
        <v>8</v>
      </c>
      <c r="I17" s="1157" t="s">
        <v>839</v>
      </c>
      <c r="J17" s="1244" t="s">
        <v>729</v>
      </c>
      <c r="K17" s="1547"/>
      <c r="L17" s="1549"/>
    </row>
    <row r="18" spans="1:12" ht="41.25" customHeight="1">
      <c r="A18" s="696" t="s">
        <v>1491</v>
      </c>
      <c r="B18" s="1154" t="s">
        <v>1492</v>
      </c>
      <c r="C18" s="1157" t="s">
        <v>919</v>
      </c>
      <c r="D18" s="1157">
        <v>0.1</v>
      </c>
      <c r="E18" s="1157" t="s">
        <v>920</v>
      </c>
      <c r="F18" s="1157" t="s">
        <v>1493</v>
      </c>
      <c r="G18" s="1157" t="s">
        <v>920</v>
      </c>
      <c r="H18" s="1155">
        <v>32</v>
      </c>
      <c r="I18" s="1155" t="s">
        <v>922</v>
      </c>
      <c r="J18" s="1244" t="s">
        <v>729</v>
      </c>
      <c r="K18" s="1547"/>
      <c r="L18" s="1549"/>
    </row>
    <row r="19" spans="1:12" ht="15" customHeight="1">
      <c r="A19" s="1245" t="s">
        <v>1494</v>
      </c>
      <c r="B19" s="1154" t="s">
        <v>1495</v>
      </c>
      <c r="C19" s="1157" t="s">
        <v>48</v>
      </c>
      <c r="D19" s="1157" t="s">
        <v>48</v>
      </c>
      <c r="E19" s="1157" t="s">
        <v>48</v>
      </c>
      <c r="F19" s="1157" t="s">
        <v>48</v>
      </c>
      <c r="G19" s="1157" t="s">
        <v>48</v>
      </c>
      <c r="H19" s="1157">
        <v>8</v>
      </c>
      <c r="I19" s="1157" t="s">
        <v>839</v>
      </c>
      <c r="J19" s="1244" t="s">
        <v>729</v>
      </c>
      <c r="K19" s="1547"/>
      <c r="L19" s="1549"/>
    </row>
    <row r="20" spans="1:12" ht="30" customHeight="1">
      <c r="A20" s="1245" t="s">
        <v>1496</v>
      </c>
      <c r="B20" s="1154" t="s">
        <v>1497</v>
      </c>
      <c r="C20" s="1157" t="s">
        <v>919</v>
      </c>
      <c r="D20" s="1157">
        <v>0.1</v>
      </c>
      <c r="E20" s="1157" t="s">
        <v>920</v>
      </c>
      <c r="F20" s="1157" t="s">
        <v>1493</v>
      </c>
      <c r="G20" s="1157" t="s">
        <v>920</v>
      </c>
      <c r="H20" s="1155">
        <v>32</v>
      </c>
      <c r="I20" s="1155" t="s">
        <v>922</v>
      </c>
      <c r="J20" s="1244" t="s">
        <v>729</v>
      </c>
      <c r="K20" s="1547"/>
      <c r="L20" s="1549"/>
    </row>
    <row r="21" spans="1:12" ht="15" customHeight="1">
      <c r="A21" s="1245" t="s">
        <v>1498</v>
      </c>
      <c r="B21" s="1154" t="s">
        <v>1499</v>
      </c>
      <c r="C21" s="1157" t="s">
        <v>48</v>
      </c>
      <c r="D21" s="1157" t="s">
        <v>48</v>
      </c>
      <c r="E21" s="1157" t="s">
        <v>48</v>
      </c>
      <c r="F21" s="1157" t="s">
        <v>48</v>
      </c>
      <c r="G21" s="1157" t="s">
        <v>48</v>
      </c>
      <c r="H21" s="1157">
        <v>8</v>
      </c>
      <c r="I21" s="1157" t="s">
        <v>839</v>
      </c>
      <c r="J21" s="1244" t="s">
        <v>729</v>
      </c>
      <c r="K21" s="1547"/>
      <c r="L21" s="1549"/>
    </row>
    <row r="22" spans="1:12" ht="30.75" customHeight="1">
      <c r="A22" s="1245" t="s">
        <v>1500</v>
      </c>
      <c r="B22" s="1154" t="s">
        <v>1501</v>
      </c>
      <c r="C22" s="1157" t="s">
        <v>919</v>
      </c>
      <c r="D22" s="1157">
        <v>0.1</v>
      </c>
      <c r="E22" s="1157" t="s">
        <v>920</v>
      </c>
      <c r="F22" s="1157" t="s">
        <v>1493</v>
      </c>
      <c r="G22" s="1157" t="s">
        <v>920</v>
      </c>
      <c r="H22" s="1155">
        <v>32</v>
      </c>
      <c r="I22" s="1155" t="s">
        <v>922</v>
      </c>
      <c r="J22" s="1244" t="s">
        <v>729</v>
      </c>
      <c r="K22" s="1547"/>
      <c r="L22" s="1549"/>
    </row>
    <row r="23" spans="1:12" ht="15" customHeight="1">
      <c r="A23" s="1245" t="s">
        <v>1502</v>
      </c>
      <c r="B23" s="1154" t="s">
        <v>1503</v>
      </c>
      <c r="C23" s="1157" t="s">
        <v>48</v>
      </c>
      <c r="D23" s="1157" t="s">
        <v>48</v>
      </c>
      <c r="E23" s="1157" t="s">
        <v>48</v>
      </c>
      <c r="F23" s="1157" t="s">
        <v>48</v>
      </c>
      <c r="G23" s="1157" t="s">
        <v>48</v>
      </c>
      <c r="H23" s="1157">
        <v>8</v>
      </c>
      <c r="I23" s="1157" t="s">
        <v>839</v>
      </c>
      <c r="J23" s="1244" t="s">
        <v>729</v>
      </c>
      <c r="K23" s="1547"/>
      <c r="L23" s="1549"/>
    </row>
    <row r="24" spans="1:12" ht="28.5" customHeight="1">
      <c r="A24" s="1245" t="s">
        <v>1504</v>
      </c>
      <c r="B24" s="1154" t="s">
        <v>1505</v>
      </c>
      <c r="C24" s="1157" t="s">
        <v>919</v>
      </c>
      <c r="D24" s="1157">
        <v>0.1</v>
      </c>
      <c r="E24" s="1157" t="s">
        <v>920</v>
      </c>
      <c r="F24" s="1157" t="s">
        <v>1493</v>
      </c>
      <c r="G24" s="1157" t="s">
        <v>920</v>
      </c>
      <c r="H24" s="1155">
        <v>32</v>
      </c>
      <c r="I24" s="1155" t="s">
        <v>922</v>
      </c>
      <c r="J24" s="1244" t="s">
        <v>729</v>
      </c>
      <c r="K24" s="1547"/>
      <c r="L24" s="1549"/>
    </row>
    <row r="25" spans="1:12" ht="15" customHeight="1">
      <c r="A25" s="1245" t="s">
        <v>1506</v>
      </c>
      <c r="B25" s="1154" t="s">
        <v>1507</v>
      </c>
      <c r="C25" s="1157" t="s">
        <v>48</v>
      </c>
      <c r="D25" s="1157" t="s">
        <v>48</v>
      </c>
      <c r="E25" s="1157" t="s">
        <v>48</v>
      </c>
      <c r="F25" s="1157" t="s">
        <v>48</v>
      </c>
      <c r="G25" s="1157" t="s">
        <v>48</v>
      </c>
      <c r="H25" s="1157">
        <v>8</v>
      </c>
      <c r="I25" s="1157" t="s">
        <v>839</v>
      </c>
      <c r="J25" s="1244" t="s">
        <v>729</v>
      </c>
      <c r="K25" s="1547"/>
      <c r="L25" s="1549"/>
    </row>
    <row r="26" spans="1:12" ht="27.75" customHeight="1">
      <c r="A26" s="1245" t="s">
        <v>1508</v>
      </c>
      <c r="B26" s="1154" t="s">
        <v>1509</v>
      </c>
      <c r="C26" s="1157" t="s">
        <v>919</v>
      </c>
      <c r="D26" s="1157">
        <v>0</v>
      </c>
      <c r="E26" s="1157" t="s">
        <v>920</v>
      </c>
      <c r="F26" s="1157" t="s">
        <v>1510</v>
      </c>
      <c r="G26" s="1157" t="s">
        <v>920</v>
      </c>
      <c r="H26" s="1155">
        <v>32</v>
      </c>
      <c r="I26" s="1155" t="s">
        <v>922</v>
      </c>
      <c r="J26" s="1244" t="s">
        <v>729</v>
      </c>
      <c r="K26" s="1547"/>
      <c r="L26" s="1549"/>
    </row>
    <row r="27" spans="1:12" ht="15" customHeight="1">
      <c r="A27" s="1245" t="s">
        <v>1511</v>
      </c>
      <c r="B27" s="1154" t="s">
        <v>1512</v>
      </c>
      <c r="C27" s="1157" t="s">
        <v>48</v>
      </c>
      <c r="D27" s="1157" t="s">
        <v>48</v>
      </c>
      <c r="E27" s="1157" t="s">
        <v>48</v>
      </c>
      <c r="F27" s="1157" t="s">
        <v>48</v>
      </c>
      <c r="G27" s="1157" t="s">
        <v>48</v>
      </c>
      <c r="H27" s="1157">
        <v>8</v>
      </c>
      <c r="I27" s="1157" t="s">
        <v>839</v>
      </c>
      <c r="J27" s="1244" t="s">
        <v>729</v>
      </c>
      <c r="K27" s="1547"/>
      <c r="L27" s="1549"/>
    </row>
    <row r="28" spans="1:12" ht="26.25" customHeight="1">
      <c r="A28" s="1245" t="s">
        <v>1513</v>
      </c>
      <c r="B28" s="1154" t="s">
        <v>1514</v>
      </c>
      <c r="C28" s="1157" t="s">
        <v>919</v>
      </c>
      <c r="D28" s="1157">
        <v>0</v>
      </c>
      <c r="E28" s="1157" t="s">
        <v>920</v>
      </c>
      <c r="F28" s="1157" t="s">
        <v>1510</v>
      </c>
      <c r="G28" s="1157" t="s">
        <v>920</v>
      </c>
      <c r="H28" s="1155">
        <v>32</v>
      </c>
      <c r="I28" s="1155" t="s">
        <v>922</v>
      </c>
      <c r="J28" s="1244" t="s">
        <v>729</v>
      </c>
      <c r="K28" s="1547"/>
      <c r="L28" s="1549"/>
    </row>
    <row r="29" spans="1:12" ht="15" customHeight="1">
      <c r="A29" s="1245" t="s">
        <v>1515</v>
      </c>
      <c r="B29" s="1154" t="s">
        <v>1516</v>
      </c>
      <c r="C29" s="1157" t="s">
        <v>48</v>
      </c>
      <c r="D29" s="1157" t="s">
        <v>48</v>
      </c>
      <c r="E29" s="1157" t="s">
        <v>48</v>
      </c>
      <c r="F29" s="1157" t="s">
        <v>48</v>
      </c>
      <c r="G29" s="1157" t="s">
        <v>48</v>
      </c>
      <c r="H29" s="1157">
        <v>8</v>
      </c>
      <c r="I29" s="1157" t="s">
        <v>839</v>
      </c>
      <c r="J29" s="1244" t="s">
        <v>729</v>
      </c>
      <c r="K29" s="1547"/>
      <c r="L29" s="1549"/>
    </row>
    <row r="30" spans="1:12" ht="30" customHeight="1">
      <c r="A30" s="1245" t="s">
        <v>1517</v>
      </c>
      <c r="B30" s="1154" t="s">
        <v>1518</v>
      </c>
      <c r="C30" s="1157" t="s">
        <v>919</v>
      </c>
      <c r="D30" s="1157">
        <v>0</v>
      </c>
      <c r="E30" s="1157" t="s">
        <v>920</v>
      </c>
      <c r="F30" s="1157" t="s">
        <v>1510</v>
      </c>
      <c r="G30" s="1157" t="s">
        <v>920</v>
      </c>
      <c r="H30" s="1155">
        <v>32</v>
      </c>
      <c r="I30" s="1155" t="s">
        <v>922</v>
      </c>
      <c r="J30" s="1244" t="s">
        <v>729</v>
      </c>
      <c r="K30" s="1547"/>
      <c r="L30" s="1549"/>
    </row>
    <row r="31" spans="1:12" ht="15" customHeight="1">
      <c r="A31" s="1245" t="s">
        <v>1519</v>
      </c>
      <c r="B31" s="1154" t="s">
        <v>1520</v>
      </c>
      <c r="C31" s="1157" t="s">
        <v>48</v>
      </c>
      <c r="D31" s="1157" t="s">
        <v>48</v>
      </c>
      <c r="E31" s="1157" t="s">
        <v>48</v>
      </c>
      <c r="F31" s="1157" t="s">
        <v>48</v>
      </c>
      <c r="G31" s="1157" t="s">
        <v>48</v>
      </c>
      <c r="H31" s="1157">
        <v>8</v>
      </c>
      <c r="I31" s="1157" t="s">
        <v>839</v>
      </c>
      <c r="J31" s="1244" t="s">
        <v>729</v>
      </c>
      <c r="K31" s="1547"/>
      <c r="L31" s="1549"/>
    </row>
    <row r="32" spans="1:12" ht="30.75" customHeight="1">
      <c r="A32" s="1245" t="s">
        <v>1521</v>
      </c>
      <c r="B32" s="1154" t="s">
        <v>1522</v>
      </c>
      <c r="C32" s="1157" t="s">
        <v>919</v>
      </c>
      <c r="D32" s="1157">
        <v>0</v>
      </c>
      <c r="E32" s="1157" t="s">
        <v>920</v>
      </c>
      <c r="F32" s="1157" t="s">
        <v>1510</v>
      </c>
      <c r="G32" s="1157" t="s">
        <v>920</v>
      </c>
      <c r="H32" s="1155">
        <v>32</v>
      </c>
      <c r="I32" s="1155" t="s">
        <v>922</v>
      </c>
      <c r="J32" s="1244" t="s">
        <v>729</v>
      </c>
      <c r="K32" s="1547"/>
      <c r="L32" s="1549"/>
    </row>
    <row r="33" spans="1:12" ht="15" customHeight="1">
      <c r="A33" s="1247" t="s">
        <v>1523</v>
      </c>
      <c r="B33" s="1173" t="s">
        <v>1524</v>
      </c>
      <c r="C33" s="1096" t="s">
        <v>48</v>
      </c>
      <c r="D33" s="1096" t="s">
        <v>48</v>
      </c>
      <c r="E33" s="1096" t="s">
        <v>48</v>
      </c>
      <c r="F33" s="1096" t="s">
        <v>48</v>
      </c>
      <c r="G33" s="1096" t="s">
        <v>48</v>
      </c>
      <c r="H33" s="1096">
        <v>8</v>
      </c>
      <c r="I33" s="1096" t="s">
        <v>839</v>
      </c>
      <c r="J33" s="1251" t="s">
        <v>729</v>
      </c>
      <c r="K33" s="1548"/>
      <c r="L33" s="1549"/>
    </row>
  </sheetData>
  <mergeCells count="5">
    <mergeCell ref="C1:D1"/>
    <mergeCell ref="A2:B2"/>
    <mergeCell ref="K4:K33"/>
    <mergeCell ref="L4:L33"/>
    <mergeCell ref="C2:I2"/>
  </mergeCells>
  <hyperlinks>
    <hyperlink ref="J1" location="'Revision Map'!A1" display="INDEX" xr:uid="{8F6A5205-077D-4935-923D-0E810F4BA71C}"/>
    <hyperlink ref="K1" location="'Cross-FCN_Definitions'!A1" display="Cross-FCN_Definitions" xr:uid="{3C7DCC9B-E82C-4130-B733-9D47565A7E4D}"/>
  </hyperlinks>
  <pageMargins left="0.7" right="0.7" top="0.75" bottom="0.75" header="0.3" footer="0.3"/>
  <headerFooter>
    <oddFooter>&amp;C_x000D_&amp;1#&amp;"Calibri"&amp;11&amp;KFF0000 Internal</oddFooter>
  </headerFooter>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CB00C-5081-487D-9352-C3C573B0CB9E}">
  <sheetPr codeName="Sheet31"/>
  <dimension ref="A1:F21"/>
  <sheetViews>
    <sheetView workbookViewId="0">
      <selection activeCell="B16" sqref="B16"/>
    </sheetView>
  </sheetViews>
  <sheetFormatPr defaultRowHeight="14.4"/>
  <cols>
    <col min="1" max="1" width="11" style="1014" bestFit="1" customWidth="1"/>
    <col min="2" max="2" width="9.83984375" style="51" bestFit="1" customWidth="1"/>
    <col min="3" max="3" width="58.83984375" bestFit="1" customWidth="1"/>
    <col min="4" max="4" width="20.15625" customWidth="1"/>
    <col min="5" max="5" width="9.68359375" bestFit="1" customWidth="1"/>
    <col min="6" max="8" width="9.15625" bestFit="1" customWidth="1"/>
    <col min="9" max="9" width="8.68359375" bestFit="1" customWidth="1"/>
  </cols>
  <sheetData>
    <row r="1" spans="1:6">
      <c r="A1" s="1017" t="s">
        <v>644</v>
      </c>
      <c r="B1" s="656" t="s">
        <v>645</v>
      </c>
      <c r="C1" s="658" t="s">
        <v>646</v>
      </c>
      <c r="D1" s="658" t="s">
        <v>647</v>
      </c>
      <c r="E1" s="659" t="s">
        <v>648</v>
      </c>
      <c r="F1" s="30"/>
    </row>
    <row r="2" spans="1:6" ht="28.8">
      <c r="A2" s="1018">
        <v>0.1</v>
      </c>
      <c r="B2" s="38">
        <v>44949</v>
      </c>
      <c r="C2" s="34" t="s">
        <v>1525</v>
      </c>
      <c r="D2" s="35" t="s">
        <v>658</v>
      </c>
      <c r="E2" s="36" t="s">
        <v>655</v>
      </c>
      <c r="F2" s="30"/>
    </row>
    <row r="3" spans="1:6">
      <c r="A3" s="629">
        <v>0.1</v>
      </c>
      <c r="B3" s="38">
        <v>44953</v>
      </c>
      <c r="C3" s="584" t="s">
        <v>1526</v>
      </c>
      <c r="D3" s="585" t="s">
        <v>1001</v>
      </c>
      <c r="E3" s="586" t="s">
        <v>655</v>
      </c>
      <c r="F3" s="30"/>
    </row>
    <row r="4" spans="1:6">
      <c r="A4" s="629">
        <v>0.2</v>
      </c>
      <c r="B4" s="51">
        <v>44956</v>
      </c>
      <c r="C4" s="5" t="s">
        <v>1527</v>
      </c>
      <c r="D4" s="5" t="s">
        <v>658</v>
      </c>
      <c r="E4" s="5" t="s">
        <v>655</v>
      </c>
      <c r="F4" s="30"/>
    </row>
    <row r="5" spans="1:6">
      <c r="A5" s="1010">
        <v>0.2</v>
      </c>
      <c r="B5" s="51">
        <v>44956</v>
      </c>
      <c r="C5" s="5" t="s">
        <v>1528</v>
      </c>
      <c r="D5" s="5" t="s">
        <v>683</v>
      </c>
      <c r="E5" s="5" t="s">
        <v>655</v>
      </c>
      <c r="F5" s="30"/>
    </row>
    <row r="6" spans="1:6">
      <c r="A6" s="629">
        <v>1</v>
      </c>
      <c r="B6" s="38">
        <v>44956</v>
      </c>
      <c r="C6" s="5" t="s">
        <v>1447</v>
      </c>
      <c r="D6" s="5" t="s">
        <v>658</v>
      </c>
      <c r="E6" s="5" t="s">
        <v>651</v>
      </c>
      <c r="F6" s="30"/>
    </row>
    <row r="7" spans="1:6">
      <c r="A7" s="1012">
        <v>1</v>
      </c>
      <c r="B7" s="678">
        <v>44957</v>
      </c>
      <c r="C7" s="5" t="s">
        <v>687</v>
      </c>
      <c r="D7" s="5" t="s">
        <v>676</v>
      </c>
      <c r="E7" s="5" t="s">
        <v>661</v>
      </c>
      <c r="F7" s="30"/>
    </row>
    <row r="8" spans="1:6">
      <c r="A8" s="1012">
        <v>1</v>
      </c>
      <c r="B8" s="678">
        <v>44970</v>
      </c>
      <c r="C8" s="5" t="s">
        <v>691</v>
      </c>
      <c r="D8" s="5" t="s">
        <v>676</v>
      </c>
      <c r="E8" s="5" t="s">
        <v>661</v>
      </c>
      <c r="F8" s="30"/>
    </row>
    <row r="9" spans="1:6">
      <c r="A9" s="1012">
        <v>2</v>
      </c>
      <c r="B9" s="678">
        <v>44993</v>
      </c>
      <c r="C9" s="5" t="s">
        <v>1449</v>
      </c>
      <c r="D9" s="5" t="s">
        <v>683</v>
      </c>
      <c r="E9" s="5" t="s">
        <v>651</v>
      </c>
      <c r="F9" s="30"/>
    </row>
    <row r="10" spans="1:6">
      <c r="A10" s="1012">
        <v>2</v>
      </c>
      <c r="B10" s="678">
        <v>44998</v>
      </c>
      <c r="C10" s="5" t="s">
        <v>692</v>
      </c>
      <c r="D10" s="5" t="s">
        <v>678</v>
      </c>
      <c r="E10" s="5" t="s">
        <v>661</v>
      </c>
      <c r="F10" s="30"/>
    </row>
    <row r="11" spans="1:6">
      <c r="A11" s="1012">
        <v>3</v>
      </c>
      <c r="B11" s="678">
        <v>45077</v>
      </c>
      <c r="C11" s="5" t="s">
        <v>1451</v>
      </c>
      <c r="D11" s="5" t="s">
        <v>658</v>
      </c>
      <c r="E11" s="5" t="s">
        <v>651</v>
      </c>
    </row>
    <row r="12" spans="1:6">
      <c r="A12" s="1010" t="s">
        <v>666</v>
      </c>
      <c r="B12" s="191">
        <v>45078</v>
      </c>
      <c r="C12" s="5" t="s">
        <v>699</v>
      </c>
      <c r="D12" s="5" t="s">
        <v>678</v>
      </c>
      <c r="E12" s="5" t="s">
        <v>661</v>
      </c>
    </row>
    <row r="13" spans="1:6">
      <c r="A13" s="629" t="s">
        <v>817</v>
      </c>
      <c r="B13" s="38">
        <v>45097</v>
      </c>
      <c r="C13" s="5" t="s">
        <v>818</v>
      </c>
      <c r="D13" s="5" t="s">
        <v>678</v>
      </c>
      <c r="E13" s="586" t="s">
        <v>655</v>
      </c>
    </row>
    <row r="14" spans="1:6">
      <c r="A14" s="629" t="s">
        <v>686</v>
      </c>
      <c r="B14" s="38">
        <v>45097</v>
      </c>
      <c r="C14" s="5" t="s">
        <v>1451</v>
      </c>
      <c r="D14" s="5" t="s">
        <v>678</v>
      </c>
      <c r="E14" s="5" t="s">
        <v>651</v>
      </c>
    </row>
    <row r="15" spans="1:6">
      <c r="A15" s="1012" t="s">
        <v>686</v>
      </c>
      <c r="B15" s="678">
        <v>45097</v>
      </c>
      <c r="C15" s="5" t="s">
        <v>700</v>
      </c>
      <c r="D15" s="5" t="s">
        <v>678</v>
      </c>
      <c r="E15" s="5" t="s">
        <v>661</v>
      </c>
    </row>
    <row r="16" spans="1:6">
      <c r="A16" s="1012" t="s">
        <v>686</v>
      </c>
      <c r="B16" s="1065">
        <v>45205</v>
      </c>
      <c r="C16" s="595" t="s">
        <v>701</v>
      </c>
      <c r="D16" s="595" t="s">
        <v>678</v>
      </c>
      <c r="E16" s="596" t="s">
        <v>661</v>
      </c>
    </row>
    <row r="17" spans="3:5">
      <c r="C17" s="2"/>
    </row>
    <row r="18" spans="3:5">
      <c r="D18" s="30"/>
      <c r="E18" s="30"/>
    </row>
    <row r="19" spans="3:5">
      <c r="D19" s="30"/>
      <c r="E19" s="30"/>
    </row>
    <row r="20" spans="3:5">
      <c r="D20" s="30"/>
      <c r="E20" s="30"/>
    </row>
    <row r="21" spans="3:5">
      <c r="C21" s="2"/>
      <c r="D21" s="30"/>
      <c r="E21" s="30"/>
    </row>
  </sheetData>
  <pageMargins left="0.7" right="0.7" top="0.75" bottom="0.75" header="0.3" footer="0.3"/>
  <headerFooter>
    <oddFooter>&amp;C_x000D_&amp;1#&amp;"Calibri"&amp;11&amp;KFF0000 Internal</oddFooter>
  </headerFooter>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BDCEA-BC53-4597-971D-F8309AC6DF89}">
  <sheetPr codeName="Sheet52"/>
  <dimension ref="A1:N23"/>
  <sheetViews>
    <sheetView workbookViewId="0">
      <pane ySplit="3" topLeftCell="A4" activePane="bottomLeft" state="frozen"/>
      <selection activeCell="J3" sqref="J3"/>
      <selection pane="bottomLeft"/>
    </sheetView>
  </sheetViews>
  <sheetFormatPr defaultColWidth="9.15625" defaultRowHeight="14.4"/>
  <cols>
    <col min="1" max="1" width="34.68359375" customWidth="1"/>
    <col min="2" max="2" width="22.83984375" customWidth="1"/>
    <col min="5" max="5" width="12.41796875" customWidth="1"/>
    <col min="6" max="6" width="22.15625" customWidth="1"/>
    <col min="9" max="9" width="20.83984375" customWidth="1"/>
    <col min="10" max="10" width="18.68359375" customWidth="1"/>
    <col min="11" max="11" width="22.578125" customWidth="1"/>
    <col min="12" max="12" width="32.68359375" customWidth="1"/>
    <col min="14" max="14" width="13.41796875" customWidth="1"/>
  </cols>
  <sheetData>
    <row r="1" spans="1:14" ht="14.5" customHeight="1">
      <c r="A1" s="23" t="s">
        <v>104</v>
      </c>
      <c r="B1" s="1076" t="s">
        <v>89</v>
      </c>
      <c r="C1" s="1555" t="s">
        <v>106</v>
      </c>
      <c r="D1" s="1555"/>
      <c r="E1" s="298">
        <v>7</v>
      </c>
      <c r="F1" s="1072" t="s">
        <v>702</v>
      </c>
      <c r="G1" s="1097">
        <v>5704</v>
      </c>
      <c r="H1" s="1072"/>
      <c r="I1" s="1072"/>
      <c r="J1" s="1098" t="s">
        <v>69</v>
      </c>
      <c r="K1" s="1098" t="s">
        <v>703</v>
      </c>
      <c r="L1" s="1252" t="s">
        <v>91</v>
      </c>
    </row>
    <row r="2" spans="1:14" ht="114" customHeight="1">
      <c r="A2" s="1525" t="s">
        <v>1529</v>
      </c>
      <c r="B2" s="1556"/>
      <c r="C2" s="1561" t="s">
        <v>1530</v>
      </c>
      <c r="D2" s="1562"/>
      <c r="E2" s="1562"/>
      <c r="F2" s="1562"/>
      <c r="G2" s="1562"/>
      <c r="H2" s="1562"/>
      <c r="I2" s="1563"/>
      <c r="J2" s="240" t="s">
        <v>707</v>
      </c>
      <c r="K2" s="1075" t="s">
        <v>1384</v>
      </c>
      <c r="L2" s="225"/>
    </row>
    <row r="3" spans="1:14" ht="51" customHeight="1">
      <c r="A3" s="1106" t="s">
        <v>709</v>
      </c>
      <c r="B3" s="1106" t="s">
        <v>710</v>
      </c>
      <c r="C3" s="118" t="s">
        <v>711</v>
      </c>
      <c r="D3" s="118" t="s">
        <v>712</v>
      </c>
      <c r="E3" s="118" t="s">
        <v>713</v>
      </c>
      <c r="F3" s="118" t="s">
        <v>714</v>
      </c>
      <c r="G3" s="119" t="s">
        <v>715</v>
      </c>
      <c r="H3" s="118" t="s">
        <v>716</v>
      </c>
      <c r="I3" s="118" t="s">
        <v>717</v>
      </c>
      <c r="J3" s="118" t="s">
        <v>718</v>
      </c>
      <c r="K3" s="118" t="s">
        <v>719</v>
      </c>
      <c r="L3" s="118" t="s">
        <v>720</v>
      </c>
    </row>
    <row r="4" spans="1:14" ht="36.75" customHeight="1">
      <c r="A4" s="1253" t="s">
        <v>1531</v>
      </c>
      <c r="B4" s="1081" t="s">
        <v>722</v>
      </c>
      <c r="C4" s="123" t="s">
        <v>48</v>
      </c>
      <c r="D4" s="123" t="s">
        <v>48</v>
      </c>
      <c r="E4" s="123" t="s">
        <v>48</v>
      </c>
      <c r="F4" s="123" t="s">
        <v>48</v>
      </c>
      <c r="G4" s="123" t="s">
        <v>48</v>
      </c>
      <c r="H4" s="123">
        <v>216</v>
      </c>
      <c r="I4" s="123" t="s">
        <v>723</v>
      </c>
      <c r="J4" s="123" t="s">
        <v>724</v>
      </c>
      <c r="K4" s="1559">
        <v>1</v>
      </c>
      <c r="L4" s="1557" t="s">
        <v>1532</v>
      </c>
    </row>
    <row r="5" spans="1:14" ht="36.75" customHeight="1">
      <c r="A5" s="1112" t="s">
        <v>1533</v>
      </c>
      <c r="B5" s="1103" t="s">
        <v>1534</v>
      </c>
      <c r="C5" s="146" t="s">
        <v>48</v>
      </c>
      <c r="D5" s="146">
        <v>0</v>
      </c>
      <c r="E5" s="146">
        <v>255</v>
      </c>
      <c r="F5" s="146" t="s">
        <v>1535</v>
      </c>
      <c r="G5" s="146">
        <v>255</v>
      </c>
      <c r="H5" s="146">
        <v>8</v>
      </c>
      <c r="I5" s="146" t="s">
        <v>743</v>
      </c>
      <c r="J5" s="146" t="s">
        <v>724</v>
      </c>
      <c r="K5" s="1559"/>
      <c r="L5" s="1557"/>
    </row>
    <row r="6" spans="1:14" ht="27.6" customHeight="1">
      <c r="A6" s="1100" t="s">
        <v>1536</v>
      </c>
      <c r="B6" s="1101" t="s">
        <v>1537</v>
      </c>
      <c r="C6" s="1254" t="s">
        <v>48</v>
      </c>
      <c r="D6" s="123" t="s">
        <v>48</v>
      </c>
      <c r="E6" s="123" t="s">
        <v>48</v>
      </c>
      <c r="F6" s="123" t="s">
        <v>48</v>
      </c>
      <c r="G6" s="123" t="s">
        <v>48</v>
      </c>
      <c r="H6" s="123">
        <v>8</v>
      </c>
      <c r="I6" s="123" t="s">
        <v>1538</v>
      </c>
      <c r="J6" s="123" t="s">
        <v>729</v>
      </c>
      <c r="K6" s="1560"/>
      <c r="L6" s="1558"/>
    </row>
    <row r="7" spans="1:14" ht="51.6">
      <c r="A7" s="1102" t="s">
        <v>1539</v>
      </c>
      <c r="B7" s="1103" t="s">
        <v>1540</v>
      </c>
      <c r="C7" s="1111" t="s">
        <v>48</v>
      </c>
      <c r="D7" s="1111" t="s">
        <v>48</v>
      </c>
      <c r="E7" s="1111" t="s">
        <v>48</v>
      </c>
      <c r="F7" s="1111" t="s">
        <v>48</v>
      </c>
      <c r="G7" s="1111" t="s">
        <v>48</v>
      </c>
      <c r="H7" s="146">
        <v>32</v>
      </c>
      <c r="I7" s="1111" t="s">
        <v>728</v>
      </c>
      <c r="J7" s="1160" t="s">
        <v>729</v>
      </c>
      <c r="K7" s="1553">
        <v>12</v>
      </c>
      <c r="L7" s="1554" t="s">
        <v>1541</v>
      </c>
    </row>
    <row r="8" spans="1:14" ht="15" customHeight="1">
      <c r="A8" s="1080" t="s">
        <v>1542</v>
      </c>
      <c r="B8" s="1081" t="s">
        <v>1543</v>
      </c>
      <c r="C8" s="1082" t="s">
        <v>48</v>
      </c>
      <c r="D8" s="1082" t="s">
        <v>48</v>
      </c>
      <c r="E8" s="1082" t="s">
        <v>48</v>
      </c>
      <c r="F8" s="1082" t="s">
        <v>48</v>
      </c>
      <c r="G8" s="1082" t="s">
        <v>48</v>
      </c>
      <c r="H8" s="123">
        <v>16</v>
      </c>
      <c r="I8" s="1082" t="s">
        <v>1544</v>
      </c>
      <c r="J8" s="1107" t="s">
        <v>729</v>
      </c>
      <c r="K8" s="1553"/>
      <c r="L8" s="1554"/>
    </row>
    <row r="9" spans="1:14" ht="41.5" customHeight="1">
      <c r="A9" s="1255" t="s">
        <v>1545</v>
      </c>
      <c r="B9" s="1078" t="s">
        <v>1546</v>
      </c>
      <c r="C9" s="1079" t="s">
        <v>48</v>
      </c>
      <c r="D9" s="1079" t="s">
        <v>48</v>
      </c>
      <c r="E9" s="1079" t="s">
        <v>48</v>
      </c>
      <c r="F9" s="1079" t="s">
        <v>48</v>
      </c>
      <c r="G9" s="1079" t="s">
        <v>48</v>
      </c>
      <c r="H9" s="146">
        <v>8</v>
      </c>
      <c r="I9" s="1079" t="s">
        <v>1547</v>
      </c>
      <c r="J9" s="1108" t="s">
        <v>729</v>
      </c>
      <c r="K9" s="1553"/>
      <c r="L9" s="1554"/>
    </row>
    <row r="10" spans="1:14" ht="163.5" customHeight="1">
      <c r="A10" s="1080" t="s">
        <v>1548</v>
      </c>
      <c r="B10" s="1081" t="s">
        <v>1549</v>
      </c>
      <c r="C10" s="1082" t="s">
        <v>48</v>
      </c>
      <c r="D10" s="1082">
        <v>1</v>
      </c>
      <c r="E10" s="1082">
        <v>255</v>
      </c>
      <c r="F10" s="1082" t="s">
        <v>1550</v>
      </c>
      <c r="G10" s="1082">
        <v>255</v>
      </c>
      <c r="H10" s="1082">
        <v>8</v>
      </c>
      <c r="I10" s="1082" t="s">
        <v>743</v>
      </c>
      <c r="J10" s="1107" t="s">
        <v>724</v>
      </c>
      <c r="K10" s="1553"/>
      <c r="L10" s="1554"/>
      <c r="N10" s="2"/>
    </row>
    <row r="11" spans="1:14" ht="69" customHeight="1">
      <c r="A11" s="1255" t="s">
        <v>1551</v>
      </c>
      <c r="B11" s="1078" t="s">
        <v>1552</v>
      </c>
      <c r="C11" s="1079" t="s">
        <v>919</v>
      </c>
      <c r="D11" s="1079">
        <v>0</v>
      </c>
      <c r="E11" s="1079" t="s">
        <v>920</v>
      </c>
      <c r="F11" s="1079" t="s">
        <v>1553</v>
      </c>
      <c r="G11" s="1079" t="s">
        <v>920</v>
      </c>
      <c r="H11" s="1079">
        <v>32</v>
      </c>
      <c r="I11" s="1079" t="s">
        <v>922</v>
      </c>
      <c r="J11" s="1108" t="s">
        <v>724</v>
      </c>
      <c r="K11" s="1553"/>
      <c r="L11" s="1554"/>
      <c r="N11" s="2"/>
    </row>
    <row r="12" spans="1:14" ht="39" customHeight="1">
      <c r="A12" s="998" t="s">
        <v>1554</v>
      </c>
      <c r="B12" s="935" t="s">
        <v>1555</v>
      </c>
      <c r="C12" s="936" t="s">
        <v>919</v>
      </c>
      <c r="D12" s="936">
        <v>0</v>
      </c>
      <c r="E12" s="936" t="s">
        <v>920</v>
      </c>
      <c r="F12" s="936" t="s">
        <v>1553</v>
      </c>
      <c r="G12" s="936" t="s">
        <v>920</v>
      </c>
      <c r="H12" s="1082">
        <v>32</v>
      </c>
      <c r="I12" s="1082" t="s">
        <v>922</v>
      </c>
      <c r="J12" s="1107" t="s">
        <v>729</v>
      </c>
      <c r="K12" s="1553"/>
      <c r="L12" s="1554"/>
      <c r="N12" s="2"/>
    </row>
    <row r="13" spans="1:14" ht="55.15" customHeight="1">
      <c r="A13" s="999" t="s">
        <v>1556</v>
      </c>
      <c r="B13" s="924" t="s">
        <v>1557</v>
      </c>
      <c r="C13" s="7" t="s">
        <v>919</v>
      </c>
      <c r="D13" s="7">
        <v>-50</v>
      </c>
      <c r="E13" s="7" t="s">
        <v>920</v>
      </c>
      <c r="F13" s="7" t="s">
        <v>1558</v>
      </c>
      <c r="G13" s="7" t="s">
        <v>920</v>
      </c>
      <c r="H13" s="1079">
        <v>32</v>
      </c>
      <c r="I13" s="1079" t="s">
        <v>922</v>
      </c>
      <c r="J13" s="1108" t="s">
        <v>724</v>
      </c>
      <c r="K13" s="1553"/>
      <c r="L13" s="1554"/>
      <c r="N13" s="2"/>
    </row>
    <row r="14" spans="1:14" ht="27.6" customHeight="1">
      <c r="A14" s="1080" t="s">
        <v>1559</v>
      </c>
      <c r="B14" s="1081" t="s">
        <v>1560</v>
      </c>
      <c r="C14" s="1082" t="s">
        <v>919</v>
      </c>
      <c r="D14" s="1082">
        <v>0</v>
      </c>
      <c r="E14" s="1082" t="s">
        <v>920</v>
      </c>
      <c r="F14" s="1082" t="s">
        <v>1561</v>
      </c>
      <c r="G14" s="1082" t="s">
        <v>920</v>
      </c>
      <c r="H14" s="1082">
        <v>32</v>
      </c>
      <c r="I14" s="1082" t="s">
        <v>922</v>
      </c>
      <c r="J14" s="1107" t="s">
        <v>729</v>
      </c>
      <c r="K14" s="1553"/>
      <c r="L14" s="1554"/>
    </row>
    <row r="15" spans="1:14" ht="41.5" customHeight="1">
      <c r="A15" s="1255" t="s">
        <v>1562</v>
      </c>
      <c r="B15" s="1078" t="s">
        <v>1563</v>
      </c>
      <c r="C15" s="1079" t="s">
        <v>919</v>
      </c>
      <c r="D15" s="1079">
        <v>0</v>
      </c>
      <c r="E15" s="1079" t="s">
        <v>920</v>
      </c>
      <c r="F15" s="1079" t="s">
        <v>1564</v>
      </c>
      <c r="G15" s="1079" t="s">
        <v>920</v>
      </c>
      <c r="H15" s="1079">
        <v>32</v>
      </c>
      <c r="I15" s="1079" t="s">
        <v>922</v>
      </c>
      <c r="J15" s="1108" t="s">
        <v>729</v>
      </c>
      <c r="K15" s="1553"/>
      <c r="L15" s="1554"/>
    </row>
    <row r="16" spans="1:14" ht="27.6" customHeight="1">
      <c r="A16" s="1080" t="s">
        <v>1565</v>
      </c>
      <c r="B16" s="1081" t="s">
        <v>1566</v>
      </c>
      <c r="C16" s="1082" t="s">
        <v>919</v>
      </c>
      <c r="D16" s="1082">
        <v>0</v>
      </c>
      <c r="E16" s="1082" t="s">
        <v>920</v>
      </c>
      <c r="F16" s="1082" t="s">
        <v>1564</v>
      </c>
      <c r="G16" s="1082" t="s">
        <v>920</v>
      </c>
      <c r="H16" s="1082">
        <v>32</v>
      </c>
      <c r="I16" s="1082" t="s">
        <v>922</v>
      </c>
      <c r="J16" s="1107" t="s">
        <v>729</v>
      </c>
      <c r="K16" s="1553"/>
      <c r="L16" s="1554"/>
    </row>
    <row r="17" spans="1:12" ht="27.6" customHeight="1">
      <c r="A17" s="1255" t="s">
        <v>1567</v>
      </c>
      <c r="B17" s="1078" t="s">
        <v>1568</v>
      </c>
      <c r="C17" s="1079" t="s">
        <v>919</v>
      </c>
      <c r="D17" s="1079">
        <v>0</v>
      </c>
      <c r="E17" s="1079" t="s">
        <v>920</v>
      </c>
      <c r="F17" s="1079" t="s">
        <v>1564</v>
      </c>
      <c r="G17" s="1079" t="s">
        <v>920</v>
      </c>
      <c r="H17" s="1079">
        <v>32</v>
      </c>
      <c r="I17" s="1079" t="s">
        <v>922</v>
      </c>
      <c r="J17" s="1108" t="s">
        <v>729</v>
      </c>
      <c r="K17" s="1553"/>
      <c r="L17" s="1554"/>
    </row>
    <row r="18" spans="1:12" ht="27.6" customHeight="1">
      <c r="A18" s="1080" t="s">
        <v>1569</v>
      </c>
      <c r="B18" s="1081" t="s">
        <v>1570</v>
      </c>
      <c r="C18" s="1082" t="s">
        <v>919</v>
      </c>
      <c r="D18" s="1082">
        <v>0</v>
      </c>
      <c r="E18" s="1082" t="s">
        <v>920</v>
      </c>
      <c r="F18" s="1082" t="s">
        <v>1564</v>
      </c>
      <c r="G18" s="1082" t="s">
        <v>920</v>
      </c>
      <c r="H18" s="1082">
        <v>32</v>
      </c>
      <c r="I18" s="1082" t="s">
        <v>922</v>
      </c>
      <c r="J18" s="1107" t="s">
        <v>729</v>
      </c>
      <c r="K18" s="1553"/>
      <c r="L18" s="1554"/>
    </row>
    <row r="19" spans="1:12" ht="37.5" customHeight="1">
      <c r="A19" s="1255" t="s">
        <v>1571</v>
      </c>
      <c r="B19" s="1078" t="s">
        <v>1572</v>
      </c>
      <c r="C19" s="1079" t="s">
        <v>919</v>
      </c>
      <c r="D19" s="1079">
        <v>-50</v>
      </c>
      <c r="E19" s="1079" t="s">
        <v>920</v>
      </c>
      <c r="F19" s="1079" t="s">
        <v>1558</v>
      </c>
      <c r="G19" s="1079" t="s">
        <v>920</v>
      </c>
      <c r="H19" s="1079">
        <v>32</v>
      </c>
      <c r="I19" s="1079" t="s">
        <v>922</v>
      </c>
      <c r="J19" s="1108" t="s">
        <v>729</v>
      </c>
      <c r="K19" s="1553"/>
      <c r="L19" s="1554"/>
    </row>
    <row r="20" spans="1:12" ht="40.5" customHeight="1">
      <c r="A20" s="998" t="s">
        <v>1573</v>
      </c>
      <c r="B20" s="1081" t="s">
        <v>1566</v>
      </c>
      <c r="C20" s="936" t="s">
        <v>919</v>
      </c>
      <c r="D20" s="1082">
        <v>0</v>
      </c>
      <c r="E20" s="936" t="s">
        <v>920</v>
      </c>
      <c r="F20" s="936" t="s">
        <v>1574</v>
      </c>
      <c r="G20" s="936" t="s">
        <v>920</v>
      </c>
      <c r="H20" s="1082">
        <v>32</v>
      </c>
      <c r="I20" s="1082" t="s">
        <v>922</v>
      </c>
      <c r="J20" s="1107" t="s">
        <v>729</v>
      </c>
      <c r="K20" s="1553"/>
      <c r="L20" s="1554"/>
    </row>
    <row r="21" spans="1:12" ht="55.15" customHeight="1">
      <c r="A21" s="1000" t="s">
        <v>1575</v>
      </c>
      <c r="B21" s="937" t="s">
        <v>1576</v>
      </c>
      <c r="C21" s="938" t="s">
        <v>48</v>
      </c>
      <c r="D21" s="938" t="s">
        <v>48</v>
      </c>
      <c r="E21" s="938" t="s">
        <v>48</v>
      </c>
      <c r="F21" s="938" t="s">
        <v>48</v>
      </c>
      <c r="G21" s="938" t="s">
        <v>48</v>
      </c>
      <c r="H21" s="146">
        <v>32</v>
      </c>
      <c r="I21" s="1079" t="s">
        <v>1577</v>
      </c>
      <c r="J21" s="1108" t="s">
        <v>729</v>
      </c>
      <c r="K21" s="1553"/>
      <c r="L21" s="1554"/>
    </row>
    <row r="22" spans="1:12" ht="101.25" customHeight="1">
      <c r="A22" s="864" t="s">
        <v>1578</v>
      </c>
      <c r="B22" s="1256" t="s">
        <v>1579</v>
      </c>
      <c r="C22" s="1257" t="s">
        <v>48</v>
      </c>
      <c r="D22" s="1257">
        <v>1</v>
      </c>
      <c r="E22" s="1257">
        <v>255</v>
      </c>
      <c r="F22" s="1257" t="s">
        <v>1580</v>
      </c>
      <c r="G22" s="1257">
        <v>255</v>
      </c>
      <c r="H22" s="1082">
        <v>8</v>
      </c>
      <c r="I22" s="1257" t="s">
        <v>743</v>
      </c>
      <c r="J22" s="1258" t="s">
        <v>729</v>
      </c>
      <c r="K22" s="1553"/>
      <c r="L22" s="1554"/>
    </row>
    <row r="23" spans="1:12">
      <c r="A23" s="1084" t="s">
        <v>1581</v>
      </c>
      <c r="B23" s="1259" t="s">
        <v>1582</v>
      </c>
      <c r="C23" s="1157" t="s">
        <v>48</v>
      </c>
      <c r="D23" s="1157" t="s">
        <v>48</v>
      </c>
      <c r="E23" s="1157" t="s">
        <v>48</v>
      </c>
      <c r="F23" s="1157" t="s">
        <v>48</v>
      </c>
      <c r="G23" s="1157" t="s">
        <v>48</v>
      </c>
      <c r="H23" s="146">
        <v>32</v>
      </c>
      <c r="I23" s="1079" t="s">
        <v>1583</v>
      </c>
      <c r="J23" s="1108" t="s">
        <v>729</v>
      </c>
      <c r="K23" s="1553"/>
      <c r="L23" s="1554"/>
    </row>
  </sheetData>
  <autoFilter ref="A3:L23" xr:uid="{DE8BDCEA-BC53-4597-971D-F8309AC6DF89}"/>
  <mergeCells count="7">
    <mergeCell ref="K7:K23"/>
    <mergeCell ref="L7:L23"/>
    <mergeCell ref="C1:D1"/>
    <mergeCell ref="A2:B2"/>
    <mergeCell ref="L4:L6"/>
    <mergeCell ref="K4:K6"/>
    <mergeCell ref="C2:I2"/>
  </mergeCells>
  <hyperlinks>
    <hyperlink ref="J1" location="'Revision Map'!A1" display="INDEX" xr:uid="{6CFD66CE-7EFA-4B0E-933C-778733190EB5}"/>
    <hyperlink ref="K1" location="'Cross-FCN_Definitions'!A1" display="Cross-FCN_Definitions" xr:uid="{353671C0-D635-4B3C-8882-F6B49035C101}"/>
    <hyperlink ref="L1" location="'AVI_Construction_Area_Debug'!A1" display="AVI_Construction_Area_Debug" xr:uid="{52AF4B5C-F11A-4721-8095-C01A5FEFCEA8}"/>
  </hyperlinks>
  <pageMargins left="0.7" right="0.7" top="0.75" bottom="0.75" header="0.3" footer="0.3"/>
  <headerFooter>
    <oddFooter>&amp;C_x000D_&amp;1#&amp;"Calibri"&amp;11&amp;KFF0000 Internal</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B00FDF-7BF5-425D-84DB-93F5AD15D7C5}">
  <sheetPr codeName="Sheet53"/>
  <dimension ref="A1:E52"/>
  <sheetViews>
    <sheetView workbookViewId="0">
      <pane ySplit="1" topLeftCell="A38" activePane="bottomLeft" state="frozen"/>
      <selection sqref="A1:AS1"/>
      <selection pane="bottomLeft" activeCell="B52" sqref="B52"/>
    </sheetView>
  </sheetViews>
  <sheetFormatPr defaultColWidth="9.15625" defaultRowHeight="14.4"/>
  <cols>
    <col min="1" max="1" width="11" style="1010" bestFit="1" customWidth="1"/>
    <col min="2" max="2" width="9.83984375" style="51" bestFit="1" customWidth="1"/>
    <col min="3" max="3" width="99.68359375" bestFit="1" customWidth="1"/>
    <col min="4" max="4" width="14.578125" bestFit="1" customWidth="1"/>
    <col min="5" max="5" width="10.83984375" bestFit="1" customWidth="1"/>
  </cols>
  <sheetData>
    <row r="1" spans="1:5">
      <c r="A1" s="1010" t="s">
        <v>644</v>
      </c>
      <c r="B1" s="51" t="s">
        <v>645</v>
      </c>
      <c r="C1" t="s">
        <v>646</v>
      </c>
      <c r="D1" t="s">
        <v>647</v>
      </c>
      <c r="E1" t="s">
        <v>793</v>
      </c>
    </row>
    <row r="2" spans="1:5" ht="28.8">
      <c r="A2" s="1010" t="s">
        <v>655</v>
      </c>
      <c r="B2" s="51">
        <v>44335</v>
      </c>
      <c r="C2" s="576" t="s">
        <v>1584</v>
      </c>
      <c r="D2" s="5" t="s">
        <v>658</v>
      </c>
      <c r="E2" s="5" t="s">
        <v>655</v>
      </c>
    </row>
    <row r="3" spans="1:5">
      <c r="A3" s="1010" t="s">
        <v>655</v>
      </c>
      <c r="B3" s="51">
        <v>44335</v>
      </c>
      <c r="C3" s="5" t="s">
        <v>1585</v>
      </c>
      <c r="D3" s="5" t="s">
        <v>658</v>
      </c>
      <c r="E3" s="5" t="s">
        <v>655</v>
      </c>
    </row>
    <row r="4" spans="1:5">
      <c r="A4" s="1010">
        <v>1</v>
      </c>
      <c r="B4" s="51">
        <v>44335</v>
      </c>
      <c r="C4" s="5"/>
      <c r="D4" s="5" t="s">
        <v>658</v>
      </c>
      <c r="E4" s="5" t="s">
        <v>651</v>
      </c>
    </row>
    <row r="5" spans="1:5">
      <c r="A5" s="1010">
        <v>1</v>
      </c>
      <c r="B5" s="51">
        <v>44341</v>
      </c>
      <c r="C5" s="5"/>
      <c r="D5" s="5" t="s">
        <v>654</v>
      </c>
      <c r="E5" s="5" t="s">
        <v>661</v>
      </c>
    </row>
    <row r="6" spans="1:5">
      <c r="A6" s="1010">
        <v>1</v>
      </c>
      <c r="B6" s="51">
        <v>44452</v>
      </c>
      <c r="C6" s="5" t="s">
        <v>1345</v>
      </c>
      <c r="D6" s="5" t="s">
        <v>654</v>
      </c>
      <c r="E6" s="5" t="s">
        <v>661</v>
      </c>
    </row>
    <row r="7" spans="1:5" ht="43.2">
      <c r="A7" s="1010">
        <v>1.1000000000000001</v>
      </c>
      <c r="B7" s="188">
        <v>44662</v>
      </c>
      <c r="C7" s="584" t="s">
        <v>1586</v>
      </c>
      <c r="D7" s="585" t="s">
        <v>658</v>
      </c>
      <c r="E7" s="586" t="s">
        <v>655</v>
      </c>
    </row>
    <row r="8" spans="1:5" ht="219" customHeight="1">
      <c r="A8" s="1010">
        <v>1.2</v>
      </c>
      <c r="B8" s="51">
        <v>44664</v>
      </c>
      <c r="C8" s="576" t="s">
        <v>1587</v>
      </c>
      <c r="D8" s="5" t="s">
        <v>683</v>
      </c>
      <c r="E8" s="5" t="s">
        <v>655</v>
      </c>
    </row>
    <row r="9" spans="1:5" ht="86.4">
      <c r="A9" s="1010">
        <v>1.2</v>
      </c>
      <c r="B9" s="188">
        <v>44664</v>
      </c>
      <c r="C9" s="584" t="s">
        <v>1588</v>
      </c>
      <c r="D9" s="585" t="s">
        <v>683</v>
      </c>
      <c r="E9" s="586" t="s">
        <v>655</v>
      </c>
    </row>
    <row r="10" spans="1:5">
      <c r="A10" s="1010">
        <v>1.2</v>
      </c>
      <c r="B10" s="51">
        <v>44697</v>
      </c>
      <c r="C10" s="576" t="s">
        <v>999</v>
      </c>
      <c r="D10" s="5" t="s">
        <v>654</v>
      </c>
      <c r="E10" s="5" t="s">
        <v>655</v>
      </c>
    </row>
    <row r="11" spans="1:5" ht="57.6">
      <c r="A11" s="1010">
        <v>1.3</v>
      </c>
      <c r="B11" s="191">
        <v>44667</v>
      </c>
      <c r="C11" s="592" t="s">
        <v>1589</v>
      </c>
      <c r="D11" s="5"/>
      <c r="E11" s="5"/>
    </row>
    <row r="12" spans="1:5">
      <c r="A12" s="1010">
        <v>1.3</v>
      </c>
      <c r="B12" s="51">
        <v>44697</v>
      </c>
      <c r="C12" s="582" t="s">
        <v>1590</v>
      </c>
      <c r="D12" s="5" t="s">
        <v>654</v>
      </c>
      <c r="E12" s="5" t="s">
        <v>655</v>
      </c>
    </row>
    <row r="13" spans="1:5">
      <c r="A13" s="1010">
        <v>1.4</v>
      </c>
      <c r="B13" s="191">
        <v>44667</v>
      </c>
      <c r="C13" s="5" t="s">
        <v>1591</v>
      </c>
      <c r="D13" s="5" t="s">
        <v>683</v>
      </c>
      <c r="E13" s="5" t="s">
        <v>655</v>
      </c>
    </row>
    <row r="14" spans="1:5">
      <c r="A14" s="1010">
        <v>1.4</v>
      </c>
      <c r="B14" s="51">
        <v>44698</v>
      </c>
      <c r="C14" s="5" t="s">
        <v>999</v>
      </c>
      <c r="D14" s="5" t="s">
        <v>654</v>
      </c>
      <c r="E14" s="5" t="s">
        <v>655</v>
      </c>
    </row>
    <row r="15" spans="1:5" ht="28.8">
      <c r="A15" s="1010">
        <v>1.5</v>
      </c>
      <c r="B15" s="51">
        <v>44698</v>
      </c>
      <c r="C15" s="576" t="s">
        <v>1592</v>
      </c>
      <c r="D15" s="5" t="s">
        <v>683</v>
      </c>
      <c r="E15" s="5" t="s">
        <v>655</v>
      </c>
    </row>
    <row r="16" spans="1:5">
      <c r="A16" s="1010">
        <v>1.5</v>
      </c>
      <c r="B16" s="51">
        <v>44698</v>
      </c>
      <c r="C16" s="5" t="s">
        <v>1590</v>
      </c>
      <c r="D16" s="5" t="s">
        <v>654</v>
      </c>
      <c r="E16" s="5" t="s">
        <v>655</v>
      </c>
    </row>
    <row r="17" spans="1:5">
      <c r="A17" s="1010">
        <v>1.6</v>
      </c>
      <c r="B17" s="51">
        <v>44706</v>
      </c>
      <c r="C17" s="5" t="s">
        <v>1593</v>
      </c>
      <c r="D17" s="5" t="s">
        <v>683</v>
      </c>
      <c r="E17" s="5" t="s">
        <v>655</v>
      </c>
    </row>
    <row r="18" spans="1:5">
      <c r="A18" s="1010">
        <v>1.6</v>
      </c>
      <c r="B18" s="51">
        <v>44706</v>
      </c>
      <c r="C18" s="5" t="s">
        <v>1594</v>
      </c>
      <c r="D18" s="5" t="s">
        <v>658</v>
      </c>
      <c r="E18" s="5" t="s">
        <v>655</v>
      </c>
    </row>
    <row r="19" spans="1:5">
      <c r="A19" s="1010">
        <v>2</v>
      </c>
      <c r="B19" s="51">
        <v>44706</v>
      </c>
      <c r="C19" s="576" t="s">
        <v>1359</v>
      </c>
      <c r="D19" s="5" t="s">
        <v>683</v>
      </c>
      <c r="E19" s="5" t="s">
        <v>651</v>
      </c>
    </row>
    <row r="20" spans="1:5">
      <c r="A20" s="1010">
        <v>2</v>
      </c>
      <c r="B20" s="51">
        <v>44719</v>
      </c>
      <c r="C20" s="5" t="s">
        <v>660</v>
      </c>
      <c r="D20" s="5" t="s">
        <v>654</v>
      </c>
      <c r="E20" s="5" t="s">
        <v>661</v>
      </c>
    </row>
    <row r="21" spans="1:5">
      <c r="A21" s="1010">
        <v>2</v>
      </c>
      <c r="B21" s="51">
        <v>44735</v>
      </c>
      <c r="C21" s="5" t="s">
        <v>1595</v>
      </c>
      <c r="D21" s="5" t="s">
        <v>683</v>
      </c>
      <c r="E21" s="5" t="s">
        <v>651</v>
      </c>
    </row>
    <row r="22" spans="1:5">
      <c r="A22" s="1010">
        <v>2</v>
      </c>
      <c r="B22" s="51">
        <v>44742</v>
      </c>
      <c r="C22" s="5" t="s">
        <v>667</v>
      </c>
      <c r="D22" s="5" t="s">
        <v>654</v>
      </c>
      <c r="E22" s="5" t="s">
        <v>661</v>
      </c>
    </row>
    <row r="23" spans="1:5">
      <c r="A23" s="1010">
        <v>2</v>
      </c>
      <c r="B23" s="51">
        <v>44789</v>
      </c>
      <c r="C23" s="5" t="s">
        <v>1596</v>
      </c>
      <c r="D23" s="5" t="s">
        <v>796</v>
      </c>
      <c r="E23" s="5"/>
    </row>
    <row r="24" spans="1:5">
      <c r="A24" s="1010">
        <v>2</v>
      </c>
      <c r="B24" s="51">
        <v>44796</v>
      </c>
      <c r="C24" s="5" t="s">
        <v>1597</v>
      </c>
      <c r="D24" s="5" t="s">
        <v>654</v>
      </c>
      <c r="E24" s="5"/>
    </row>
    <row r="25" spans="1:5" ht="28.8">
      <c r="A25" s="1010">
        <v>2.1</v>
      </c>
      <c r="B25" s="51">
        <v>44895</v>
      </c>
      <c r="C25" s="576" t="s">
        <v>1363</v>
      </c>
      <c r="D25" s="5" t="s">
        <v>683</v>
      </c>
      <c r="E25" s="5" t="s">
        <v>655</v>
      </c>
    </row>
    <row r="26" spans="1:5" ht="100.8">
      <c r="A26" s="1010">
        <v>2.2000000000000002</v>
      </c>
      <c r="B26" s="51">
        <v>44897</v>
      </c>
      <c r="C26" s="576" t="s">
        <v>1598</v>
      </c>
      <c r="D26" s="5" t="s">
        <v>683</v>
      </c>
      <c r="E26" s="5" t="s">
        <v>655</v>
      </c>
    </row>
    <row r="27" spans="1:5">
      <c r="A27" s="1010">
        <v>2.2000000000000002</v>
      </c>
      <c r="B27" s="51">
        <v>44901</v>
      </c>
      <c r="C27" s="5" t="s">
        <v>1599</v>
      </c>
      <c r="D27" s="5" t="s">
        <v>676</v>
      </c>
      <c r="E27" s="5" t="s">
        <v>655</v>
      </c>
    </row>
    <row r="28" spans="1:5" ht="28.8">
      <c r="A28" s="1010">
        <v>2.2999999999999998</v>
      </c>
      <c r="B28" s="51">
        <v>44903</v>
      </c>
      <c r="C28" s="576" t="s">
        <v>1600</v>
      </c>
      <c r="D28" s="5" t="s">
        <v>683</v>
      </c>
      <c r="E28" s="5" t="s">
        <v>655</v>
      </c>
    </row>
    <row r="29" spans="1:5">
      <c r="A29" s="1010">
        <v>2.2999999999999998</v>
      </c>
      <c r="B29" s="188">
        <v>44903</v>
      </c>
      <c r="C29" s="576" t="s">
        <v>1601</v>
      </c>
      <c r="D29" s="5" t="s">
        <v>676</v>
      </c>
      <c r="E29" s="5" t="s">
        <v>655</v>
      </c>
    </row>
    <row r="30" spans="1:5">
      <c r="A30" s="1010">
        <v>2.2999999999999998</v>
      </c>
      <c r="B30" s="51">
        <v>44937</v>
      </c>
      <c r="C30" s="593" t="s">
        <v>677</v>
      </c>
      <c r="D30" s="5" t="s">
        <v>678</v>
      </c>
      <c r="E30" s="5" t="s">
        <v>655</v>
      </c>
    </row>
    <row r="31" spans="1:5">
      <c r="A31" s="1010">
        <v>2.4</v>
      </c>
      <c r="B31" s="51">
        <v>44945</v>
      </c>
      <c r="C31" s="594" t="s">
        <v>1373</v>
      </c>
      <c r="D31" s="595" t="s">
        <v>1001</v>
      </c>
      <c r="E31" s="596" t="s">
        <v>655</v>
      </c>
    </row>
    <row r="32" spans="1:5">
      <c r="A32" s="1010">
        <v>2.4</v>
      </c>
      <c r="B32" s="51">
        <v>44953</v>
      </c>
      <c r="C32" s="5" t="s">
        <v>1602</v>
      </c>
      <c r="D32" s="5" t="s">
        <v>658</v>
      </c>
      <c r="E32" s="5" t="s">
        <v>655</v>
      </c>
    </row>
    <row r="33" spans="1:5">
      <c r="A33" s="1010">
        <v>3</v>
      </c>
      <c r="B33" s="51">
        <v>44956</v>
      </c>
      <c r="C33" s="5" t="s">
        <v>1603</v>
      </c>
      <c r="D33" s="5" t="s">
        <v>683</v>
      </c>
      <c r="E33" s="5" t="s">
        <v>651</v>
      </c>
    </row>
    <row r="34" spans="1:5">
      <c r="A34" s="1010">
        <v>3</v>
      </c>
      <c r="B34" s="51">
        <v>44957</v>
      </c>
      <c r="C34" s="5" t="s">
        <v>687</v>
      </c>
      <c r="D34" s="5" t="s">
        <v>676</v>
      </c>
      <c r="E34" s="5" t="s">
        <v>661</v>
      </c>
    </row>
    <row r="35" spans="1:5" ht="43.2">
      <c r="A35" s="1010">
        <v>3.1</v>
      </c>
      <c r="B35" s="51">
        <v>44966</v>
      </c>
      <c r="C35" s="576" t="s">
        <v>1604</v>
      </c>
      <c r="D35" s="5" t="s">
        <v>683</v>
      </c>
      <c r="E35" s="5" t="s">
        <v>655</v>
      </c>
    </row>
    <row r="36" spans="1:5" ht="57.6">
      <c r="A36" s="1010">
        <v>3.2</v>
      </c>
      <c r="B36" s="51">
        <v>44967</v>
      </c>
      <c r="C36" s="576" t="s">
        <v>1605</v>
      </c>
      <c r="D36" s="5" t="s">
        <v>683</v>
      </c>
      <c r="E36" s="5" t="s">
        <v>655</v>
      </c>
    </row>
    <row r="37" spans="1:5">
      <c r="A37" s="1010">
        <v>3.2</v>
      </c>
      <c r="B37" s="51">
        <v>44971</v>
      </c>
      <c r="C37" s="5" t="s">
        <v>1606</v>
      </c>
      <c r="D37" s="5" t="s">
        <v>658</v>
      </c>
      <c r="E37" s="5" t="s">
        <v>655</v>
      </c>
    </row>
    <row r="38" spans="1:5">
      <c r="A38" s="1010">
        <v>3.3</v>
      </c>
      <c r="B38" s="51">
        <v>44971</v>
      </c>
      <c r="C38" s="5" t="s">
        <v>1607</v>
      </c>
      <c r="D38" s="5" t="s">
        <v>683</v>
      </c>
      <c r="E38" s="5" t="s">
        <v>655</v>
      </c>
    </row>
    <row r="39" spans="1:5">
      <c r="A39" s="1010">
        <v>3.3</v>
      </c>
      <c r="B39" s="51">
        <v>44971</v>
      </c>
      <c r="C39" s="5" t="s">
        <v>1608</v>
      </c>
      <c r="D39" s="5" t="s">
        <v>658</v>
      </c>
      <c r="E39" s="5" t="s">
        <v>655</v>
      </c>
    </row>
    <row r="40" spans="1:5">
      <c r="A40" s="1010">
        <v>4</v>
      </c>
      <c r="B40" s="51">
        <v>44971</v>
      </c>
      <c r="C40" s="5" t="s">
        <v>1603</v>
      </c>
      <c r="D40" s="5" t="s">
        <v>683</v>
      </c>
      <c r="E40" s="5" t="s">
        <v>651</v>
      </c>
    </row>
    <row r="41" spans="1:5">
      <c r="A41" s="1010">
        <v>4.0999999999999996</v>
      </c>
      <c r="B41" s="51">
        <v>44973</v>
      </c>
      <c r="C41" s="576" t="s">
        <v>1609</v>
      </c>
      <c r="D41" s="5" t="s">
        <v>658</v>
      </c>
      <c r="E41" s="5" t="s">
        <v>655</v>
      </c>
    </row>
    <row r="42" spans="1:5">
      <c r="A42" s="1010">
        <v>4.0999999999999996</v>
      </c>
      <c r="B42" s="51">
        <v>44973</v>
      </c>
      <c r="C42" s="5" t="s">
        <v>815</v>
      </c>
      <c r="D42" s="5" t="s">
        <v>676</v>
      </c>
      <c r="E42" s="5" t="s">
        <v>655</v>
      </c>
    </row>
    <row r="43" spans="1:5">
      <c r="A43" s="1010">
        <v>5</v>
      </c>
      <c r="B43" s="51">
        <v>44973</v>
      </c>
      <c r="C43" s="5" t="s">
        <v>1603</v>
      </c>
      <c r="D43" s="5" t="s">
        <v>658</v>
      </c>
      <c r="E43" s="5" t="s">
        <v>651</v>
      </c>
    </row>
    <row r="44" spans="1:5">
      <c r="A44" s="1010">
        <v>5</v>
      </c>
      <c r="B44" s="51">
        <v>44973</v>
      </c>
      <c r="C44" s="576" t="s">
        <v>691</v>
      </c>
      <c r="D44" s="5" t="s">
        <v>676</v>
      </c>
      <c r="E44" s="5" t="s">
        <v>661</v>
      </c>
    </row>
    <row r="45" spans="1:5">
      <c r="A45" s="1010">
        <v>6</v>
      </c>
      <c r="B45" s="51">
        <v>44993</v>
      </c>
      <c r="C45" s="5" t="s">
        <v>1610</v>
      </c>
      <c r="D45" s="5" t="s">
        <v>683</v>
      </c>
      <c r="E45" s="5" t="s">
        <v>651</v>
      </c>
    </row>
    <row r="46" spans="1:5">
      <c r="A46" s="1010">
        <v>6</v>
      </c>
      <c r="B46" s="191">
        <v>44998</v>
      </c>
      <c r="C46" s="576" t="s">
        <v>692</v>
      </c>
      <c r="D46" s="5" t="s">
        <v>678</v>
      </c>
      <c r="E46" s="5" t="s">
        <v>661</v>
      </c>
    </row>
    <row r="47" spans="1:5">
      <c r="A47" s="1010">
        <v>6.1</v>
      </c>
      <c r="B47" s="51">
        <v>45077</v>
      </c>
      <c r="C47" s="576" t="s">
        <v>1611</v>
      </c>
      <c r="D47" s="5" t="s">
        <v>1612</v>
      </c>
      <c r="E47" s="5" t="s">
        <v>655</v>
      </c>
    </row>
    <row r="48" spans="1:5">
      <c r="A48" s="1010">
        <v>6.1</v>
      </c>
      <c r="B48" s="51">
        <v>45077</v>
      </c>
      <c r="C48" s="5" t="s">
        <v>1613</v>
      </c>
      <c r="D48" s="5" t="s">
        <v>658</v>
      </c>
      <c r="E48" s="5" t="s">
        <v>655</v>
      </c>
    </row>
    <row r="49" spans="1:5">
      <c r="A49" s="1010">
        <v>7</v>
      </c>
      <c r="B49" s="51">
        <v>45077</v>
      </c>
      <c r="C49" s="5" t="s">
        <v>1614</v>
      </c>
      <c r="D49" s="5" t="s">
        <v>658</v>
      </c>
      <c r="E49" s="5" t="s">
        <v>651</v>
      </c>
    </row>
    <row r="50" spans="1:5">
      <c r="A50" s="1010" t="s">
        <v>1452</v>
      </c>
      <c r="B50" s="191">
        <v>45078</v>
      </c>
      <c r="C50" s="5" t="s">
        <v>699</v>
      </c>
      <c r="D50" s="5" t="s">
        <v>678</v>
      </c>
      <c r="E50" s="5" t="s">
        <v>661</v>
      </c>
    </row>
    <row r="51" spans="1:5">
      <c r="A51" s="1010" t="s">
        <v>1452</v>
      </c>
      <c r="B51" s="191">
        <v>45097</v>
      </c>
      <c r="C51" s="5" t="s">
        <v>700</v>
      </c>
      <c r="D51" s="5" t="s">
        <v>678</v>
      </c>
      <c r="E51" s="5" t="s">
        <v>661</v>
      </c>
    </row>
    <row r="52" spans="1:5">
      <c r="A52" s="1010" t="s">
        <v>1452</v>
      </c>
      <c r="B52" s="1065">
        <v>45205</v>
      </c>
      <c r="C52" s="595" t="s">
        <v>701</v>
      </c>
      <c r="D52" s="595" t="s">
        <v>678</v>
      </c>
      <c r="E52" s="596" t="s">
        <v>661</v>
      </c>
    </row>
  </sheetData>
  <pageMargins left="0.7" right="0.7" top="0.75" bottom="0.75" header="0.3" footer="0.3"/>
  <headerFooter>
    <oddFooter>&amp;C_x000D_&amp;1#&amp;"Calibri"&amp;11&amp;KFF0000 Internal</oddFooter>
  </headerFooter>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C2460-6EE6-4C6B-8948-60F2B7959B22}">
  <sheetPr codeName="Sheet4"/>
  <dimension ref="A1:L6"/>
  <sheetViews>
    <sheetView workbookViewId="0">
      <selection activeCell="C2" sqref="C2:I2"/>
    </sheetView>
  </sheetViews>
  <sheetFormatPr defaultColWidth="9.15625" defaultRowHeight="14.4"/>
  <cols>
    <col min="1" max="1" width="34.68359375" customWidth="1"/>
    <col min="2" max="2" width="35.68359375" customWidth="1"/>
    <col min="6" max="6" width="17.41796875" customWidth="1"/>
    <col min="9" max="9" width="28.578125" customWidth="1"/>
    <col min="10" max="10" width="14" bestFit="1" customWidth="1"/>
    <col min="11" max="11" width="22.578125" customWidth="1"/>
    <col min="12" max="12" width="31.15625" customWidth="1"/>
  </cols>
  <sheetData>
    <row r="1" spans="1:12">
      <c r="A1" s="336" t="s">
        <v>104</v>
      </c>
      <c r="B1" s="339" t="s">
        <v>91</v>
      </c>
      <c r="C1" s="1564" t="s">
        <v>106</v>
      </c>
      <c r="D1" s="1565"/>
      <c r="E1" s="337">
        <v>4</v>
      </c>
      <c r="F1" s="1086" t="s">
        <v>702</v>
      </c>
      <c r="G1" s="1087">
        <v>1096</v>
      </c>
      <c r="H1" s="1086"/>
      <c r="I1" s="1086"/>
      <c r="J1" s="1092" t="s">
        <v>69</v>
      </c>
      <c r="K1" s="1092" t="s">
        <v>703</v>
      </c>
      <c r="L1" s="1252" t="s">
        <v>89</v>
      </c>
    </row>
    <row r="2" spans="1:12" ht="186" customHeight="1">
      <c r="A2" s="1566" t="s">
        <v>1615</v>
      </c>
      <c r="B2" s="1567"/>
      <c r="C2" s="1550" t="s">
        <v>1457</v>
      </c>
      <c r="D2" s="1551"/>
      <c r="E2" s="1551"/>
      <c r="F2" s="1551"/>
      <c r="G2" s="1551"/>
      <c r="H2" s="1551"/>
      <c r="I2" s="1552"/>
      <c r="J2" s="240" t="s">
        <v>707</v>
      </c>
      <c r="K2" s="1089" t="s">
        <v>1384</v>
      </c>
      <c r="L2" s="225"/>
    </row>
    <row r="3" spans="1:12">
      <c r="A3" s="1090" t="s">
        <v>709</v>
      </c>
      <c r="B3" s="1091" t="s">
        <v>710</v>
      </c>
      <c r="C3" s="80" t="s">
        <v>711</v>
      </c>
      <c r="D3" s="80" t="s">
        <v>712</v>
      </c>
      <c r="E3" s="80" t="s">
        <v>713</v>
      </c>
      <c r="F3" s="80" t="s">
        <v>714</v>
      </c>
      <c r="G3" s="344" t="s">
        <v>715</v>
      </c>
      <c r="H3" s="80" t="s">
        <v>716</v>
      </c>
      <c r="I3" s="80" t="s">
        <v>717</v>
      </c>
      <c r="J3" s="53" t="s">
        <v>718</v>
      </c>
      <c r="K3" s="338" t="s">
        <v>719</v>
      </c>
      <c r="L3" s="80" t="s">
        <v>720</v>
      </c>
    </row>
    <row r="4" spans="1:12" ht="28.8">
      <c r="A4" s="1001" t="s">
        <v>1616</v>
      </c>
      <c r="B4" s="1001" t="s">
        <v>722</v>
      </c>
      <c r="C4" s="418" t="s">
        <v>48</v>
      </c>
      <c r="D4" s="418" t="s">
        <v>48</v>
      </c>
      <c r="E4" s="418" t="s">
        <v>48</v>
      </c>
      <c r="F4" s="418" t="s">
        <v>48</v>
      </c>
      <c r="G4" s="418" t="s">
        <v>48</v>
      </c>
      <c r="H4" s="418">
        <v>216</v>
      </c>
      <c r="I4" s="418" t="s">
        <v>723</v>
      </c>
      <c r="J4" s="345" t="s">
        <v>724</v>
      </c>
      <c r="K4" s="1568">
        <v>1</v>
      </c>
      <c r="L4" s="1570" t="s">
        <v>1617</v>
      </c>
    </row>
    <row r="5" spans="1:12" ht="28.8">
      <c r="A5" s="360" t="s">
        <v>1618</v>
      </c>
      <c r="B5" s="359" t="s">
        <v>1619</v>
      </c>
      <c r="C5" s="345" t="s">
        <v>48</v>
      </c>
      <c r="D5" s="345">
        <v>0</v>
      </c>
      <c r="E5" s="345">
        <v>65535</v>
      </c>
      <c r="F5" s="345" t="s">
        <v>1620</v>
      </c>
      <c r="G5" s="345">
        <v>65535</v>
      </c>
      <c r="H5" s="346">
        <v>16</v>
      </c>
      <c r="I5" s="347" t="s">
        <v>991</v>
      </c>
      <c r="J5" s="348" t="s">
        <v>729</v>
      </c>
      <c r="K5" s="1569"/>
      <c r="L5" s="1571"/>
    </row>
    <row r="6" spans="1:12" ht="28.8">
      <c r="A6" s="358" t="s">
        <v>1621</v>
      </c>
      <c r="B6" s="359" t="s">
        <v>1622</v>
      </c>
      <c r="C6" s="345" t="s">
        <v>48</v>
      </c>
      <c r="D6" s="345" t="s">
        <v>48</v>
      </c>
      <c r="E6" s="345" t="s">
        <v>48</v>
      </c>
      <c r="F6" s="345" t="s">
        <v>48</v>
      </c>
      <c r="G6" s="345" t="s">
        <v>48</v>
      </c>
      <c r="H6" s="345">
        <v>72</v>
      </c>
      <c r="I6" s="345" t="s">
        <v>1623</v>
      </c>
      <c r="J6" s="348" t="s">
        <v>729</v>
      </c>
      <c r="K6" s="353">
        <v>12</v>
      </c>
      <c r="L6" s="354" t="s">
        <v>1624</v>
      </c>
    </row>
  </sheetData>
  <mergeCells count="5">
    <mergeCell ref="C1:D1"/>
    <mergeCell ref="A2:B2"/>
    <mergeCell ref="C2:I2"/>
    <mergeCell ref="K4:K5"/>
    <mergeCell ref="L4:L5"/>
  </mergeCells>
  <conditionalFormatting sqref="B6:J6 C5:J5">
    <cfRule type="expression" dxfId="607" priority="3">
      <formula>MOD(ROW(), 2)=0</formula>
    </cfRule>
  </conditionalFormatting>
  <conditionalFormatting sqref="K4">
    <cfRule type="expression" dxfId="606" priority="2">
      <formula>MOD(ROW(), 2)=0</formula>
    </cfRule>
  </conditionalFormatting>
  <conditionalFormatting sqref="J4">
    <cfRule type="expression" dxfId="605" priority="1">
      <formula>MOD(ROW(), 2)=0</formula>
    </cfRule>
  </conditionalFormatting>
  <hyperlinks>
    <hyperlink ref="J1" location="'Revision Map'!A1" display="INDEX" xr:uid="{69E235F2-106A-4825-AD78-DE3022D61AEE}"/>
    <hyperlink ref="K1" location="'Cross-FCN_Definitions'!A1" display="Cross-FCN_Definitions" xr:uid="{EB98597D-94D5-469C-9792-9636F5F6CEF0}"/>
    <hyperlink ref="L1" location="'AVI_Construction_Area'!A1" display="AVI_Construction_Area" xr:uid="{6347FAFB-5D05-433D-B8D6-AE333A1DEB97}"/>
  </hyperlinks>
  <pageMargins left="0.7" right="0.7" top="0.75" bottom="0.75" header="0.3" footer="0.3"/>
  <headerFooter>
    <oddFooter>&amp;C_x000D_&amp;1#&amp;"Calibri"&amp;11&amp;KFF0000 Internal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B2BD2-7273-4893-947C-080C0780F656}">
  <sheetPr codeName="Sheet32"/>
  <dimension ref="A1:E22"/>
  <sheetViews>
    <sheetView topLeftCell="A13" workbookViewId="0">
      <selection activeCell="B22" sqref="B22"/>
    </sheetView>
  </sheetViews>
  <sheetFormatPr defaultColWidth="9.15625" defaultRowHeight="14.4"/>
  <cols>
    <col min="1" max="1" width="11" style="1014" bestFit="1" customWidth="1"/>
    <col min="2" max="2" width="12" customWidth="1"/>
    <col min="3" max="3" width="51" bestFit="1" customWidth="1"/>
    <col min="4" max="4" width="20.41796875" customWidth="1"/>
    <col min="5" max="5" width="11.578125" bestFit="1" customWidth="1"/>
  </cols>
  <sheetData>
    <row r="1" spans="1:5">
      <c r="A1" s="670" t="s">
        <v>644</v>
      </c>
      <c r="B1" s="642" t="s">
        <v>645</v>
      </c>
      <c r="C1" s="643" t="s">
        <v>646</v>
      </c>
      <c r="D1" s="643" t="s">
        <v>647</v>
      </c>
      <c r="E1" s="644" t="s">
        <v>793</v>
      </c>
    </row>
    <row r="2" spans="1:5" ht="15" customHeight="1">
      <c r="A2" s="628">
        <v>0.1</v>
      </c>
      <c r="B2" s="356">
        <v>44944</v>
      </c>
      <c r="C2" s="589" t="s">
        <v>1625</v>
      </c>
      <c r="D2" s="590" t="s">
        <v>678</v>
      </c>
      <c r="E2" s="591" t="s">
        <v>655</v>
      </c>
    </row>
    <row r="3" spans="1:5">
      <c r="A3" s="1010">
        <v>0.2</v>
      </c>
      <c r="B3" s="51">
        <v>44945</v>
      </c>
      <c r="C3" s="584" t="s">
        <v>1373</v>
      </c>
      <c r="D3" s="585" t="s">
        <v>1001</v>
      </c>
      <c r="E3" s="586" t="s">
        <v>655</v>
      </c>
    </row>
    <row r="4" spans="1:5">
      <c r="A4" s="628">
        <v>0.2</v>
      </c>
      <c r="B4" s="356">
        <v>44950</v>
      </c>
      <c r="C4" s="589" t="s">
        <v>1626</v>
      </c>
      <c r="D4" s="590" t="s">
        <v>1627</v>
      </c>
      <c r="E4" s="591" t="s">
        <v>655</v>
      </c>
    </row>
    <row r="5" spans="1:5" ht="86.4">
      <c r="A5" s="1010">
        <v>0.3</v>
      </c>
      <c r="B5" s="51">
        <v>44953</v>
      </c>
      <c r="C5" s="576" t="s">
        <v>1628</v>
      </c>
      <c r="D5" s="585" t="s">
        <v>678</v>
      </c>
      <c r="E5" s="586" t="s">
        <v>655</v>
      </c>
    </row>
    <row r="6" spans="1:5">
      <c r="A6" s="628">
        <v>0.3</v>
      </c>
      <c r="B6" s="356">
        <v>44953</v>
      </c>
      <c r="C6" s="589" t="s">
        <v>1629</v>
      </c>
      <c r="D6" s="590" t="s">
        <v>658</v>
      </c>
      <c r="E6" s="591" t="s">
        <v>655</v>
      </c>
    </row>
    <row r="7" spans="1:5">
      <c r="A7" s="1010">
        <v>1</v>
      </c>
      <c r="B7" s="51">
        <v>44956</v>
      </c>
      <c r="C7" s="585" t="s">
        <v>1603</v>
      </c>
      <c r="D7" s="5" t="s">
        <v>683</v>
      </c>
      <c r="E7" s="5" t="s">
        <v>651</v>
      </c>
    </row>
    <row r="8" spans="1:5">
      <c r="A8" s="1010">
        <v>1</v>
      </c>
      <c r="B8" s="51">
        <v>44957</v>
      </c>
      <c r="C8" s="5" t="s">
        <v>687</v>
      </c>
      <c r="D8" s="5" t="s">
        <v>676</v>
      </c>
      <c r="E8" s="5" t="s">
        <v>661</v>
      </c>
    </row>
    <row r="9" spans="1:5">
      <c r="A9" s="1010">
        <v>1</v>
      </c>
      <c r="B9" s="51">
        <v>44970</v>
      </c>
      <c r="C9" s="2" t="s">
        <v>691</v>
      </c>
      <c r="D9" s="5" t="s">
        <v>676</v>
      </c>
      <c r="E9" s="5" t="s">
        <v>661</v>
      </c>
    </row>
    <row r="10" spans="1:5" ht="100.8">
      <c r="A10" s="1010">
        <v>1.1000000000000001</v>
      </c>
      <c r="B10" s="51">
        <v>44987</v>
      </c>
      <c r="C10" s="2" t="s">
        <v>1630</v>
      </c>
      <c r="D10" t="s">
        <v>683</v>
      </c>
      <c r="E10" t="s">
        <v>655</v>
      </c>
    </row>
    <row r="11" spans="1:5" ht="28.8">
      <c r="A11" s="1010">
        <v>1.2</v>
      </c>
      <c r="B11" s="51">
        <v>45141</v>
      </c>
      <c r="C11" s="2" t="s">
        <v>1631</v>
      </c>
      <c r="D11" t="s">
        <v>697</v>
      </c>
      <c r="E11" t="s">
        <v>655</v>
      </c>
    </row>
    <row r="12" spans="1:5">
      <c r="A12" s="1010">
        <v>1.2</v>
      </c>
      <c r="B12" s="51">
        <v>44993</v>
      </c>
      <c r="C12" t="s">
        <v>1632</v>
      </c>
      <c r="D12" t="s">
        <v>683</v>
      </c>
      <c r="E12" t="s">
        <v>655</v>
      </c>
    </row>
    <row r="13" spans="1:5">
      <c r="A13" s="1010">
        <v>2</v>
      </c>
      <c r="B13" s="51">
        <v>44992</v>
      </c>
      <c r="C13" s="576" t="s">
        <v>1610</v>
      </c>
      <c r="D13" s="5" t="s">
        <v>697</v>
      </c>
      <c r="E13" s="5" t="s">
        <v>651</v>
      </c>
    </row>
    <row r="14" spans="1:5">
      <c r="A14" s="1010">
        <v>2</v>
      </c>
      <c r="B14" s="191">
        <v>44998</v>
      </c>
      <c r="C14" s="2" t="s">
        <v>692</v>
      </c>
      <c r="D14" s="5" t="s">
        <v>678</v>
      </c>
      <c r="E14" s="5" t="s">
        <v>661</v>
      </c>
    </row>
    <row r="15" spans="1:5" ht="28.8">
      <c r="A15" s="1010">
        <v>2.1</v>
      </c>
      <c r="B15" s="51">
        <v>45077</v>
      </c>
      <c r="C15" s="2" t="s">
        <v>1633</v>
      </c>
      <c r="D15" t="s">
        <v>683</v>
      </c>
      <c r="E15" t="s">
        <v>655</v>
      </c>
    </row>
    <row r="16" spans="1:5">
      <c r="A16" s="1010">
        <v>2.1</v>
      </c>
      <c r="B16" s="51">
        <v>45077</v>
      </c>
      <c r="C16" t="s">
        <v>1613</v>
      </c>
      <c r="D16" t="s">
        <v>658</v>
      </c>
      <c r="E16" t="s">
        <v>655</v>
      </c>
    </row>
    <row r="17" spans="1:5">
      <c r="A17" s="1010">
        <v>3</v>
      </c>
      <c r="B17" s="51">
        <v>45077</v>
      </c>
      <c r="C17" t="s">
        <v>1614</v>
      </c>
      <c r="D17" t="s">
        <v>658</v>
      </c>
      <c r="E17" t="s">
        <v>651</v>
      </c>
    </row>
    <row r="18" spans="1:5">
      <c r="A18" s="1010" t="s">
        <v>666</v>
      </c>
      <c r="B18" s="191">
        <v>45078</v>
      </c>
      <c r="C18" s="5" t="s">
        <v>699</v>
      </c>
      <c r="D18" s="5" t="s">
        <v>678</v>
      </c>
      <c r="E18" s="5" t="s">
        <v>661</v>
      </c>
    </row>
    <row r="19" spans="1:5">
      <c r="A19" s="629" t="s">
        <v>817</v>
      </c>
      <c r="B19" s="188">
        <v>45097</v>
      </c>
      <c r="C19" s="5" t="s">
        <v>818</v>
      </c>
      <c r="D19" s="5" t="s">
        <v>678</v>
      </c>
      <c r="E19" s="586" t="s">
        <v>655</v>
      </c>
    </row>
    <row r="20" spans="1:5">
      <c r="A20" s="629" t="s">
        <v>686</v>
      </c>
      <c r="B20" s="188">
        <v>45097</v>
      </c>
      <c r="C20" t="s">
        <v>1614</v>
      </c>
      <c r="D20" s="5" t="s">
        <v>678</v>
      </c>
      <c r="E20" s="5" t="s">
        <v>651</v>
      </c>
    </row>
    <row r="21" spans="1:5">
      <c r="A21" s="1012" t="s">
        <v>686</v>
      </c>
      <c r="B21" s="191">
        <v>45097</v>
      </c>
      <c r="C21" s="5" t="s">
        <v>700</v>
      </c>
      <c r="D21" s="5" t="s">
        <v>678</v>
      </c>
      <c r="E21" s="5" t="s">
        <v>661</v>
      </c>
    </row>
    <row r="22" spans="1:5">
      <c r="A22" s="1012" t="s">
        <v>686</v>
      </c>
      <c r="B22" s="1065">
        <v>45205</v>
      </c>
      <c r="C22" s="595" t="s">
        <v>701</v>
      </c>
      <c r="D22" s="595" t="s">
        <v>678</v>
      </c>
      <c r="E22" s="596" t="s">
        <v>661</v>
      </c>
    </row>
  </sheetData>
  <pageMargins left="0.7" right="0.7" top="0.75" bottom="0.75" header="0.3" footer="0.3"/>
  <headerFooter>
    <oddFooter>&amp;C_x000D_&amp;1#&amp;"Calibri"&amp;11&amp;KFF0000 Internal</oddFooter>
  </headerFooter>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14A45-710F-4093-BD2D-A6E1A56AB12F}">
  <sheetPr codeName="Sheet47"/>
  <dimension ref="A1:L54"/>
  <sheetViews>
    <sheetView zoomScaleNormal="100" workbookViewId="0">
      <pane ySplit="3" topLeftCell="A4" activePane="bottomLeft" state="frozen"/>
      <selection activeCell="J3" sqref="J3"/>
      <selection pane="bottomLeft" activeCell="C2" sqref="C2:I2"/>
    </sheetView>
  </sheetViews>
  <sheetFormatPr defaultColWidth="9.15625" defaultRowHeight="14.4"/>
  <cols>
    <col min="1" max="1" width="27.578125" customWidth="1"/>
    <col min="2" max="2" width="50.15625" customWidth="1"/>
    <col min="3" max="3" width="12.15625" bestFit="1" customWidth="1"/>
    <col min="5" max="5" width="12.26171875" bestFit="1" customWidth="1"/>
    <col min="6" max="6" width="24.15625" bestFit="1" customWidth="1"/>
    <col min="7" max="7" width="15.41796875" bestFit="1" customWidth="1"/>
    <col min="8" max="8" width="12.26171875" bestFit="1" customWidth="1"/>
    <col min="9" max="9" width="24" bestFit="1" customWidth="1"/>
    <col min="10" max="10" width="18.68359375" customWidth="1"/>
    <col min="11" max="11" width="21.68359375" bestFit="1" customWidth="1"/>
    <col min="12" max="12" width="22.41796875" bestFit="1" customWidth="1"/>
  </cols>
  <sheetData>
    <row r="1" spans="1:12" ht="16.899999999999999" customHeight="1">
      <c r="A1" s="24" t="s">
        <v>104</v>
      </c>
      <c r="B1" s="24" t="s">
        <v>1634</v>
      </c>
      <c r="C1" s="1572" t="s">
        <v>106</v>
      </c>
      <c r="D1" s="1572"/>
      <c r="E1" s="1240">
        <v>9</v>
      </c>
      <c r="F1" s="1072" t="s">
        <v>702</v>
      </c>
      <c r="G1" s="1071">
        <v>504</v>
      </c>
      <c r="H1" s="1072"/>
      <c r="I1" s="1072"/>
      <c r="J1" s="1098" t="s">
        <v>69</v>
      </c>
      <c r="K1" s="1098" t="s">
        <v>703</v>
      </c>
      <c r="L1" s="1098" t="s">
        <v>1635</v>
      </c>
    </row>
    <row r="2" spans="1:12" ht="169.5" customHeight="1">
      <c r="A2" s="1531" t="s">
        <v>1456</v>
      </c>
      <c r="B2" s="1532"/>
      <c r="C2" s="1550" t="s">
        <v>1457</v>
      </c>
      <c r="D2" s="1551"/>
      <c r="E2" s="1551"/>
      <c r="F2" s="1551"/>
      <c r="G2" s="1551"/>
      <c r="H2" s="1551"/>
      <c r="I2" s="1552"/>
      <c r="J2" s="240" t="s">
        <v>707</v>
      </c>
      <c r="K2" s="1075" t="s">
        <v>1384</v>
      </c>
      <c r="L2" s="222"/>
    </row>
    <row r="3" spans="1:12">
      <c r="A3" s="121" t="s">
        <v>709</v>
      </c>
      <c r="B3" s="122" t="s">
        <v>710</v>
      </c>
      <c r="C3" s="122" t="s">
        <v>711</v>
      </c>
      <c r="D3" s="122" t="s">
        <v>712</v>
      </c>
      <c r="E3" s="122" t="s">
        <v>713</v>
      </c>
      <c r="F3" s="122" t="s">
        <v>714</v>
      </c>
      <c r="G3" s="122" t="s">
        <v>715</v>
      </c>
      <c r="H3" s="122" t="s">
        <v>716</v>
      </c>
      <c r="I3" s="122" t="s">
        <v>717</v>
      </c>
      <c r="J3" s="118" t="s">
        <v>718</v>
      </c>
      <c r="K3" s="118" t="s">
        <v>719</v>
      </c>
      <c r="L3" s="122" t="s">
        <v>720</v>
      </c>
    </row>
    <row r="4" spans="1:12">
      <c r="A4" s="953" t="s">
        <v>1636</v>
      </c>
      <c r="B4" s="953" t="s">
        <v>722</v>
      </c>
      <c r="C4" s="123" t="s">
        <v>48</v>
      </c>
      <c r="D4" s="123" t="s">
        <v>48</v>
      </c>
      <c r="E4" s="123" t="s">
        <v>48</v>
      </c>
      <c r="F4" s="123" t="s">
        <v>48</v>
      </c>
      <c r="G4" s="123" t="s">
        <v>48</v>
      </c>
      <c r="H4" s="123">
        <v>216</v>
      </c>
      <c r="I4" s="159" t="s">
        <v>723</v>
      </c>
      <c r="J4" s="1083" t="s">
        <v>724</v>
      </c>
      <c r="K4" s="1578">
        <v>1</v>
      </c>
      <c r="L4" s="1558" t="s">
        <v>1637</v>
      </c>
    </row>
    <row r="5" spans="1:12">
      <c r="A5" s="954" t="s">
        <v>1638</v>
      </c>
      <c r="B5" s="954" t="s">
        <v>1639</v>
      </c>
      <c r="C5" s="147" t="s">
        <v>48</v>
      </c>
      <c r="D5" s="147" t="s">
        <v>48</v>
      </c>
      <c r="E5" s="147" t="s">
        <v>48</v>
      </c>
      <c r="F5" s="147" t="s">
        <v>48</v>
      </c>
      <c r="G5" s="147" t="s">
        <v>48</v>
      </c>
      <c r="H5" s="146">
        <v>32</v>
      </c>
      <c r="I5" s="148" t="s">
        <v>1640</v>
      </c>
      <c r="J5" s="1085" t="s">
        <v>729</v>
      </c>
      <c r="K5" s="1579"/>
      <c r="L5" s="1581"/>
    </row>
    <row r="6" spans="1:12" ht="25.8">
      <c r="A6" s="955" t="s">
        <v>1641</v>
      </c>
      <c r="B6" s="955" t="s">
        <v>1642</v>
      </c>
      <c r="C6" s="149" t="s">
        <v>48</v>
      </c>
      <c r="D6" s="149" t="s">
        <v>48</v>
      </c>
      <c r="E6" s="149" t="s">
        <v>48</v>
      </c>
      <c r="F6" s="149" t="s">
        <v>48</v>
      </c>
      <c r="G6" s="149" t="s">
        <v>48</v>
      </c>
      <c r="H6" s="150">
        <v>8</v>
      </c>
      <c r="I6" s="241" t="s">
        <v>1643</v>
      </c>
      <c r="J6" s="1190" t="s">
        <v>729</v>
      </c>
      <c r="K6" s="1579"/>
      <c r="L6" s="1581"/>
    </row>
    <row r="7" spans="1:12" ht="25.8">
      <c r="A7" s="954" t="s">
        <v>1644</v>
      </c>
      <c r="B7" s="954" t="s">
        <v>1645</v>
      </c>
      <c r="C7" s="146" t="s">
        <v>48</v>
      </c>
      <c r="D7" s="146" t="s">
        <v>48</v>
      </c>
      <c r="E7" s="146" t="s">
        <v>48</v>
      </c>
      <c r="F7" s="146" t="s">
        <v>48</v>
      </c>
      <c r="G7" s="146" t="s">
        <v>48</v>
      </c>
      <c r="H7" s="146">
        <v>104</v>
      </c>
      <c r="I7" s="148" t="s">
        <v>1646</v>
      </c>
      <c r="J7" s="1085" t="s">
        <v>724</v>
      </c>
      <c r="K7" s="1579"/>
      <c r="L7" s="1581"/>
    </row>
    <row r="8" spans="1:12">
      <c r="A8" s="955" t="s">
        <v>1647</v>
      </c>
      <c r="B8" s="955" t="s">
        <v>1648</v>
      </c>
      <c r="C8" s="149" t="s">
        <v>48</v>
      </c>
      <c r="D8" s="149" t="s">
        <v>48</v>
      </c>
      <c r="E8" s="149" t="s">
        <v>48</v>
      </c>
      <c r="F8" s="149" t="s">
        <v>48</v>
      </c>
      <c r="G8" s="149" t="s">
        <v>48</v>
      </c>
      <c r="H8" s="150">
        <v>8</v>
      </c>
      <c r="I8" s="241" t="s">
        <v>1643</v>
      </c>
      <c r="J8" s="1190" t="s">
        <v>724</v>
      </c>
      <c r="K8" s="1579"/>
      <c r="L8" s="1581"/>
    </row>
    <row r="9" spans="1:12">
      <c r="A9" s="954" t="s">
        <v>1649</v>
      </c>
      <c r="B9" s="954" t="s">
        <v>1650</v>
      </c>
      <c r="C9" s="146" t="s">
        <v>48</v>
      </c>
      <c r="D9" s="146" t="s">
        <v>48</v>
      </c>
      <c r="E9" s="146" t="s">
        <v>48</v>
      </c>
      <c r="F9" s="146" t="s">
        <v>48</v>
      </c>
      <c r="G9" s="146" t="s">
        <v>48</v>
      </c>
      <c r="H9" s="146">
        <v>8</v>
      </c>
      <c r="I9" s="148" t="s">
        <v>1643</v>
      </c>
      <c r="J9" s="1085" t="s">
        <v>724</v>
      </c>
      <c r="K9" s="1579"/>
      <c r="L9" s="1581"/>
    </row>
    <row r="10" spans="1:12">
      <c r="A10" s="955" t="s">
        <v>1651</v>
      </c>
      <c r="B10" s="955" t="s">
        <v>1652</v>
      </c>
      <c r="C10" s="149" t="s">
        <v>48</v>
      </c>
      <c r="D10" s="149" t="s">
        <v>48</v>
      </c>
      <c r="E10" s="149" t="s">
        <v>48</v>
      </c>
      <c r="F10" s="149" t="s">
        <v>48</v>
      </c>
      <c r="G10" s="149" t="s">
        <v>48</v>
      </c>
      <c r="H10" s="150">
        <v>8</v>
      </c>
      <c r="I10" s="262" t="s">
        <v>1643</v>
      </c>
      <c r="J10" s="262" t="s">
        <v>729</v>
      </c>
      <c r="K10" s="1579"/>
      <c r="L10" s="1581"/>
    </row>
    <row r="11" spans="1:12" ht="121.5" customHeight="1">
      <c r="A11" s="954" t="s">
        <v>1653</v>
      </c>
      <c r="B11" s="954" t="s">
        <v>1654</v>
      </c>
      <c r="C11" s="146" t="s">
        <v>48</v>
      </c>
      <c r="D11" s="146">
        <v>0</v>
      </c>
      <c r="E11" s="146">
        <v>65535</v>
      </c>
      <c r="F11" s="146" t="s">
        <v>1655</v>
      </c>
      <c r="G11" s="146" t="s">
        <v>1656</v>
      </c>
      <c r="H11" s="146">
        <v>16</v>
      </c>
      <c r="I11" s="1095" t="s">
        <v>991</v>
      </c>
      <c r="J11" s="1085" t="s">
        <v>729</v>
      </c>
      <c r="K11" s="1580"/>
      <c r="L11" s="1582"/>
    </row>
    <row r="12" spans="1:12" ht="25.8">
      <c r="A12" s="955" t="s">
        <v>1657</v>
      </c>
      <c r="B12" s="956" t="s">
        <v>1658</v>
      </c>
      <c r="C12" s="149" t="s">
        <v>48</v>
      </c>
      <c r="D12" s="149" t="s">
        <v>48</v>
      </c>
      <c r="E12" s="149" t="s">
        <v>48</v>
      </c>
      <c r="F12" s="149" t="s">
        <v>48</v>
      </c>
      <c r="G12" s="149" t="s">
        <v>48</v>
      </c>
      <c r="H12" s="149">
        <v>32</v>
      </c>
      <c r="I12" s="151" t="s">
        <v>728</v>
      </c>
      <c r="J12" s="1190" t="s">
        <v>729</v>
      </c>
      <c r="K12" s="1573">
        <v>1</v>
      </c>
      <c r="L12" s="1575" t="s">
        <v>1659</v>
      </c>
    </row>
    <row r="13" spans="1:12" ht="25.8">
      <c r="A13" s="954" t="s">
        <v>1660</v>
      </c>
      <c r="B13" s="954" t="s">
        <v>1661</v>
      </c>
      <c r="C13" s="146" t="s">
        <v>48</v>
      </c>
      <c r="D13" s="146">
        <v>0</v>
      </c>
      <c r="E13" s="146">
        <v>1</v>
      </c>
      <c r="F13" s="146" t="s">
        <v>1055</v>
      </c>
      <c r="G13" s="146">
        <v>0</v>
      </c>
      <c r="H13" s="146">
        <v>8</v>
      </c>
      <c r="I13" s="148" t="s">
        <v>1056</v>
      </c>
      <c r="J13" s="1085" t="s">
        <v>729</v>
      </c>
      <c r="K13" s="1574"/>
      <c r="L13" s="1576"/>
    </row>
    <row r="14" spans="1:12" ht="25.8">
      <c r="A14" s="955" t="s">
        <v>1662</v>
      </c>
      <c r="B14" s="955" t="s">
        <v>1663</v>
      </c>
      <c r="C14" s="149" t="s">
        <v>48</v>
      </c>
      <c r="D14" s="149" t="s">
        <v>48</v>
      </c>
      <c r="E14" s="149" t="s">
        <v>48</v>
      </c>
      <c r="F14" s="149" t="s">
        <v>48</v>
      </c>
      <c r="G14" s="149" t="s">
        <v>48</v>
      </c>
      <c r="H14" s="150">
        <v>8</v>
      </c>
      <c r="I14" s="241" t="s">
        <v>1643</v>
      </c>
      <c r="J14" s="1190" t="s">
        <v>724</v>
      </c>
      <c r="K14" s="1574"/>
      <c r="L14" s="1576"/>
    </row>
    <row r="15" spans="1:12">
      <c r="A15" s="954" t="s">
        <v>1664</v>
      </c>
      <c r="B15" s="954" t="s">
        <v>1665</v>
      </c>
      <c r="C15" s="146" t="s">
        <v>48</v>
      </c>
      <c r="D15" s="146" t="s">
        <v>48</v>
      </c>
      <c r="E15" s="146" t="s">
        <v>48</v>
      </c>
      <c r="F15" s="146" t="s">
        <v>48</v>
      </c>
      <c r="G15" s="146" t="s">
        <v>48</v>
      </c>
      <c r="H15" s="146">
        <v>8</v>
      </c>
      <c r="I15" s="148" t="s">
        <v>1643</v>
      </c>
      <c r="J15" s="1085" t="s">
        <v>724</v>
      </c>
      <c r="K15" s="1574"/>
      <c r="L15" s="1576"/>
    </row>
    <row r="16" spans="1:12">
      <c r="A16" s="955" t="s">
        <v>1666</v>
      </c>
      <c r="B16" s="955" t="s">
        <v>1667</v>
      </c>
      <c r="C16" s="149" t="s">
        <v>48</v>
      </c>
      <c r="D16" s="149" t="s">
        <v>48</v>
      </c>
      <c r="E16" s="149" t="s">
        <v>48</v>
      </c>
      <c r="F16" s="149" t="s">
        <v>48</v>
      </c>
      <c r="G16" s="149" t="s">
        <v>48</v>
      </c>
      <c r="H16" s="150">
        <v>8</v>
      </c>
      <c r="I16" s="241" t="s">
        <v>1643</v>
      </c>
      <c r="J16" s="1190" t="s">
        <v>724</v>
      </c>
      <c r="K16" s="1574"/>
      <c r="L16" s="1576"/>
    </row>
    <row r="17" spans="1:12" ht="38.700000000000003">
      <c r="A17" s="954" t="s">
        <v>1668</v>
      </c>
      <c r="B17" s="954" t="s">
        <v>1669</v>
      </c>
      <c r="C17" s="146" t="s">
        <v>48</v>
      </c>
      <c r="D17" s="146" t="s">
        <v>48</v>
      </c>
      <c r="E17" s="146" t="s">
        <v>48</v>
      </c>
      <c r="F17" s="146" t="s">
        <v>48</v>
      </c>
      <c r="G17" s="146" t="s">
        <v>48</v>
      </c>
      <c r="H17" s="146">
        <v>8</v>
      </c>
      <c r="I17" s="148" t="s">
        <v>1643</v>
      </c>
      <c r="J17" s="1085" t="s">
        <v>724</v>
      </c>
      <c r="K17" s="1574"/>
      <c r="L17" s="1576"/>
    </row>
    <row r="18" spans="1:12">
      <c r="A18" s="955" t="s">
        <v>1670</v>
      </c>
      <c r="B18" s="955" t="s">
        <v>1671</v>
      </c>
      <c r="C18" s="149" t="s">
        <v>48</v>
      </c>
      <c r="D18" s="149" t="s">
        <v>48</v>
      </c>
      <c r="E18" s="149" t="s">
        <v>48</v>
      </c>
      <c r="F18" s="149" t="s">
        <v>48</v>
      </c>
      <c r="G18" s="149" t="s">
        <v>48</v>
      </c>
      <c r="H18" s="150">
        <v>8</v>
      </c>
      <c r="I18" s="241" t="s">
        <v>1643</v>
      </c>
      <c r="J18" s="1190" t="s">
        <v>724</v>
      </c>
      <c r="K18" s="1574"/>
      <c r="L18" s="1576"/>
    </row>
    <row r="19" spans="1:12" ht="38.700000000000003">
      <c r="A19" s="954" t="s">
        <v>1672</v>
      </c>
      <c r="B19" s="954" t="s">
        <v>1673</v>
      </c>
      <c r="C19" s="146" t="s">
        <v>48</v>
      </c>
      <c r="D19" s="146" t="s">
        <v>48</v>
      </c>
      <c r="E19" s="146" t="s">
        <v>48</v>
      </c>
      <c r="F19" s="146" t="s">
        <v>48</v>
      </c>
      <c r="G19" s="146" t="s">
        <v>48</v>
      </c>
      <c r="H19" s="146">
        <v>8</v>
      </c>
      <c r="I19" s="148" t="s">
        <v>1643</v>
      </c>
      <c r="J19" s="1085" t="s">
        <v>724</v>
      </c>
      <c r="K19" s="1574"/>
      <c r="L19" s="1576"/>
    </row>
    <row r="20" spans="1:12" ht="25.8">
      <c r="A20" s="955" t="s">
        <v>1674</v>
      </c>
      <c r="B20" s="955" t="s">
        <v>1675</v>
      </c>
      <c r="C20" s="149" t="s">
        <v>48</v>
      </c>
      <c r="D20" s="149" t="s">
        <v>48</v>
      </c>
      <c r="E20" s="149" t="s">
        <v>48</v>
      </c>
      <c r="F20" s="149" t="s">
        <v>48</v>
      </c>
      <c r="G20" s="149" t="s">
        <v>48</v>
      </c>
      <c r="H20" s="150">
        <v>8</v>
      </c>
      <c r="I20" s="241" t="s">
        <v>1643</v>
      </c>
      <c r="J20" s="1190" t="s">
        <v>724</v>
      </c>
      <c r="K20" s="1574"/>
      <c r="L20" s="1576"/>
    </row>
    <row r="21" spans="1:12">
      <c r="A21" s="954" t="s">
        <v>1676</v>
      </c>
      <c r="B21" s="954" t="s">
        <v>1677</v>
      </c>
      <c r="C21" s="146" t="s">
        <v>48</v>
      </c>
      <c r="D21" s="146" t="s">
        <v>48</v>
      </c>
      <c r="E21" s="146" t="s">
        <v>48</v>
      </c>
      <c r="F21" s="146" t="s">
        <v>48</v>
      </c>
      <c r="G21" s="146" t="s">
        <v>48</v>
      </c>
      <c r="H21" s="146">
        <v>8</v>
      </c>
      <c r="I21" s="148" t="s">
        <v>1643</v>
      </c>
      <c r="J21" s="1085" t="s">
        <v>724</v>
      </c>
      <c r="K21" s="1574"/>
      <c r="L21" s="1577"/>
    </row>
    <row r="22" spans="1:12">
      <c r="A22" s="21"/>
      <c r="B22" s="21"/>
      <c r="C22" s="21"/>
      <c r="D22" s="21"/>
      <c r="E22" s="21"/>
      <c r="F22" s="21"/>
      <c r="G22" s="21"/>
      <c r="H22" s="20"/>
      <c r="I22" s="21"/>
      <c r="J22" s="21"/>
      <c r="K22" s="21"/>
      <c r="L22" s="21"/>
    </row>
    <row r="23" spans="1:12">
      <c r="A23" s="21"/>
      <c r="B23" s="21"/>
      <c r="C23" s="21"/>
      <c r="D23" s="21"/>
      <c r="E23" s="21"/>
      <c r="F23" s="21"/>
      <c r="G23" s="21"/>
      <c r="H23" s="20"/>
      <c r="I23" s="21"/>
      <c r="J23" s="21"/>
      <c r="K23" s="21"/>
      <c r="L23" s="21"/>
    </row>
    <row r="24" spans="1:12">
      <c r="A24" s="21"/>
      <c r="B24" s="21"/>
      <c r="C24" s="21"/>
      <c r="D24" s="21"/>
      <c r="E24" s="21"/>
      <c r="F24" s="21"/>
      <c r="G24" s="21"/>
      <c r="H24" s="20"/>
      <c r="I24" s="21"/>
      <c r="J24" s="21"/>
      <c r="K24" s="21"/>
      <c r="L24" s="21"/>
    </row>
    <row r="25" spans="1:12">
      <c r="A25" s="21"/>
      <c r="B25" s="21"/>
      <c r="C25" s="21"/>
      <c r="D25" s="21"/>
      <c r="E25" s="21"/>
      <c r="F25" s="21"/>
      <c r="G25" s="21"/>
      <c r="H25" s="20"/>
      <c r="I25" s="21"/>
      <c r="J25" s="21"/>
      <c r="K25" s="21"/>
      <c r="L25" s="21"/>
    </row>
    <row r="26" spans="1:12">
      <c r="A26" s="21"/>
      <c r="B26" s="21"/>
      <c r="C26" s="21"/>
      <c r="D26" s="21"/>
      <c r="E26" s="21"/>
      <c r="F26" s="21"/>
      <c r="G26" s="21"/>
      <c r="H26" s="20"/>
      <c r="I26" s="21"/>
      <c r="J26" s="21"/>
      <c r="K26" s="21"/>
      <c r="L26" s="21"/>
    </row>
    <row r="27" spans="1:12">
      <c r="A27" s="21"/>
      <c r="B27" s="21"/>
      <c r="C27" s="21"/>
      <c r="D27" s="21"/>
      <c r="E27" s="21"/>
      <c r="F27" s="21"/>
      <c r="G27" s="21"/>
      <c r="H27" s="20"/>
      <c r="I27" s="21"/>
      <c r="J27" s="21"/>
      <c r="K27" s="21"/>
      <c r="L27" s="21"/>
    </row>
    <row r="28" spans="1:12">
      <c r="A28" s="21"/>
      <c r="B28" s="21"/>
      <c r="C28" s="21"/>
      <c r="D28" s="21"/>
      <c r="E28" s="21"/>
      <c r="F28" s="21"/>
      <c r="G28" s="21"/>
      <c r="H28" s="20"/>
      <c r="I28" s="21"/>
      <c r="J28" s="21"/>
      <c r="K28" s="21"/>
      <c r="L28" s="21"/>
    </row>
    <row r="29" spans="1:12">
      <c r="A29" s="21"/>
      <c r="B29" s="21"/>
      <c r="C29" s="21"/>
      <c r="D29" s="21"/>
      <c r="E29" s="21"/>
      <c r="F29" s="21"/>
      <c r="G29" s="21"/>
      <c r="H29" s="20"/>
      <c r="I29" s="21"/>
      <c r="J29" s="21"/>
      <c r="K29" s="21"/>
      <c r="L29" s="21"/>
    </row>
    <row r="30" spans="1:12">
      <c r="A30" s="21"/>
      <c r="B30" s="21"/>
      <c r="C30" s="21"/>
      <c r="D30" s="21"/>
      <c r="E30" s="21"/>
      <c r="F30" s="21"/>
      <c r="G30" s="21"/>
      <c r="H30" s="20"/>
      <c r="I30" s="21"/>
      <c r="J30" s="21"/>
      <c r="K30" s="21"/>
      <c r="L30" s="21"/>
    </row>
    <row r="31" spans="1:12">
      <c r="A31" s="21"/>
      <c r="B31" s="21"/>
      <c r="C31" s="21"/>
      <c r="D31" s="21"/>
      <c r="E31" s="21"/>
      <c r="F31" s="21"/>
      <c r="G31" s="21"/>
      <c r="H31" s="20"/>
      <c r="I31" s="21"/>
      <c r="J31" s="21"/>
      <c r="K31" s="21"/>
      <c r="L31" s="21"/>
    </row>
    <row r="32" spans="1:12">
      <c r="A32" s="21"/>
      <c r="B32" s="21"/>
      <c r="C32" s="21"/>
      <c r="D32" s="21"/>
      <c r="E32" s="21"/>
      <c r="F32" s="21"/>
      <c r="G32" s="21"/>
      <c r="H32" s="20"/>
      <c r="I32" s="21"/>
      <c r="J32" s="21"/>
      <c r="K32" s="21"/>
      <c r="L32" s="21"/>
    </row>
    <row r="33" spans="1:12">
      <c r="A33" s="21"/>
      <c r="B33" s="21"/>
      <c r="C33" s="21"/>
      <c r="D33" s="21"/>
      <c r="E33" s="21"/>
      <c r="F33" s="21"/>
      <c r="G33" s="21"/>
      <c r="H33" s="20"/>
      <c r="I33" s="21"/>
      <c r="J33" s="21"/>
      <c r="K33" s="21"/>
      <c r="L33" s="21"/>
    </row>
    <row r="34" spans="1:12">
      <c r="A34" s="21"/>
      <c r="B34" s="21"/>
      <c r="C34" s="21"/>
      <c r="D34" s="21"/>
      <c r="E34" s="21"/>
      <c r="F34" s="21"/>
      <c r="G34" s="21"/>
      <c r="H34" s="20"/>
      <c r="I34" s="21"/>
      <c r="J34" s="21"/>
      <c r="K34" s="21"/>
      <c r="L34" s="21"/>
    </row>
    <row r="35" spans="1:12">
      <c r="A35" s="21"/>
      <c r="B35" s="21"/>
      <c r="C35" s="21"/>
      <c r="D35" s="21"/>
      <c r="E35" s="21"/>
      <c r="F35" s="21"/>
      <c r="G35" s="21"/>
      <c r="H35" s="20"/>
      <c r="I35" s="21"/>
      <c r="J35" s="21"/>
      <c r="K35" s="21"/>
      <c r="L35" s="21"/>
    </row>
    <row r="36" spans="1:12">
      <c r="A36" s="21"/>
      <c r="B36" s="21"/>
      <c r="C36" s="21"/>
      <c r="D36" s="21"/>
      <c r="E36" s="21"/>
      <c r="F36" s="21"/>
      <c r="G36" s="21"/>
      <c r="H36" s="20"/>
      <c r="I36" s="21"/>
      <c r="J36" s="21"/>
      <c r="K36" s="21"/>
      <c r="L36" s="21"/>
    </row>
    <row r="37" spans="1:12">
      <c r="A37" s="21"/>
      <c r="B37" s="21"/>
      <c r="C37" s="21"/>
      <c r="D37" s="21"/>
      <c r="E37" s="21"/>
      <c r="F37" s="21"/>
      <c r="G37" s="21"/>
      <c r="H37" s="20"/>
      <c r="I37" s="21"/>
      <c r="J37" s="21"/>
      <c r="K37" s="21"/>
      <c r="L37" s="21"/>
    </row>
    <row r="38" spans="1:12">
      <c r="A38" s="21"/>
      <c r="B38" s="21"/>
      <c r="C38" s="21"/>
      <c r="D38" s="21"/>
      <c r="E38" s="21"/>
      <c r="F38" s="21"/>
      <c r="G38" s="21"/>
      <c r="H38" s="20"/>
      <c r="I38" s="21"/>
      <c r="J38" s="21"/>
      <c r="K38" s="21"/>
      <c r="L38" s="21"/>
    </row>
    <row r="39" spans="1:12">
      <c r="A39" s="21"/>
      <c r="B39" s="21"/>
      <c r="C39" s="21"/>
      <c r="D39" s="21"/>
      <c r="E39" s="21"/>
      <c r="F39" s="21"/>
      <c r="G39" s="21"/>
      <c r="H39" s="20"/>
      <c r="I39" s="21"/>
      <c r="J39" s="21"/>
      <c r="K39" s="21"/>
      <c r="L39" s="21"/>
    </row>
    <row r="40" spans="1:12">
      <c r="A40" s="21"/>
      <c r="B40" s="21"/>
      <c r="C40" s="21"/>
      <c r="D40" s="21"/>
      <c r="E40" s="21"/>
      <c r="F40" s="21"/>
      <c r="G40" s="21"/>
      <c r="H40" s="20"/>
      <c r="I40" s="21"/>
      <c r="J40" s="21"/>
      <c r="K40" s="21"/>
      <c r="L40" s="21"/>
    </row>
    <row r="41" spans="1:12">
      <c r="A41" s="21"/>
      <c r="B41" s="21"/>
      <c r="C41" s="21"/>
      <c r="D41" s="21"/>
      <c r="E41" s="21"/>
      <c r="F41" s="21"/>
      <c r="G41" s="21"/>
      <c r="H41" s="20"/>
      <c r="I41" s="21"/>
      <c r="J41" s="21"/>
      <c r="K41" s="21"/>
      <c r="L41" s="21"/>
    </row>
    <row r="42" spans="1:12">
      <c r="A42" s="21"/>
      <c r="B42" s="21"/>
      <c r="C42" s="21"/>
      <c r="D42" s="21"/>
      <c r="E42" s="21"/>
      <c r="F42" s="21"/>
      <c r="G42" s="21"/>
      <c r="H42" s="20"/>
      <c r="I42" s="21"/>
      <c r="J42" s="21"/>
      <c r="K42" s="21"/>
      <c r="L42" s="21"/>
    </row>
    <row r="43" spans="1:12">
      <c r="A43" s="21"/>
      <c r="B43" s="21"/>
      <c r="C43" s="21"/>
      <c r="D43" s="21"/>
      <c r="E43" s="21"/>
      <c r="F43" s="21"/>
      <c r="G43" s="21"/>
      <c r="H43" s="20"/>
      <c r="I43" s="21"/>
      <c r="J43" s="21"/>
      <c r="K43" s="21"/>
      <c r="L43" s="21"/>
    </row>
    <row r="44" spans="1:12">
      <c r="A44" s="21"/>
      <c r="B44" s="21"/>
      <c r="C44" s="21"/>
      <c r="D44" s="21"/>
      <c r="E44" s="21"/>
      <c r="F44" s="21"/>
      <c r="G44" s="21"/>
      <c r="H44" s="20"/>
      <c r="I44" s="21"/>
      <c r="J44" s="21"/>
      <c r="K44" s="21"/>
      <c r="L44" s="21"/>
    </row>
    <row r="45" spans="1:12">
      <c r="A45" s="21"/>
      <c r="B45" s="21"/>
      <c r="C45" s="21"/>
      <c r="D45" s="21"/>
      <c r="E45" s="21"/>
      <c r="F45" s="21"/>
      <c r="G45" s="21"/>
      <c r="H45" s="20"/>
      <c r="I45" s="21"/>
      <c r="J45" s="21"/>
      <c r="K45" s="21"/>
      <c r="L45" s="21"/>
    </row>
    <row r="46" spans="1:12">
      <c r="A46" s="21"/>
      <c r="B46" s="21"/>
      <c r="C46" s="21"/>
      <c r="D46" s="21"/>
      <c r="E46" s="21"/>
      <c r="F46" s="21"/>
      <c r="G46" s="21"/>
      <c r="H46" s="20"/>
      <c r="I46" s="21"/>
      <c r="J46" s="21"/>
      <c r="K46" s="21"/>
      <c r="L46" s="21"/>
    </row>
    <row r="47" spans="1:12">
      <c r="A47" s="21"/>
      <c r="B47" s="21"/>
      <c r="C47" s="21"/>
      <c r="D47" s="21"/>
      <c r="E47" s="21"/>
      <c r="F47" s="21"/>
      <c r="G47" s="21"/>
      <c r="H47" s="20"/>
      <c r="I47" s="21"/>
      <c r="J47" s="21"/>
      <c r="K47" s="21"/>
      <c r="L47" s="21"/>
    </row>
    <row r="48" spans="1:12">
      <c r="A48" s="21"/>
      <c r="B48" s="21"/>
      <c r="C48" s="21"/>
      <c r="D48" s="21"/>
      <c r="E48" s="21"/>
      <c r="F48" s="21"/>
      <c r="G48" s="21"/>
      <c r="H48" s="20"/>
      <c r="I48" s="21"/>
      <c r="J48" s="21"/>
      <c r="K48" s="21"/>
      <c r="L48" s="21"/>
    </row>
    <row r="49" spans="1:12">
      <c r="A49" s="21"/>
      <c r="B49" s="21"/>
      <c r="C49" s="21"/>
      <c r="D49" s="21"/>
      <c r="E49" s="21"/>
      <c r="F49" s="21"/>
      <c r="G49" s="21"/>
      <c r="H49" s="20"/>
      <c r="I49" s="21"/>
      <c r="J49" s="21"/>
      <c r="K49" s="21"/>
      <c r="L49" s="21"/>
    </row>
    <row r="50" spans="1:12">
      <c r="A50" s="21"/>
      <c r="B50" s="21"/>
      <c r="C50" s="21"/>
      <c r="D50" s="21"/>
      <c r="E50" s="21"/>
      <c r="F50" s="21"/>
      <c r="G50" s="21"/>
      <c r="H50" s="20"/>
      <c r="I50" s="21"/>
      <c r="J50" s="21"/>
      <c r="K50" s="21"/>
      <c r="L50" s="21"/>
    </row>
    <row r="51" spans="1:12">
      <c r="A51" s="21"/>
      <c r="B51" s="21"/>
      <c r="C51" s="21"/>
      <c r="D51" s="21"/>
      <c r="E51" s="21"/>
      <c r="F51" s="21"/>
      <c r="G51" s="21"/>
      <c r="H51" s="20"/>
      <c r="I51" s="21"/>
      <c r="J51" s="21"/>
      <c r="K51" s="21"/>
      <c r="L51" s="21"/>
    </row>
    <row r="52" spans="1:12">
      <c r="A52" s="21"/>
      <c r="B52" s="21"/>
      <c r="C52" s="21"/>
      <c r="D52" s="21"/>
      <c r="E52" s="21"/>
      <c r="F52" s="21"/>
      <c r="G52" s="21"/>
      <c r="H52" s="20"/>
      <c r="I52" s="21"/>
      <c r="J52" s="21"/>
      <c r="K52" s="21"/>
      <c r="L52" s="21"/>
    </row>
    <row r="53" spans="1:12">
      <c r="A53" s="21"/>
      <c r="B53" s="21"/>
      <c r="C53" s="21"/>
      <c r="D53" s="21"/>
      <c r="E53" s="21"/>
      <c r="F53" s="21"/>
      <c r="G53" s="21"/>
      <c r="H53" s="20"/>
      <c r="I53" s="21"/>
      <c r="J53" s="21"/>
      <c r="K53" s="21"/>
      <c r="L53" s="21"/>
    </row>
    <row r="54" spans="1:12">
      <c r="A54" s="21"/>
      <c r="B54" s="21"/>
      <c r="C54" s="21"/>
      <c r="D54" s="21"/>
      <c r="E54" s="21"/>
      <c r="F54" s="21"/>
      <c r="G54" s="21"/>
      <c r="H54" s="20"/>
      <c r="I54" s="21"/>
      <c r="J54" s="21"/>
      <c r="K54" s="21"/>
      <c r="L54" s="21"/>
    </row>
  </sheetData>
  <autoFilter ref="A3:L21" xr:uid="{CFE14A45-710F-4093-BD2D-A6E1A56AB12F}"/>
  <mergeCells count="7">
    <mergeCell ref="C1:D1"/>
    <mergeCell ref="A2:B2"/>
    <mergeCell ref="K12:K21"/>
    <mergeCell ref="L12:L21"/>
    <mergeCell ref="K4:K11"/>
    <mergeCell ref="L4:L11"/>
    <mergeCell ref="C2:I2"/>
  </mergeCells>
  <hyperlinks>
    <hyperlink ref="J1" location="'Revision Map'!A1" display="INDEX" xr:uid="{F2E7300B-E19C-4966-A3E4-FB7BFAB2DAFA}"/>
    <hyperlink ref="K1" location="'Cross-FCN_Definitions'!A1" display="Cross-FCN_Definitions" xr:uid="{E23DD158-6A2E-4F35-8D53-1983AA024715}"/>
    <hyperlink ref="L1" location="Failsafe_Definitions!A1" display="Failsafe_Definitions" xr:uid="{7E94BC25-E141-48A8-815A-A08FFA2A74C0}"/>
  </hyperlinks>
  <pageMargins left="0.7" right="0.7" top="0.75" bottom="0.75" header="0.3" footer="0.3"/>
  <pageSetup paperSize="9" orientation="portrait" r:id="rId1"/>
  <headerFooter>
    <oddFooter>&amp;C_x000D_&amp;1#&amp;"Calibri"&amp;11&amp;KFF0000 Internal</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B2ED-FB54-4110-B542-21716E8B68BF}">
  <sheetPr codeName="Sheet20"/>
  <dimension ref="A1:E45"/>
  <sheetViews>
    <sheetView workbookViewId="0">
      <pane ySplit="1" topLeftCell="A31" activePane="bottomLeft" state="frozen"/>
      <selection sqref="A1:AS1"/>
      <selection pane="bottomLeft" activeCell="B45" sqref="B45"/>
    </sheetView>
  </sheetViews>
  <sheetFormatPr defaultColWidth="9.15625" defaultRowHeight="14.4"/>
  <cols>
    <col min="1" max="1" width="11" style="1014" bestFit="1" customWidth="1"/>
    <col min="2" max="2" width="9.83984375" style="40" bestFit="1" customWidth="1"/>
    <col min="3" max="3" width="69" style="2" bestFit="1" customWidth="1"/>
    <col min="4" max="4" width="22.26171875" bestFit="1" customWidth="1"/>
    <col min="5" max="5" width="9.68359375" bestFit="1" customWidth="1"/>
  </cols>
  <sheetData>
    <row r="1" spans="1:5">
      <c r="A1" s="1017" t="s">
        <v>644</v>
      </c>
      <c r="B1" s="660" t="s">
        <v>645</v>
      </c>
      <c r="C1" s="661" t="s">
        <v>646</v>
      </c>
      <c r="D1" s="643" t="s">
        <v>647</v>
      </c>
      <c r="E1" s="644" t="s">
        <v>648</v>
      </c>
    </row>
    <row r="2" spans="1:5">
      <c r="A2" s="629" t="s">
        <v>655</v>
      </c>
      <c r="B2" s="188">
        <v>44256</v>
      </c>
      <c r="C2" s="584" t="s">
        <v>1337</v>
      </c>
      <c r="D2" s="585" t="s">
        <v>658</v>
      </c>
      <c r="E2" s="586" t="s">
        <v>655</v>
      </c>
    </row>
    <row r="3" spans="1:5" ht="28.8">
      <c r="A3" s="629" t="s">
        <v>655</v>
      </c>
      <c r="B3" s="188">
        <v>44265</v>
      </c>
      <c r="C3" s="584" t="s">
        <v>1342</v>
      </c>
      <c r="D3" s="585" t="s">
        <v>1343</v>
      </c>
      <c r="E3" s="586" t="s">
        <v>655</v>
      </c>
    </row>
    <row r="4" spans="1:5">
      <c r="A4" s="631">
        <v>1</v>
      </c>
      <c r="B4" s="188">
        <v>44284</v>
      </c>
      <c r="C4" s="597"/>
      <c r="D4" s="585" t="s">
        <v>658</v>
      </c>
      <c r="E4" s="586" t="s">
        <v>651</v>
      </c>
    </row>
    <row r="5" spans="1:5">
      <c r="A5" s="629">
        <v>1.1000000000000001</v>
      </c>
      <c r="B5" s="188">
        <v>44301</v>
      </c>
      <c r="C5" s="584" t="s">
        <v>1678</v>
      </c>
      <c r="D5" s="585" t="s">
        <v>658</v>
      </c>
      <c r="E5" s="586" t="s">
        <v>655</v>
      </c>
    </row>
    <row r="6" spans="1:5" ht="21" customHeight="1">
      <c r="A6" s="629">
        <v>1.2</v>
      </c>
      <c r="B6" s="188">
        <v>44326</v>
      </c>
      <c r="C6" s="584" t="s">
        <v>1679</v>
      </c>
      <c r="D6" s="585" t="s">
        <v>658</v>
      </c>
      <c r="E6" s="586" t="s">
        <v>655</v>
      </c>
    </row>
    <row r="7" spans="1:5">
      <c r="A7" s="629">
        <v>1.3</v>
      </c>
      <c r="B7" s="188">
        <v>44335</v>
      </c>
      <c r="C7" s="584" t="s">
        <v>1680</v>
      </c>
      <c r="D7" s="585" t="s">
        <v>658</v>
      </c>
      <c r="E7" s="586" t="s">
        <v>655</v>
      </c>
    </row>
    <row r="8" spans="1:5">
      <c r="A8" s="629">
        <v>2</v>
      </c>
      <c r="B8" s="188">
        <v>44335</v>
      </c>
      <c r="C8" s="584"/>
      <c r="D8" s="585" t="s">
        <v>658</v>
      </c>
      <c r="E8" s="586" t="s">
        <v>651</v>
      </c>
    </row>
    <row r="9" spans="1:5">
      <c r="A9" s="629">
        <v>2</v>
      </c>
      <c r="B9" s="188">
        <v>44341</v>
      </c>
      <c r="C9" s="584"/>
      <c r="D9" s="585" t="s">
        <v>654</v>
      </c>
      <c r="E9" s="586" t="s">
        <v>661</v>
      </c>
    </row>
    <row r="10" spans="1:5">
      <c r="A10" s="629">
        <v>2</v>
      </c>
      <c r="B10" s="188">
        <v>44452</v>
      </c>
      <c r="C10" s="584" t="s">
        <v>1345</v>
      </c>
      <c r="D10" s="585" t="s">
        <v>654</v>
      </c>
      <c r="E10" s="586" t="s">
        <v>661</v>
      </c>
    </row>
    <row r="11" spans="1:5" ht="58.15" customHeight="1">
      <c r="A11" s="629">
        <v>2.1</v>
      </c>
      <c r="B11" s="188">
        <v>44662</v>
      </c>
      <c r="C11" s="584" t="s">
        <v>1681</v>
      </c>
      <c r="D11" s="585" t="s">
        <v>658</v>
      </c>
      <c r="E11" s="586" t="s">
        <v>655</v>
      </c>
    </row>
    <row r="12" spans="1:5" ht="43.2">
      <c r="A12" s="629">
        <v>2.2000000000000002</v>
      </c>
      <c r="B12" s="188">
        <v>44686</v>
      </c>
      <c r="C12" s="584" t="s">
        <v>1682</v>
      </c>
      <c r="D12" s="585" t="s">
        <v>658</v>
      </c>
      <c r="E12" s="586" t="s">
        <v>655</v>
      </c>
    </row>
    <row r="13" spans="1:5" ht="100.8">
      <c r="A13" s="1033">
        <v>2.2999999999999998</v>
      </c>
      <c r="B13" s="51">
        <v>44694</v>
      </c>
      <c r="C13" s="584" t="s">
        <v>1683</v>
      </c>
      <c r="D13" s="585" t="s">
        <v>658</v>
      </c>
      <c r="E13" s="586" t="s">
        <v>655</v>
      </c>
    </row>
    <row r="14" spans="1:5">
      <c r="A14" s="1033">
        <v>2.2999999999999998</v>
      </c>
      <c r="B14" s="51">
        <v>44694</v>
      </c>
      <c r="C14" s="576" t="s">
        <v>1684</v>
      </c>
      <c r="D14" s="5" t="s">
        <v>654</v>
      </c>
      <c r="E14" s="598" t="s">
        <v>655</v>
      </c>
    </row>
    <row r="15" spans="1:5">
      <c r="A15" s="1033">
        <v>2.4</v>
      </c>
      <c r="B15" s="51">
        <v>44706</v>
      </c>
      <c r="C15" s="576" t="s">
        <v>1357</v>
      </c>
      <c r="D15" s="585" t="s">
        <v>658</v>
      </c>
      <c r="E15" s="586" t="s">
        <v>655</v>
      </c>
    </row>
    <row r="16" spans="1:5">
      <c r="A16" s="1033">
        <v>2.4</v>
      </c>
      <c r="B16" s="51">
        <v>44711</v>
      </c>
      <c r="C16" s="576" t="s">
        <v>1685</v>
      </c>
      <c r="D16" s="5" t="s">
        <v>654</v>
      </c>
      <c r="E16" s="598" t="s">
        <v>655</v>
      </c>
    </row>
    <row r="17" spans="1:5" ht="28.8">
      <c r="A17" s="1033">
        <v>3</v>
      </c>
      <c r="B17" s="51">
        <v>44711</v>
      </c>
      <c r="C17" s="576" t="s">
        <v>1686</v>
      </c>
      <c r="D17" s="585" t="s">
        <v>658</v>
      </c>
      <c r="E17" s="586" t="s">
        <v>651</v>
      </c>
    </row>
    <row r="18" spans="1:5" ht="43.2">
      <c r="A18" s="1033">
        <v>3.1</v>
      </c>
      <c r="B18" s="51">
        <v>44711</v>
      </c>
      <c r="C18" s="576" t="s">
        <v>1687</v>
      </c>
      <c r="D18" s="585" t="s">
        <v>658</v>
      </c>
      <c r="E18" s="586" t="s">
        <v>655</v>
      </c>
    </row>
    <row r="19" spans="1:5" ht="28.8">
      <c r="A19" s="1033">
        <v>3.1</v>
      </c>
      <c r="B19" s="51">
        <v>44711</v>
      </c>
      <c r="C19" s="576" t="s">
        <v>1688</v>
      </c>
      <c r="D19" s="5" t="s">
        <v>654</v>
      </c>
      <c r="E19" s="598" t="s">
        <v>655</v>
      </c>
    </row>
    <row r="20" spans="1:5">
      <c r="A20" s="1033">
        <v>3.2</v>
      </c>
      <c r="B20" s="51">
        <v>44711</v>
      </c>
      <c r="C20" s="576" t="s">
        <v>1689</v>
      </c>
      <c r="D20" s="585" t="s">
        <v>658</v>
      </c>
      <c r="E20" s="586" t="s">
        <v>655</v>
      </c>
    </row>
    <row r="21" spans="1:5" ht="28.8">
      <c r="A21" s="1033">
        <v>4</v>
      </c>
      <c r="B21" s="51">
        <v>44711</v>
      </c>
      <c r="C21" s="576" t="s">
        <v>1690</v>
      </c>
      <c r="D21" s="585" t="s">
        <v>658</v>
      </c>
      <c r="E21" s="586" t="s">
        <v>651</v>
      </c>
    </row>
    <row r="22" spans="1:5">
      <c r="A22" s="1033">
        <v>4</v>
      </c>
      <c r="B22" s="51">
        <v>44719</v>
      </c>
      <c r="C22" s="576" t="s">
        <v>660</v>
      </c>
      <c r="D22" s="5" t="s">
        <v>654</v>
      </c>
      <c r="E22" s="598" t="s">
        <v>661</v>
      </c>
    </row>
    <row r="23" spans="1:5" ht="28.8">
      <c r="A23" s="1033">
        <v>4</v>
      </c>
      <c r="B23" s="51">
        <v>44727</v>
      </c>
      <c r="C23" s="576" t="s">
        <v>1691</v>
      </c>
      <c r="D23" s="585" t="s">
        <v>658</v>
      </c>
      <c r="E23" s="586" t="s">
        <v>651</v>
      </c>
    </row>
    <row r="24" spans="1:5">
      <c r="A24" s="1033">
        <v>4</v>
      </c>
      <c r="B24" s="51">
        <v>44742</v>
      </c>
      <c r="C24" s="5" t="s">
        <v>667</v>
      </c>
      <c r="D24" s="5" t="s">
        <v>654</v>
      </c>
      <c r="E24" s="5" t="s">
        <v>661</v>
      </c>
    </row>
    <row r="25" spans="1:5" ht="28.8">
      <c r="A25" s="1033">
        <v>4.0999999999999996</v>
      </c>
      <c r="B25" s="188">
        <v>44895</v>
      </c>
      <c r="C25" s="584" t="s">
        <v>1363</v>
      </c>
      <c r="D25" s="585" t="s">
        <v>683</v>
      </c>
      <c r="E25" s="586" t="s">
        <v>655</v>
      </c>
    </row>
    <row r="26" spans="1:5" ht="28.8">
      <c r="A26" s="1010">
        <v>4.2</v>
      </c>
      <c r="B26" s="188">
        <v>44896</v>
      </c>
      <c r="C26" s="576" t="s">
        <v>1692</v>
      </c>
      <c r="D26" s="5" t="s">
        <v>676</v>
      </c>
      <c r="E26" s="5" t="s">
        <v>655</v>
      </c>
    </row>
    <row r="27" spans="1:5" ht="18.75" customHeight="1">
      <c r="A27" s="1010">
        <v>4.3</v>
      </c>
      <c r="B27" s="188">
        <v>44900</v>
      </c>
      <c r="C27" s="584" t="s">
        <v>1693</v>
      </c>
      <c r="D27" s="585" t="s">
        <v>676</v>
      </c>
      <c r="E27" s="586" t="s">
        <v>655</v>
      </c>
    </row>
    <row r="28" spans="1:5">
      <c r="A28" s="1010">
        <v>4.3</v>
      </c>
      <c r="B28" s="188">
        <v>44903</v>
      </c>
      <c r="C28" s="584" t="s">
        <v>1601</v>
      </c>
      <c r="D28" s="5" t="s">
        <v>685</v>
      </c>
      <c r="E28" s="5" t="s">
        <v>655</v>
      </c>
    </row>
    <row r="29" spans="1:5">
      <c r="A29" s="1010">
        <v>4.3</v>
      </c>
      <c r="B29" s="51">
        <v>44937</v>
      </c>
      <c r="C29" s="5" t="s">
        <v>1694</v>
      </c>
      <c r="D29" s="5" t="s">
        <v>678</v>
      </c>
      <c r="E29" s="5" t="s">
        <v>655</v>
      </c>
    </row>
    <row r="30" spans="1:5">
      <c r="A30" s="1010">
        <v>4.4000000000000004</v>
      </c>
      <c r="B30" s="51">
        <v>44945</v>
      </c>
      <c r="C30" s="584" t="s">
        <v>1373</v>
      </c>
      <c r="D30" s="585" t="s">
        <v>1001</v>
      </c>
      <c r="E30" s="586" t="s">
        <v>655</v>
      </c>
    </row>
    <row r="31" spans="1:5">
      <c r="A31" s="1010">
        <v>4.4000000000000004</v>
      </c>
      <c r="B31" s="51">
        <v>44953</v>
      </c>
      <c r="C31" s="584" t="s">
        <v>1601</v>
      </c>
      <c r="D31" s="5" t="s">
        <v>658</v>
      </c>
      <c r="E31" s="5" t="s">
        <v>655</v>
      </c>
    </row>
    <row r="32" spans="1:5">
      <c r="A32" s="1010">
        <v>5</v>
      </c>
      <c r="B32" s="51">
        <v>44956</v>
      </c>
      <c r="C32" s="5" t="s">
        <v>1695</v>
      </c>
      <c r="D32" s="5" t="s">
        <v>658</v>
      </c>
      <c r="E32" s="5" t="s">
        <v>651</v>
      </c>
    </row>
    <row r="33" spans="1:5">
      <c r="A33" s="1010">
        <v>5</v>
      </c>
      <c r="B33" s="51">
        <v>44957</v>
      </c>
      <c r="C33" s="594" t="s">
        <v>687</v>
      </c>
      <c r="D33" s="5" t="s">
        <v>676</v>
      </c>
      <c r="E33" s="5" t="s">
        <v>661</v>
      </c>
    </row>
    <row r="34" spans="1:5">
      <c r="A34" s="1010">
        <v>5</v>
      </c>
      <c r="B34" s="51">
        <v>44970</v>
      </c>
      <c r="C34" s="594" t="s">
        <v>691</v>
      </c>
      <c r="D34" s="5" t="s">
        <v>676</v>
      </c>
      <c r="E34" s="5" t="s">
        <v>661</v>
      </c>
    </row>
    <row r="35" spans="1:5">
      <c r="A35" s="1010">
        <v>6</v>
      </c>
      <c r="B35" s="51">
        <v>44993</v>
      </c>
      <c r="C35" s="594" t="s">
        <v>1696</v>
      </c>
      <c r="D35" s="5" t="s">
        <v>683</v>
      </c>
      <c r="E35" s="5" t="s">
        <v>651</v>
      </c>
    </row>
    <row r="36" spans="1:5">
      <c r="A36" s="1010">
        <v>6</v>
      </c>
      <c r="B36" s="191">
        <v>44998</v>
      </c>
      <c r="C36" s="594" t="s">
        <v>692</v>
      </c>
      <c r="D36" s="5" t="s">
        <v>678</v>
      </c>
      <c r="E36" s="5" t="s">
        <v>661</v>
      </c>
    </row>
    <row r="37" spans="1:5" ht="28.8">
      <c r="A37" s="1010">
        <v>6.1</v>
      </c>
      <c r="B37" s="51">
        <v>45033</v>
      </c>
      <c r="C37" s="594" t="s">
        <v>1697</v>
      </c>
      <c r="D37" s="5" t="s">
        <v>658</v>
      </c>
      <c r="E37" s="5" t="s">
        <v>655</v>
      </c>
    </row>
    <row r="38" spans="1:5">
      <c r="A38" s="1010">
        <v>6.1</v>
      </c>
      <c r="B38" s="51">
        <v>45037</v>
      </c>
      <c r="C38" s="594" t="s">
        <v>1698</v>
      </c>
      <c r="D38" s="5" t="s">
        <v>678</v>
      </c>
      <c r="E38" s="5" t="s">
        <v>655</v>
      </c>
    </row>
    <row r="39" spans="1:5">
      <c r="A39" s="1010">
        <v>7</v>
      </c>
      <c r="B39" s="51">
        <v>45040</v>
      </c>
      <c r="C39" s="594" t="s">
        <v>1699</v>
      </c>
      <c r="D39" s="5" t="s">
        <v>658</v>
      </c>
      <c r="E39" s="5" t="s">
        <v>651</v>
      </c>
    </row>
    <row r="40" spans="1:5">
      <c r="A40" s="1010">
        <v>8</v>
      </c>
      <c r="B40" s="51">
        <v>45077</v>
      </c>
      <c r="C40" s="594" t="s">
        <v>1700</v>
      </c>
      <c r="D40" s="5" t="s">
        <v>658</v>
      </c>
      <c r="E40" s="5" t="s">
        <v>651</v>
      </c>
    </row>
    <row r="41" spans="1:5">
      <c r="A41" s="1010" t="s">
        <v>1454</v>
      </c>
      <c r="B41" s="191">
        <v>45078</v>
      </c>
      <c r="C41" s="584" t="s">
        <v>699</v>
      </c>
      <c r="D41" s="5" t="s">
        <v>678</v>
      </c>
      <c r="E41" s="5" t="s">
        <v>661</v>
      </c>
    </row>
    <row r="42" spans="1:5">
      <c r="A42" s="629" t="s">
        <v>1701</v>
      </c>
      <c r="B42" s="188">
        <v>45097</v>
      </c>
      <c r="C42" s="584" t="s">
        <v>818</v>
      </c>
      <c r="D42" s="585" t="s">
        <v>678</v>
      </c>
      <c r="E42" s="586" t="s">
        <v>655</v>
      </c>
    </row>
    <row r="43" spans="1:5">
      <c r="A43" s="629" t="s">
        <v>1382</v>
      </c>
      <c r="B43" s="188">
        <v>45097</v>
      </c>
      <c r="C43" s="594" t="s">
        <v>1700</v>
      </c>
      <c r="D43" s="585" t="s">
        <v>678</v>
      </c>
      <c r="E43" s="586" t="s">
        <v>651</v>
      </c>
    </row>
    <row r="44" spans="1:5">
      <c r="A44" s="1012" t="s">
        <v>1382</v>
      </c>
      <c r="B44" s="191">
        <v>45097</v>
      </c>
      <c r="C44" s="594" t="s">
        <v>700</v>
      </c>
      <c r="D44" s="595" t="s">
        <v>678</v>
      </c>
      <c r="E44" s="596" t="s">
        <v>661</v>
      </c>
    </row>
    <row r="45" spans="1:5">
      <c r="A45" s="1012" t="s">
        <v>1382</v>
      </c>
      <c r="B45" s="1065">
        <v>45205</v>
      </c>
      <c r="C45" s="595" t="s">
        <v>701</v>
      </c>
      <c r="D45" s="595" t="s">
        <v>678</v>
      </c>
      <c r="E45" s="596" t="s">
        <v>661</v>
      </c>
    </row>
  </sheetData>
  <pageMargins left="0.7" right="0.7" top="0.75" bottom="0.75" header="0.3" footer="0.3"/>
  <headerFooter>
    <oddFooter>&amp;C_x000D_&amp;1#&amp;"Calibri"&amp;11&amp;KFF0000 Internal</oddFooter>
  </headerFooter>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97876-B982-4A89-B542-6ABB659CF5F3}">
  <sheetPr codeName="Sheet35"/>
  <dimension ref="A1:M19"/>
  <sheetViews>
    <sheetView workbookViewId="0">
      <pane ySplit="3" topLeftCell="A4" activePane="bottomLeft" state="frozen"/>
      <selection activeCell="J3" sqref="J3"/>
      <selection pane="bottomLeft" activeCell="E1" sqref="E1"/>
    </sheetView>
  </sheetViews>
  <sheetFormatPr defaultColWidth="9.15625" defaultRowHeight="14.4"/>
  <cols>
    <col min="1" max="1" width="38" customWidth="1"/>
    <col min="2" max="2" width="46.41796875" customWidth="1"/>
    <col min="3" max="3" width="7.26171875" bestFit="1" customWidth="1"/>
    <col min="4" max="4" width="7" bestFit="1" customWidth="1"/>
    <col min="5" max="5" width="8.578125" bestFit="1" customWidth="1"/>
    <col min="6" max="6" width="18.68359375" bestFit="1" customWidth="1"/>
    <col min="7" max="7" width="10" bestFit="1" customWidth="1"/>
    <col min="8" max="8" width="6.83984375" bestFit="1" customWidth="1"/>
    <col min="9" max="9" width="33.41796875" customWidth="1"/>
    <col min="10" max="10" width="21.15625" customWidth="1"/>
    <col min="11" max="11" width="21.83984375" customWidth="1"/>
    <col min="12" max="12" width="25.68359375" customWidth="1"/>
    <col min="13" max="13" width="29.83984375" customWidth="1"/>
  </cols>
  <sheetData>
    <row r="1" spans="1:13">
      <c r="A1" s="45" t="s">
        <v>104</v>
      </c>
      <c r="B1" s="46" t="s">
        <v>81</v>
      </c>
      <c r="C1" s="1583" t="s">
        <v>106</v>
      </c>
      <c r="D1" s="1584"/>
      <c r="E1" s="1260">
        <v>8</v>
      </c>
      <c r="F1" s="1072" t="s">
        <v>702</v>
      </c>
      <c r="G1" s="1072">
        <v>2912</v>
      </c>
      <c r="H1" s="1072"/>
      <c r="I1" s="1073" t="s">
        <v>69</v>
      </c>
      <c r="J1" s="1073" t="s">
        <v>703</v>
      </c>
      <c r="K1" s="1074" t="s">
        <v>1702</v>
      </c>
      <c r="L1" s="1074" t="s">
        <v>1703</v>
      </c>
    </row>
    <row r="2" spans="1:13" ht="225.75" customHeight="1">
      <c r="A2" s="1585" t="s">
        <v>1704</v>
      </c>
      <c r="B2" s="1586"/>
      <c r="C2" s="1596" t="s">
        <v>1705</v>
      </c>
      <c r="D2" s="1597"/>
      <c r="E2" s="1597"/>
      <c r="F2" s="1597"/>
      <c r="G2" s="1597"/>
      <c r="H2" s="1597"/>
      <c r="I2" s="1598"/>
      <c r="J2" s="240" t="s">
        <v>707</v>
      </c>
      <c r="K2" s="1075" t="s">
        <v>1706</v>
      </c>
      <c r="L2" s="242"/>
    </row>
    <row r="3" spans="1:13" ht="37.5" customHeight="1">
      <c r="A3" s="109" t="s">
        <v>709</v>
      </c>
      <c r="B3" s="109" t="s">
        <v>710</v>
      </c>
      <c r="C3" s="109" t="s">
        <v>711</v>
      </c>
      <c r="D3" s="109" t="s">
        <v>712</v>
      </c>
      <c r="E3" s="109" t="s">
        <v>713</v>
      </c>
      <c r="F3" s="109" t="s">
        <v>714</v>
      </c>
      <c r="G3" s="109" t="s">
        <v>715</v>
      </c>
      <c r="H3" s="109" t="s">
        <v>716</v>
      </c>
      <c r="I3" s="109" t="s">
        <v>717</v>
      </c>
      <c r="J3" s="118" t="s">
        <v>718</v>
      </c>
      <c r="K3" s="118" t="s">
        <v>719</v>
      </c>
      <c r="L3" s="160" t="s">
        <v>720</v>
      </c>
    </row>
    <row r="4" spans="1:13">
      <c r="A4" s="870" t="s">
        <v>1707</v>
      </c>
      <c r="B4" s="130" t="s">
        <v>722</v>
      </c>
      <c r="C4" s="129" t="s">
        <v>48</v>
      </c>
      <c r="D4" s="871" t="s">
        <v>48</v>
      </c>
      <c r="E4" s="129" t="s">
        <v>48</v>
      </c>
      <c r="F4" s="129" t="s">
        <v>48</v>
      </c>
      <c r="G4" s="129" t="s">
        <v>48</v>
      </c>
      <c r="H4" s="154">
        <v>216</v>
      </c>
      <c r="I4" s="129" t="s">
        <v>723</v>
      </c>
      <c r="J4" s="129" t="s">
        <v>724</v>
      </c>
      <c r="K4" s="1590">
        <v>1</v>
      </c>
      <c r="L4" s="1593" t="s">
        <v>1708</v>
      </c>
      <c r="M4" s="2"/>
    </row>
    <row r="5" spans="1:13" ht="29.1" thickBot="1">
      <c r="A5" s="912" t="s">
        <v>1709</v>
      </c>
      <c r="B5" s="162" t="s">
        <v>1710</v>
      </c>
      <c r="C5" s="161" t="s">
        <v>48</v>
      </c>
      <c r="D5" s="913" t="s">
        <v>48</v>
      </c>
      <c r="E5" s="161" t="s">
        <v>48</v>
      </c>
      <c r="F5" s="161" t="s">
        <v>48</v>
      </c>
      <c r="G5" s="161" t="s">
        <v>48</v>
      </c>
      <c r="H5" s="914">
        <v>8</v>
      </c>
      <c r="I5" s="161" t="s">
        <v>1711</v>
      </c>
      <c r="J5" s="161" t="s">
        <v>729</v>
      </c>
      <c r="K5" s="1595"/>
      <c r="L5" s="1594"/>
      <c r="M5" s="2"/>
    </row>
    <row r="6" spans="1:13" ht="45.75" customHeight="1">
      <c r="A6" s="915" t="s">
        <v>1712</v>
      </c>
      <c r="B6" s="130" t="s">
        <v>1713</v>
      </c>
      <c r="C6" s="129" t="s">
        <v>48</v>
      </c>
      <c r="D6" s="129" t="s">
        <v>48</v>
      </c>
      <c r="E6" s="871" t="s">
        <v>48</v>
      </c>
      <c r="F6" s="129" t="s">
        <v>48</v>
      </c>
      <c r="G6" s="129" t="s">
        <v>48</v>
      </c>
      <c r="H6" s="916">
        <v>32</v>
      </c>
      <c r="I6" s="129" t="s">
        <v>728</v>
      </c>
      <c r="J6" s="129" t="s">
        <v>729</v>
      </c>
      <c r="K6" s="1590">
        <v>8</v>
      </c>
      <c r="L6" s="1587" t="s">
        <v>1714</v>
      </c>
    </row>
    <row r="7" spans="1:13" ht="28.8">
      <c r="A7" s="917" t="s">
        <v>1715</v>
      </c>
      <c r="B7" s="116" t="s">
        <v>1716</v>
      </c>
      <c r="C7" s="872" t="s">
        <v>48</v>
      </c>
      <c r="D7" s="872" t="s">
        <v>48</v>
      </c>
      <c r="E7" s="892" t="s">
        <v>48</v>
      </c>
      <c r="F7" s="872" t="s">
        <v>48</v>
      </c>
      <c r="G7" s="1261" t="s">
        <v>48</v>
      </c>
      <c r="H7" s="1094">
        <v>16</v>
      </c>
      <c r="I7" s="1261" t="s">
        <v>1717</v>
      </c>
      <c r="J7" s="115" t="s">
        <v>724</v>
      </c>
      <c r="K7" s="1591"/>
      <c r="L7" s="1588"/>
    </row>
    <row r="8" spans="1:13">
      <c r="A8" s="917" t="s">
        <v>1718</v>
      </c>
      <c r="B8" s="115" t="s">
        <v>1719</v>
      </c>
      <c r="C8" s="918" t="s">
        <v>48</v>
      </c>
      <c r="D8" s="918" t="s">
        <v>48</v>
      </c>
      <c r="E8" s="918" t="s">
        <v>48</v>
      </c>
      <c r="F8" s="115" t="s">
        <v>48</v>
      </c>
      <c r="G8" s="115" t="s">
        <v>48</v>
      </c>
      <c r="H8" s="919">
        <v>16</v>
      </c>
      <c r="I8" s="115" t="s">
        <v>1544</v>
      </c>
      <c r="J8" s="115" t="s">
        <v>724</v>
      </c>
      <c r="K8" s="1591"/>
      <c r="L8" s="1588"/>
    </row>
    <row r="9" spans="1:13" ht="28.8">
      <c r="A9" s="917" t="s">
        <v>1720</v>
      </c>
      <c r="B9" s="116" t="s">
        <v>1721</v>
      </c>
      <c r="C9" s="166" t="s">
        <v>996</v>
      </c>
      <c r="D9" s="166">
        <v>0</v>
      </c>
      <c r="E9" s="166" t="s">
        <v>920</v>
      </c>
      <c r="F9" s="116" t="s">
        <v>1722</v>
      </c>
      <c r="G9" s="115" t="s">
        <v>920</v>
      </c>
      <c r="H9" s="919">
        <v>32</v>
      </c>
      <c r="I9" s="115" t="s">
        <v>922</v>
      </c>
      <c r="J9" s="115" t="s">
        <v>729</v>
      </c>
      <c r="K9" s="1591"/>
      <c r="L9" s="1588"/>
    </row>
    <row r="10" spans="1:13" ht="28.8">
      <c r="A10" s="917" t="s">
        <v>1723</v>
      </c>
      <c r="B10" s="116" t="s">
        <v>1724</v>
      </c>
      <c r="C10" s="166" t="s">
        <v>996</v>
      </c>
      <c r="D10" s="166">
        <v>0</v>
      </c>
      <c r="E10" s="166" t="s">
        <v>920</v>
      </c>
      <c r="F10" s="116" t="s">
        <v>1722</v>
      </c>
      <c r="G10" s="115" t="s">
        <v>920</v>
      </c>
      <c r="H10" s="919">
        <v>32</v>
      </c>
      <c r="I10" s="115" t="s">
        <v>922</v>
      </c>
      <c r="J10" s="115" t="s">
        <v>729</v>
      </c>
      <c r="K10" s="1591"/>
      <c r="L10" s="1588"/>
    </row>
    <row r="11" spans="1:13">
      <c r="A11" s="917" t="s">
        <v>1725</v>
      </c>
      <c r="B11" s="115" t="s">
        <v>1726</v>
      </c>
      <c r="C11" s="115" t="s">
        <v>48</v>
      </c>
      <c r="D11" s="115" t="s">
        <v>48</v>
      </c>
      <c r="E11" s="115" t="s">
        <v>48</v>
      </c>
      <c r="F11" s="116" t="s">
        <v>48</v>
      </c>
      <c r="G11" s="115" t="s">
        <v>48</v>
      </c>
      <c r="H11" s="919">
        <v>32</v>
      </c>
      <c r="I11" s="115" t="s">
        <v>1727</v>
      </c>
      <c r="J11" s="115" t="s">
        <v>729</v>
      </c>
      <c r="K11" s="1591"/>
      <c r="L11" s="1588"/>
      <c r="M11" s="164"/>
    </row>
    <row r="12" spans="1:13" ht="28.8">
      <c r="A12" s="917" t="s">
        <v>1728</v>
      </c>
      <c r="B12" s="116" t="s">
        <v>1729</v>
      </c>
      <c r="C12" s="115" t="s">
        <v>48</v>
      </c>
      <c r="D12" s="115" t="s">
        <v>48</v>
      </c>
      <c r="E12" s="115" t="s">
        <v>48</v>
      </c>
      <c r="F12" s="116" t="s">
        <v>48</v>
      </c>
      <c r="G12" s="115" t="s">
        <v>48</v>
      </c>
      <c r="H12" s="919">
        <v>32</v>
      </c>
      <c r="I12" s="115" t="s">
        <v>1727</v>
      </c>
      <c r="J12" s="115" t="s">
        <v>724</v>
      </c>
      <c r="K12" s="1591"/>
      <c r="L12" s="1588"/>
      <c r="M12" s="165"/>
    </row>
    <row r="13" spans="1:13" ht="28.8">
      <c r="A13" s="917" t="s">
        <v>1730</v>
      </c>
      <c r="B13" s="116" t="s">
        <v>1731</v>
      </c>
      <c r="C13" s="115" t="s">
        <v>48</v>
      </c>
      <c r="D13" s="115" t="s">
        <v>48</v>
      </c>
      <c r="E13" s="115" t="s">
        <v>48</v>
      </c>
      <c r="F13" s="116" t="s">
        <v>48</v>
      </c>
      <c r="G13" s="115" t="s">
        <v>48</v>
      </c>
      <c r="H13" s="919">
        <v>32</v>
      </c>
      <c r="I13" s="115" t="s">
        <v>1727</v>
      </c>
      <c r="J13" s="115" t="s">
        <v>729</v>
      </c>
      <c r="K13" s="1591"/>
      <c r="L13" s="1588"/>
      <c r="M13" s="165"/>
    </row>
    <row r="14" spans="1:13" ht="57.6">
      <c r="A14" s="917" t="s">
        <v>1732</v>
      </c>
      <c r="B14" s="116" t="s">
        <v>1733</v>
      </c>
      <c r="C14" s="115" t="s">
        <v>48</v>
      </c>
      <c r="D14" s="115" t="s">
        <v>48</v>
      </c>
      <c r="E14" s="115" t="s">
        <v>48</v>
      </c>
      <c r="F14" s="116" t="s">
        <v>48</v>
      </c>
      <c r="G14" s="115" t="s">
        <v>48</v>
      </c>
      <c r="H14" s="919">
        <v>32</v>
      </c>
      <c r="I14" s="115" t="s">
        <v>1734</v>
      </c>
      <c r="J14" s="115" t="s">
        <v>729</v>
      </c>
      <c r="K14" s="1591"/>
      <c r="L14" s="1588"/>
    </row>
    <row r="15" spans="1:13" ht="28.8">
      <c r="A15" s="917" t="s">
        <v>1735</v>
      </c>
      <c r="B15" s="116" t="s">
        <v>1736</v>
      </c>
      <c r="C15" s="115" t="s">
        <v>48</v>
      </c>
      <c r="D15" s="115" t="s">
        <v>48</v>
      </c>
      <c r="E15" s="115" t="s">
        <v>48</v>
      </c>
      <c r="F15" s="116" t="s">
        <v>48</v>
      </c>
      <c r="G15" s="115" t="s">
        <v>48</v>
      </c>
      <c r="H15" s="919">
        <v>32</v>
      </c>
      <c r="I15" s="115" t="s">
        <v>1734</v>
      </c>
      <c r="J15" s="115" t="s">
        <v>729</v>
      </c>
      <c r="K15" s="1591"/>
      <c r="L15" s="1588"/>
    </row>
    <row r="16" spans="1:13" ht="57.6">
      <c r="A16" s="917" t="s">
        <v>1737</v>
      </c>
      <c r="B16" s="115" t="s">
        <v>1738</v>
      </c>
      <c r="C16" s="115" t="s">
        <v>48</v>
      </c>
      <c r="D16" s="115">
        <v>1</v>
      </c>
      <c r="E16" s="115">
        <v>255</v>
      </c>
      <c r="F16" s="116" t="s">
        <v>1739</v>
      </c>
      <c r="G16" s="115">
        <v>255</v>
      </c>
      <c r="H16" s="919">
        <v>8</v>
      </c>
      <c r="I16" s="115" t="s">
        <v>743</v>
      </c>
      <c r="J16" s="115" t="s">
        <v>729</v>
      </c>
      <c r="K16" s="1591"/>
      <c r="L16" s="1588"/>
    </row>
    <row r="17" spans="1:13" ht="38.700000000000003">
      <c r="A17" s="920" t="s">
        <v>1740</v>
      </c>
      <c r="B17" s="921" t="s">
        <v>1741</v>
      </c>
      <c r="C17" s="922" t="s">
        <v>48</v>
      </c>
      <c r="D17" s="922" t="s">
        <v>48</v>
      </c>
      <c r="E17" s="922" t="s">
        <v>48</v>
      </c>
      <c r="F17" s="923" t="s">
        <v>48</v>
      </c>
      <c r="G17" s="161" t="s">
        <v>48</v>
      </c>
      <c r="H17" s="161">
        <v>40</v>
      </c>
      <c r="I17" s="161" t="s">
        <v>1742</v>
      </c>
      <c r="J17" s="161" t="s">
        <v>729</v>
      </c>
      <c r="K17" s="1592"/>
      <c r="L17" s="1589"/>
      <c r="M17" s="2"/>
    </row>
    <row r="18" spans="1:13">
      <c r="M18" s="2"/>
    </row>
    <row r="19" spans="1:13">
      <c r="M19" s="2"/>
    </row>
  </sheetData>
  <mergeCells count="7">
    <mergeCell ref="C1:D1"/>
    <mergeCell ref="A2:B2"/>
    <mergeCell ref="L6:L17"/>
    <mergeCell ref="K6:K17"/>
    <mergeCell ref="L4:L5"/>
    <mergeCell ref="K4:K5"/>
    <mergeCell ref="C2:I2"/>
  </mergeCells>
  <hyperlinks>
    <hyperlink ref="I1" location="'Revision Map'!A1" display="INDEX" xr:uid="{38E13218-7F38-4B10-9AA4-A7B17F3D9BD2}"/>
    <hyperlink ref="J1" location="'Cross-FCN_Definitions'!A1" display="Cross-FCN_Definitions" xr:uid="{2F70351A-C32A-41B8-A479-4157C7320ADC}"/>
    <hyperlink ref="K1" location="FCF_Definitions!A1" display="FCF_Definitions" xr:uid="{94B3FC60-9E4B-4EBB-B10E-0719A3ABBC63}"/>
    <hyperlink ref="L1" location="'AVI_FCF_CV_Config'!A1" display="AVI_FCF_CV_Config" xr:uid="{085542CB-F172-42E1-B466-1D6C5DC12658}"/>
  </hyperlinks>
  <pageMargins left="0.7" right="0.7" top="0.75" bottom="0.75" header="0.3" footer="0.3"/>
  <headerFooter>
    <oddFooter>&amp;C_x000D_&amp;1#&amp;"Calibri"&amp;11&amp;KFF0000 Internal</oddFooter>
  </headerFooter>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0287D-55FA-428F-82B5-29DBD2E1A7C1}">
  <sheetPr codeName="Sheet36"/>
  <dimension ref="A1:E40"/>
  <sheetViews>
    <sheetView topLeftCell="A25" workbookViewId="0">
      <selection activeCell="B40" sqref="B40"/>
    </sheetView>
  </sheetViews>
  <sheetFormatPr defaultColWidth="9.15625" defaultRowHeight="14.4"/>
  <cols>
    <col min="1" max="1" width="10.83984375" style="1014" bestFit="1" customWidth="1"/>
    <col min="2" max="2" width="9.83984375" style="40" bestFit="1" customWidth="1"/>
    <col min="3" max="3" width="72.41796875" style="2" customWidth="1"/>
    <col min="4" max="4" width="19.83984375" customWidth="1"/>
    <col min="5" max="5" width="9.68359375" bestFit="1" customWidth="1"/>
  </cols>
  <sheetData>
    <row r="1" spans="1:5">
      <c r="A1" s="1051" t="s">
        <v>644</v>
      </c>
      <c r="B1" s="662" t="s">
        <v>645</v>
      </c>
      <c r="C1" s="663" t="s">
        <v>646</v>
      </c>
      <c r="D1" s="663" t="s">
        <v>647</v>
      </c>
      <c r="E1" s="664" t="s">
        <v>648</v>
      </c>
    </row>
    <row r="2" spans="1:5">
      <c r="A2" s="1052">
        <v>0.1</v>
      </c>
      <c r="B2" s="599">
        <v>44713</v>
      </c>
      <c r="C2" s="600" t="s">
        <v>1743</v>
      </c>
      <c r="D2" s="189" t="s">
        <v>676</v>
      </c>
      <c r="E2" s="601" t="s">
        <v>655</v>
      </c>
    </row>
    <row r="3" spans="1:5">
      <c r="A3" s="1010">
        <v>0.2</v>
      </c>
      <c r="B3" s="411">
        <v>44715</v>
      </c>
      <c r="C3" s="576" t="s">
        <v>1744</v>
      </c>
      <c r="D3" s="5" t="s">
        <v>676</v>
      </c>
      <c r="E3" s="5" t="s">
        <v>655</v>
      </c>
    </row>
    <row r="4" spans="1:5">
      <c r="A4" s="1010">
        <v>0.2</v>
      </c>
      <c r="B4" s="51">
        <v>44715</v>
      </c>
      <c r="C4" s="576" t="s">
        <v>1745</v>
      </c>
      <c r="D4" s="5" t="s">
        <v>796</v>
      </c>
      <c r="E4" s="5" t="s">
        <v>655</v>
      </c>
    </row>
    <row r="5" spans="1:5" ht="43.2">
      <c r="A5" s="1010">
        <v>0.3</v>
      </c>
      <c r="B5" s="411">
        <v>44715</v>
      </c>
      <c r="C5" s="576" t="s">
        <v>1746</v>
      </c>
      <c r="D5" s="5" t="s">
        <v>676</v>
      </c>
      <c r="E5" s="5" t="s">
        <v>655</v>
      </c>
    </row>
    <row r="6" spans="1:5">
      <c r="A6" s="1010">
        <v>0.3</v>
      </c>
      <c r="B6" s="51">
        <v>44715</v>
      </c>
      <c r="C6" s="602" t="s">
        <v>1747</v>
      </c>
      <c r="D6" s="602" t="s">
        <v>796</v>
      </c>
      <c r="E6" s="602" t="s">
        <v>655</v>
      </c>
    </row>
    <row r="7" spans="1:5">
      <c r="A7" s="1010">
        <v>1</v>
      </c>
      <c r="B7" s="51">
        <v>44719</v>
      </c>
      <c r="C7" s="576" t="s">
        <v>1748</v>
      </c>
      <c r="D7" s="5" t="s">
        <v>676</v>
      </c>
      <c r="E7" s="5" t="s">
        <v>651</v>
      </c>
    </row>
    <row r="8" spans="1:5">
      <c r="A8" s="1010">
        <v>1</v>
      </c>
      <c r="B8" s="51">
        <v>44719</v>
      </c>
      <c r="C8" s="576" t="s">
        <v>660</v>
      </c>
      <c r="D8" s="5" t="s">
        <v>654</v>
      </c>
      <c r="E8" s="5" t="s">
        <v>661</v>
      </c>
    </row>
    <row r="9" spans="1:5">
      <c r="A9" s="1010">
        <v>1</v>
      </c>
      <c r="B9" s="51">
        <v>44728</v>
      </c>
      <c r="C9" s="576" t="s">
        <v>1749</v>
      </c>
      <c r="D9" s="5" t="s">
        <v>676</v>
      </c>
      <c r="E9" s="5" t="s">
        <v>651</v>
      </c>
    </row>
    <row r="10" spans="1:5" ht="28.8">
      <c r="A10" s="1010">
        <v>1.1000000000000001</v>
      </c>
      <c r="B10" s="51">
        <v>44742</v>
      </c>
      <c r="C10" s="582" t="s">
        <v>1750</v>
      </c>
      <c r="D10" s="5" t="s">
        <v>676</v>
      </c>
      <c r="E10" s="5" t="s">
        <v>655</v>
      </c>
    </row>
    <row r="11" spans="1:5">
      <c r="A11" s="1010">
        <v>1.1000000000000001</v>
      </c>
      <c r="B11" s="51">
        <v>44742</v>
      </c>
      <c r="C11" s="582" t="s">
        <v>1601</v>
      </c>
      <c r="D11" s="5" t="s">
        <v>654</v>
      </c>
      <c r="E11" s="5" t="s">
        <v>655</v>
      </c>
    </row>
    <row r="12" spans="1:5">
      <c r="A12" s="1010">
        <v>2</v>
      </c>
      <c r="B12" s="411">
        <v>44742</v>
      </c>
      <c r="C12" s="602" t="s">
        <v>1749</v>
      </c>
      <c r="D12" s="603" t="s">
        <v>676</v>
      </c>
      <c r="E12" s="604" t="s">
        <v>651</v>
      </c>
    </row>
    <row r="13" spans="1:5">
      <c r="A13" s="1010">
        <v>2</v>
      </c>
      <c r="B13" s="51">
        <v>44742</v>
      </c>
      <c r="C13" s="576" t="s">
        <v>667</v>
      </c>
      <c r="D13" s="5" t="s">
        <v>654</v>
      </c>
      <c r="E13" s="5" t="s">
        <v>661</v>
      </c>
    </row>
    <row r="14" spans="1:5" ht="28.8">
      <c r="A14" s="1010">
        <v>2.1</v>
      </c>
      <c r="B14" s="188">
        <v>44895</v>
      </c>
      <c r="C14" s="584" t="s">
        <v>1363</v>
      </c>
      <c r="D14" s="585" t="s">
        <v>683</v>
      </c>
      <c r="E14" s="586" t="s">
        <v>655</v>
      </c>
    </row>
    <row r="15" spans="1:5">
      <c r="A15" s="1010">
        <v>2.2000000000000002</v>
      </c>
      <c r="B15" s="188">
        <v>44896</v>
      </c>
      <c r="C15" s="5" t="s">
        <v>1751</v>
      </c>
      <c r="D15" s="5" t="s">
        <v>676</v>
      </c>
      <c r="E15" s="5" t="s">
        <v>655</v>
      </c>
    </row>
    <row r="16" spans="1:5">
      <c r="A16" s="1010">
        <v>2.2999999999999998</v>
      </c>
      <c r="B16" s="188">
        <v>44900</v>
      </c>
      <c r="C16" s="584" t="s">
        <v>1693</v>
      </c>
      <c r="D16" s="585" t="s">
        <v>676</v>
      </c>
      <c r="E16" s="586" t="s">
        <v>655</v>
      </c>
    </row>
    <row r="17" spans="1:5">
      <c r="A17" s="1010">
        <v>2.2999999999999998</v>
      </c>
      <c r="B17" s="188">
        <v>44903</v>
      </c>
      <c r="C17" s="576" t="s">
        <v>1752</v>
      </c>
      <c r="D17" s="5" t="s">
        <v>678</v>
      </c>
      <c r="E17" s="5" t="s">
        <v>655</v>
      </c>
    </row>
    <row r="18" spans="1:5">
      <c r="A18" s="1010">
        <v>2.4</v>
      </c>
      <c r="B18" s="51">
        <v>44945</v>
      </c>
      <c r="C18" s="584" t="s">
        <v>1373</v>
      </c>
      <c r="D18" s="585" t="s">
        <v>1001</v>
      </c>
      <c r="E18" s="586" t="s">
        <v>655</v>
      </c>
    </row>
    <row r="19" spans="1:5">
      <c r="A19" s="1010">
        <v>2.4</v>
      </c>
      <c r="B19" s="51">
        <v>44953</v>
      </c>
      <c r="C19" s="576" t="s">
        <v>1752</v>
      </c>
      <c r="D19" s="5" t="s">
        <v>658</v>
      </c>
      <c r="E19" s="5" t="s">
        <v>655</v>
      </c>
    </row>
    <row r="20" spans="1:5" ht="15" customHeight="1">
      <c r="A20" s="1010">
        <v>3</v>
      </c>
      <c r="B20" s="51">
        <v>44957</v>
      </c>
      <c r="C20" s="602" t="s">
        <v>1753</v>
      </c>
      <c r="D20" s="5" t="s">
        <v>676</v>
      </c>
      <c r="E20" s="5" t="s">
        <v>651</v>
      </c>
    </row>
    <row r="21" spans="1:5">
      <c r="A21" s="1010">
        <v>3</v>
      </c>
      <c r="B21" s="51">
        <v>44957</v>
      </c>
      <c r="C21" s="5" t="s">
        <v>687</v>
      </c>
      <c r="D21" s="5" t="s">
        <v>676</v>
      </c>
      <c r="E21" s="5" t="s">
        <v>661</v>
      </c>
    </row>
    <row r="22" spans="1:5">
      <c r="A22" s="1010">
        <v>3</v>
      </c>
      <c r="B22" s="51">
        <v>44970</v>
      </c>
      <c r="C22" s="2" t="s">
        <v>691</v>
      </c>
      <c r="D22" s="5" t="s">
        <v>676</v>
      </c>
      <c r="E22" s="5" t="s">
        <v>661</v>
      </c>
    </row>
    <row r="23" spans="1:5">
      <c r="A23" s="1010">
        <v>4</v>
      </c>
      <c r="B23" s="51">
        <v>44993</v>
      </c>
      <c r="C23" s="602" t="s">
        <v>1754</v>
      </c>
      <c r="D23" s="5" t="s">
        <v>683</v>
      </c>
      <c r="E23" s="5" t="s">
        <v>651</v>
      </c>
    </row>
    <row r="24" spans="1:5">
      <c r="A24" s="1010">
        <v>4</v>
      </c>
      <c r="B24" s="191">
        <v>44998</v>
      </c>
      <c r="C24" s="2" t="s">
        <v>692</v>
      </c>
      <c r="D24" s="5" t="s">
        <v>678</v>
      </c>
      <c r="E24" s="5" t="s">
        <v>661</v>
      </c>
    </row>
    <row r="25" spans="1:5">
      <c r="A25" s="1010">
        <v>4.0999999999999996</v>
      </c>
      <c r="B25" s="191">
        <v>45072</v>
      </c>
      <c r="C25" s="2" t="s">
        <v>1755</v>
      </c>
      <c r="D25" s="5" t="s">
        <v>697</v>
      </c>
      <c r="E25" s="5" t="s">
        <v>655</v>
      </c>
    </row>
    <row r="26" spans="1:5">
      <c r="A26" s="1010">
        <v>4.0999999999999996</v>
      </c>
      <c r="B26" s="51">
        <v>45075</v>
      </c>
      <c r="C26" s="576" t="s">
        <v>1752</v>
      </c>
      <c r="D26" s="5" t="s">
        <v>678</v>
      </c>
      <c r="E26" s="5" t="s">
        <v>655</v>
      </c>
    </row>
    <row r="27" spans="1:5">
      <c r="A27" s="1010">
        <v>5</v>
      </c>
      <c r="B27" s="51">
        <v>45075</v>
      </c>
      <c r="C27" s="726" t="s">
        <v>1754</v>
      </c>
      <c r="D27" s="5" t="s">
        <v>1756</v>
      </c>
      <c r="E27" s="5" t="s">
        <v>651</v>
      </c>
    </row>
    <row r="28" spans="1:5">
      <c r="A28" s="1010">
        <v>5.0999999999999996</v>
      </c>
      <c r="B28" s="51">
        <v>45075</v>
      </c>
      <c r="C28" s="2" t="s">
        <v>1757</v>
      </c>
      <c r="D28" s="5" t="s">
        <v>697</v>
      </c>
      <c r="E28" s="5" t="s">
        <v>655</v>
      </c>
    </row>
    <row r="29" spans="1:5">
      <c r="A29" s="1010">
        <v>5.0999999999999996</v>
      </c>
      <c r="B29" s="51">
        <v>45077</v>
      </c>
      <c r="C29" s="576" t="s">
        <v>1752</v>
      </c>
      <c r="D29" s="5" t="s">
        <v>678</v>
      </c>
      <c r="E29" s="5" t="s">
        <v>655</v>
      </c>
    </row>
    <row r="30" spans="1:5">
      <c r="A30" s="1010">
        <v>6</v>
      </c>
      <c r="B30" s="51">
        <v>45077</v>
      </c>
      <c r="C30" s="1053" t="s">
        <v>1754</v>
      </c>
      <c r="D30" s="5" t="s">
        <v>697</v>
      </c>
      <c r="E30" s="5" t="s">
        <v>651</v>
      </c>
    </row>
    <row r="31" spans="1:5">
      <c r="A31" s="1010">
        <v>6.1</v>
      </c>
      <c r="B31" s="51">
        <v>45077</v>
      </c>
      <c r="C31" s="2" t="s">
        <v>1758</v>
      </c>
      <c r="D31" s="5" t="s">
        <v>697</v>
      </c>
      <c r="E31" s="5" t="s">
        <v>655</v>
      </c>
    </row>
    <row r="32" spans="1:5">
      <c r="A32" s="1010" t="s">
        <v>1759</v>
      </c>
      <c r="B32" s="51">
        <v>45078</v>
      </c>
      <c r="C32" s="2" t="s">
        <v>1752</v>
      </c>
      <c r="D32" s="5" t="s">
        <v>658</v>
      </c>
      <c r="E32" s="5" t="s">
        <v>655</v>
      </c>
    </row>
    <row r="33" spans="1:5">
      <c r="A33" s="1010" t="s">
        <v>1452</v>
      </c>
      <c r="B33" s="51">
        <v>45078</v>
      </c>
      <c r="C33" s="1053" t="s">
        <v>1760</v>
      </c>
      <c r="D33" s="5" t="s">
        <v>697</v>
      </c>
      <c r="E33" s="5" t="s">
        <v>651</v>
      </c>
    </row>
    <row r="34" spans="1:5">
      <c r="A34" s="1010" t="s">
        <v>1452</v>
      </c>
      <c r="B34" s="191">
        <v>45078</v>
      </c>
      <c r="C34" s="5" t="s">
        <v>699</v>
      </c>
      <c r="D34" s="5" t="s">
        <v>678</v>
      </c>
      <c r="E34" s="5" t="s">
        <v>661</v>
      </c>
    </row>
    <row r="35" spans="1:5">
      <c r="A35" s="1010" t="s">
        <v>59</v>
      </c>
      <c r="B35" s="191">
        <v>45097</v>
      </c>
      <c r="C35" s="2" t="s">
        <v>1761</v>
      </c>
      <c r="D35" s="5" t="s">
        <v>697</v>
      </c>
      <c r="E35" s="5" t="s">
        <v>655</v>
      </c>
    </row>
    <row r="36" spans="1:5">
      <c r="A36" s="1010" t="s">
        <v>59</v>
      </c>
      <c r="B36" s="191">
        <v>45097</v>
      </c>
      <c r="C36" s="2" t="s">
        <v>1752</v>
      </c>
      <c r="D36" s="5" t="s">
        <v>678</v>
      </c>
      <c r="E36" s="5" t="s">
        <v>655</v>
      </c>
    </row>
    <row r="37" spans="1:5" ht="43.2">
      <c r="A37" s="1010" t="s">
        <v>1762</v>
      </c>
      <c r="B37" s="191">
        <v>45097</v>
      </c>
      <c r="C37" s="2" t="s">
        <v>1763</v>
      </c>
      <c r="D37" s="5" t="s">
        <v>697</v>
      </c>
      <c r="E37" s="5" t="s">
        <v>655</v>
      </c>
    </row>
    <row r="38" spans="1:5">
      <c r="A38" s="629" t="s">
        <v>1454</v>
      </c>
      <c r="B38" s="191">
        <v>45097</v>
      </c>
      <c r="C38" s="1053" t="s">
        <v>1760</v>
      </c>
      <c r="D38" s="585" t="s">
        <v>678</v>
      </c>
      <c r="E38" s="586" t="s">
        <v>651</v>
      </c>
    </row>
    <row r="39" spans="1:5">
      <c r="A39" s="1012" t="s">
        <v>1454</v>
      </c>
      <c r="B39" s="191">
        <v>45097</v>
      </c>
      <c r="C39" s="594" t="s">
        <v>700</v>
      </c>
      <c r="D39" s="595" t="s">
        <v>678</v>
      </c>
      <c r="E39" s="596" t="s">
        <v>661</v>
      </c>
    </row>
    <row r="40" spans="1:5">
      <c r="A40" s="1012" t="s">
        <v>1454</v>
      </c>
      <c r="B40" s="1065">
        <v>45205</v>
      </c>
      <c r="C40" s="595" t="s">
        <v>701</v>
      </c>
      <c r="D40" s="595" t="s">
        <v>678</v>
      </c>
      <c r="E40" s="596" t="s">
        <v>661</v>
      </c>
    </row>
  </sheetData>
  <pageMargins left="0.7" right="0.7" top="0.75" bottom="0.75" header="0.3" footer="0.3"/>
  <headerFooter>
    <oddFooter>&amp;C_x000D_&amp;1#&amp;"Calibri"&amp;11&amp;KFF0000 Internal</oddFooter>
  </headerFooter>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63C79-ACC5-43F9-B6D9-73FC7ADF7327}">
  <sheetPr codeName="Sheet41"/>
  <dimension ref="A1:L100"/>
  <sheetViews>
    <sheetView workbookViewId="0">
      <selection activeCell="E1" sqref="E1"/>
    </sheetView>
  </sheetViews>
  <sheetFormatPr defaultRowHeight="14.4"/>
  <cols>
    <col min="1" max="1" width="64.83984375" customWidth="1"/>
    <col min="2" max="2" width="46.83984375" style="2" customWidth="1"/>
    <col min="3" max="3" width="12.26171875" customWidth="1"/>
    <col min="6" max="6" width="25" customWidth="1"/>
    <col min="7" max="7" width="14" customWidth="1"/>
    <col min="8" max="8" width="13.41796875" customWidth="1"/>
    <col min="9" max="9" width="25.68359375" customWidth="1"/>
    <col min="10" max="10" width="19.578125" customWidth="1"/>
    <col min="11" max="11" width="30.578125" customWidth="1"/>
    <col min="12" max="12" width="28.26171875" customWidth="1"/>
  </cols>
  <sheetData>
    <row r="1" spans="1:12">
      <c r="A1" s="45" t="s">
        <v>104</v>
      </c>
      <c r="B1" s="46" t="s">
        <v>1703</v>
      </c>
      <c r="C1" s="1583" t="s">
        <v>106</v>
      </c>
      <c r="D1" s="1584"/>
      <c r="E1" s="1260">
        <v>5</v>
      </c>
      <c r="F1" s="1072" t="s">
        <v>702</v>
      </c>
      <c r="G1" s="1262">
        <v>1840</v>
      </c>
      <c r="H1" s="1072"/>
      <c r="I1" s="1073" t="s">
        <v>69</v>
      </c>
      <c r="J1" s="1073" t="s">
        <v>703</v>
      </c>
      <c r="K1" s="1074" t="s">
        <v>1702</v>
      </c>
      <c r="L1" s="1074" t="s">
        <v>81</v>
      </c>
    </row>
    <row r="2" spans="1:12" ht="230.25" customHeight="1">
      <c r="A2" s="1599" t="s">
        <v>1704</v>
      </c>
      <c r="B2" s="1600"/>
      <c r="C2" s="1601" t="s">
        <v>1764</v>
      </c>
      <c r="D2" s="1602"/>
      <c r="E2" s="1602"/>
      <c r="F2" s="1602"/>
      <c r="G2" s="1602"/>
      <c r="H2" s="1602"/>
      <c r="I2" s="1603"/>
      <c r="J2" s="412" t="s">
        <v>707</v>
      </c>
      <c r="K2" s="1075">
        <v>1</v>
      </c>
      <c r="L2" s="242"/>
    </row>
    <row r="3" spans="1:12" ht="37.5" customHeight="1">
      <c r="A3" s="902" t="s">
        <v>709</v>
      </c>
      <c r="B3" s="903" t="s">
        <v>710</v>
      </c>
      <c r="C3" s="903" t="s">
        <v>711</v>
      </c>
      <c r="D3" s="903" t="s">
        <v>712</v>
      </c>
      <c r="E3" s="903" t="s">
        <v>713</v>
      </c>
      <c r="F3" s="903" t="s">
        <v>714</v>
      </c>
      <c r="G3" s="903" t="s">
        <v>715</v>
      </c>
      <c r="H3" s="903" t="s">
        <v>716</v>
      </c>
      <c r="I3" s="903" t="s">
        <v>717</v>
      </c>
      <c r="J3" s="904" t="s">
        <v>718</v>
      </c>
      <c r="K3" s="900" t="s">
        <v>719</v>
      </c>
      <c r="L3" s="22" t="s">
        <v>720</v>
      </c>
    </row>
    <row r="4" spans="1:12" ht="43.2">
      <c r="A4" s="881" t="s">
        <v>1765</v>
      </c>
      <c r="B4" s="116" t="s">
        <v>1766</v>
      </c>
      <c r="C4" s="10" t="s">
        <v>48</v>
      </c>
      <c r="D4" s="10" t="s">
        <v>48</v>
      </c>
      <c r="E4" s="10" t="s">
        <v>48</v>
      </c>
      <c r="F4" s="10" t="s">
        <v>48</v>
      </c>
      <c r="G4" s="10" t="s">
        <v>48</v>
      </c>
      <c r="H4" s="10">
        <v>32</v>
      </c>
      <c r="I4" s="10" t="s">
        <v>728</v>
      </c>
      <c r="J4" s="554" t="s">
        <v>729</v>
      </c>
      <c r="K4" s="1604">
        <v>1</v>
      </c>
      <c r="L4" s="1605" t="s">
        <v>1767</v>
      </c>
    </row>
    <row r="5" spans="1:12">
      <c r="A5" s="882" t="s">
        <v>1768</v>
      </c>
      <c r="B5" s="12" t="s">
        <v>826</v>
      </c>
      <c r="C5" s="10" t="s">
        <v>48</v>
      </c>
      <c r="D5" s="10" t="s">
        <v>48</v>
      </c>
      <c r="E5" s="10" t="s">
        <v>48</v>
      </c>
      <c r="F5" s="10" t="s">
        <v>48</v>
      </c>
      <c r="G5" s="10" t="s">
        <v>48</v>
      </c>
      <c r="H5" s="10">
        <v>8</v>
      </c>
      <c r="I5" s="10" t="s">
        <v>827</v>
      </c>
      <c r="J5" s="554" t="s">
        <v>729</v>
      </c>
      <c r="K5" s="1604"/>
      <c r="L5" s="1606"/>
    </row>
    <row r="6" spans="1:12">
      <c r="A6" s="881" t="s">
        <v>1769</v>
      </c>
      <c r="B6" s="899" t="s">
        <v>1459</v>
      </c>
      <c r="C6" s="10" t="s">
        <v>48</v>
      </c>
      <c r="D6" s="10" t="s">
        <v>48</v>
      </c>
      <c r="E6" s="10" t="s">
        <v>48</v>
      </c>
      <c r="F6" s="10" t="s">
        <v>48</v>
      </c>
      <c r="G6" s="10" t="s">
        <v>48</v>
      </c>
      <c r="H6" s="10">
        <v>16</v>
      </c>
      <c r="I6" s="10" t="s">
        <v>823</v>
      </c>
      <c r="J6" s="554" t="s">
        <v>729</v>
      </c>
      <c r="K6" s="1604"/>
      <c r="L6" s="1606"/>
    </row>
    <row r="7" spans="1:12">
      <c r="A7" s="882" t="s">
        <v>1770</v>
      </c>
      <c r="B7" s="899" t="s">
        <v>1771</v>
      </c>
      <c r="C7" s="10" t="s">
        <v>48</v>
      </c>
      <c r="D7" s="10" t="s">
        <v>48</v>
      </c>
      <c r="E7" s="10" t="s">
        <v>48</v>
      </c>
      <c r="F7" s="10" t="s">
        <v>48</v>
      </c>
      <c r="G7" s="10" t="s">
        <v>48</v>
      </c>
      <c r="H7" s="10">
        <v>8</v>
      </c>
      <c r="I7" s="10" t="s">
        <v>839</v>
      </c>
      <c r="J7" s="554" t="s">
        <v>724</v>
      </c>
      <c r="K7" s="1604"/>
      <c r="L7" s="1606"/>
    </row>
    <row r="8" spans="1:12" ht="28.8">
      <c r="A8" s="882" t="s">
        <v>1772</v>
      </c>
      <c r="B8" s="12" t="s">
        <v>1773</v>
      </c>
      <c r="C8" s="429" t="s">
        <v>1035</v>
      </c>
      <c r="D8" s="10">
        <v>0</v>
      </c>
      <c r="E8" s="10" t="s">
        <v>920</v>
      </c>
      <c r="F8" s="9" t="s">
        <v>1774</v>
      </c>
      <c r="G8" s="10" t="s">
        <v>920</v>
      </c>
      <c r="H8" s="346">
        <v>32</v>
      </c>
      <c r="I8" s="10" t="s">
        <v>922</v>
      </c>
      <c r="J8" s="554" t="s">
        <v>729</v>
      </c>
      <c r="K8" s="1604"/>
      <c r="L8" s="1606"/>
    </row>
    <row r="9" spans="1:12" ht="28.8">
      <c r="A9" s="883" t="s">
        <v>1775</v>
      </c>
      <c r="B9" s="899" t="s">
        <v>1776</v>
      </c>
      <c r="C9" s="10" t="s">
        <v>48</v>
      </c>
      <c r="D9" s="10" t="s">
        <v>48</v>
      </c>
      <c r="E9" s="10" t="s">
        <v>48</v>
      </c>
      <c r="F9" s="10" t="s">
        <v>48</v>
      </c>
      <c r="G9" s="10" t="s">
        <v>48</v>
      </c>
      <c r="H9" s="10">
        <v>8</v>
      </c>
      <c r="I9" s="10" t="s">
        <v>839</v>
      </c>
      <c r="J9" s="554" t="s">
        <v>729</v>
      </c>
      <c r="K9" s="1604"/>
      <c r="L9" s="1606"/>
    </row>
    <row r="10" spans="1:12" ht="28.8">
      <c r="A10" s="883" t="s">
        <v>1777</v>
      </c>
      <c r="B10" s="12" t="s">
        <v>1778</v>
      </c>
      <c r="C10" s="429" t="s">
        <v>1035</v>
      </c>
      <c r="D10" s="10">
        <v>0</v>
      </c>
      <c r="E10" s="10" t="s">
        <v>920</v>
      </c>
      <c r="F10" s="9" t="s">
        <v>1774</v>
      </c>
      <c r="G10" s="10" t="s">
        <v>920</v>
      </c>
      <c r="H10" s="346">
        <v>32</v>
      </c>
      <c r="I10" s="10" t="s">
        <v>922</v>
      </c>
      <c r="J10" s="554" t="s">
        <v>724</v>
      </c>
      <c r="K10" s="1604"/>
      <c r="L10" s="1606"/>
    </row>
    <row r="11" spans="1:12" ht="28.8">
      <c r="A11" s="883" t="s">
        <v>1779</v>
      </c>
      <c r="B11" s="899" t="s">
        <v>1780</v>
      </c>
      <c r="C11" s="10" t="s">
        <v>48</v>
      </c>
      <c r="D11" s="10" t="s">
        <v>48</v>
      </c>
      <c r="E11" s="10" t="s">
        <v>48</v>
      </c>
      <c r="F11" s="10" t="s">
        <v>48</v>
      </c>
      <c r="G11" s="10" t="s">
        <v>48</v>
      </c>
      <c r="H11" s="10">
        <v>8</v>
      </c>
      <c r="I11" s="10" t="s">
        <v>839</v>
      </c>
      <c r="J11" s="554" t="s">
        <v>729</v>
      </c>
      <c r="K11" s="1604"/>
      <c r="L11" s="1606"/>
    </row>
    <row r="12" spans="1:12">
      <c r="A12" s="883" t="s">
        <v>1781</v>
      </c>
      <c r="B12" s="12" t="s">
        <v>1782</v>
      </c>
      <c r="C12" s="421" t="s">
        <v>48</v>
      </c>
      <c r="D12" s="10" t="s">
        <v>48</v>
      </c>
      <c r="E12" s="10" t="s">
        <v>48</v>
      </c>
      <c r="F12" s="10" t="s">
        <v>48</v>
      </c>
      <c r="G12" s="10" t="s">
        <v>48</v>
      </c>
      <c r="H12" s="421">
        <v>32</v>
      </c>
      <c r="I12" s="701" t="s">
        <v>1783</v>
      </c>
      <c r="J12" s="554" t="s">
        <v>724</v>
      </c>
      <c r="K12" s="1604"/>
      <c r="L12" s="1606"/>
    </row>
    <row r="13" spans="1:12" ht="28.8">
      <c r="A13" s="883" t="s">
        <v>1784</v>
      </c>
      <c r="B13" s="899" t="s">
        <v>1785</v>
      </c>
      <c r="C13" s="10" t="s">
        <v>48</v>
      </c>
      <c r="D13" s="10" t="s">
        <v>48</v>
      </c>
      <c r="E13" s="10" t="s">
        <v>48</v>
      </c>
      <c r="F13" s="10" t="s">
        <v>48</v>
      </c>
      <c r="G13" s="10" t="s">
        <v>48</v>
      </c>
      <c r="H13" s="10">
        <v>8</v>
      </c>
      <c r="I13" s="10" t="s">
        <v>839</v>
      </c>
      <c r="J13" s="554" t="s">
        <v>729</v>
      </c>
      <c r="K13" s="1604"/>
      <c r="L13" s="1606"/>
    </row>
    <row r="14" spans="1:12">
      <c r="A14" s="883" t="s">
        <v>1786</v>
      </c>
      <c r="B14" s="12" t="s">
        <v>1787</v>
      </c>
      <c r="C14" s="421" t="s">
        <v>48</v>
      </c>
      <c r="D14" s="10" t="s">
        <v>48</v>
      </c>
      <c r="E14" s="10" t="s">
        <v>48</v>
      </c>
      <c r="F14" s="10" t="s">
        <v>48</v>
      </c>
      <c r="G14" s="10" t="s">
        <v>48</v>
      </c>
      <c r="H14" s="421">
        <v>32</v>
      </c>
      <c r="I14" s="701" t="s">
        <v>1783</v>
      </c>
      <c r="J14" s="554" t="s">
        <v>724</v>
      </c>
      <c r="K14" s="1604"/>
      <c r="L14" s="1606"/>
    </row>
    <row r="15" spans="1:12" ht="28.8">
      <c r="A15" s="883" t="s">
        <v>1788</v>
      </c>
      <c r="B15" s="899" t="s">
        <v>1789</v>
      </c>
      <c r="C15" s="10" t="s">
        <v>48</v>
      </c>
      <c r="D15" s="10" t="s">
        <v>48</v>
      </c>
      <c r="E15" s="10" t="s">
        <v>48</v>
      </c>
      <c r="F15" s="10" t="s">
        <v>48</v>
      </c>
      <c r="G15" s="10" t="s">
        <v>48</v>
      </c>
      <c r="H15" s="10">
        <v>8</v>
      </c>
      <c r="I15" s="10" t="s">
        <v>839</v>
      </c>
      <c r="J15" s="554" t="s">
        <v>729</v>
      </c>
      <c r="K15" s="1604"/>
      <c r="L15" s="1606"/>
    </row>
    <row r="16" spans="1:12">
      <c r="A16" s="883" t="s">
        <v>1790</v>
      </c>
      <c r="B16" s="12" t="s">
        <v>1791</v>
      </c>
      <c r="C16" s="421" t="s">
        <v>48</v>
      </c>
      <c r="D16" s="10" t="s">
        <v>48</v>
      </c>
      <c r="E16" s="10" t="s">
        <v>48</v>
      </c>
      <c r="F16" s="10" t="s">
        <v>48</v>
      </c>
      <c r="G16" s="10" t="s">
        <v>48</v>
      </c>
      <c r="H16" s="421">
        <v>32</v>
      </c>
      <c r="I16" s="701" t="s">
        <v>1783</v>
      </c>
      <c r="J16" s="554" t="s">
        <v>724</v>
      </c>
      <c r="K16" s="1604"/>
      <c r="L16" s="1606"/>
    </row>
    <row r="17" spans="1:12" ht="28.8">
      <c r="A17" s="883" t="s">
        <v>1792</v>
      </c>
      <c r="B17" s="899" t="s">
        <v>1793</v>
      </c>
      <c r="C17" s="10" t="s">
        <v>48</v>
      </c>
      <c r="D17" s="10" t="s">
        <v>48</v>
      </c>
      <c r="E17" s="10" t="s">
        <v>48</v>
      </c>
      <c r="F17" s="10" t="s">
        <v>48</v>
      </c>
      <c r="G17" s="10" t="s">
        <v>48</v>
      </c>
      <c r="H17" s="10">
        <v>8</v>
      </c>
      <c r="I17" s="10" t="s">
        <v>839</v>
      </c>
      <c r="J17" s="554" t="s">
        <v>729</v>
      </c>
      <c r="K17" s="1604"/>
      <c r="L17" s="1606"/>
    </row>
    <row r="18" spans="1:12">
      <c r="A18" s="883" t="s">
        <v>1794</v>
      </c>
      <c r="B18" s="12" t="s">
        <v>1795</v>
      </c>
      <c r="C18" s="421" t="s">
        <v>48</v>
      </c>
      <c r="D18" s="10" t="s">
        <v>48</v>
      </c>
      <c r="E18" s="10" t="s">
        <v>48</v>
      </c>
      <c r="F18" s="10" t="s">
        <v>48</v>
      </c>
      <c r="G18" s="10" t="s">
        <v>48</v>
      </c>
      <c r="H18" s="421">
        <v>32</v>
      </c>
      <c r="I18" s="701" t="s">
        <v>1783</v>
      </c>
      <c r="J18" s="554" t="s">
        <v>724</v>
      </c>
      <c r="K18" s="1604"/>
      <c r="L18" s="1606"/>
    </row>
    <row r="19" spans="1:12">
      <c r="A19" s="883" t="s">
        <v>1796</v>
      </c>
      <c r="B19" s="899" t="s">
        <v>1797</v>
      </c>
      <c r="C19" s="10" t="s">
        <v>48</v>
      </c>
      <c r="D19" s="10" t="s">
        <v>48</v>
      </c>
      <c r="E19" s="10" t="s">
        <v>48</v>
      </c>
      <c r="F19" s="10" t="s">
        <v>48</v>
      </c>
      <c r="G19" s="10" t="s">
        <v>48</v>
      </c>
      <c r="H19" s="10">
        <v>8</v>
      </c>
      <c r="I19" s="10" t="s">
        <v>839</v>
      </c>
      <c r="J19" s="554" t="s">
        <v>729</v>
      </c>
      <c r="K19" s="1604"/>
      <c r="L19" s="1606"/>
    </row>
    <row r="20" spans="1:12">
      <c r="A20" s="883" t="s">
        <v>1798</v>
      </c>
      <c r="B20" s="12" t="s">
        <v>1799</v>
      </c>
      <c r="C20" s="421" t="s">
        <v>48</v>
      </c>
      <c r="D20" s="10" t="s">
        <v>48</v>
      </c>
      <c r="E20" s="10" t="s">
        <v>48</v>
      </c>
      <c r="F20" s="10" t="s">
        <v>48</v>
      </c>
      <c r="G20" s="10" t="s">
        <v>48</v>
      </c>
      <c r="H20" s="421">
        <v>32</v>
      </c>
      <c r="I20" s="421" t="s">
        <v>1800</v>
      </c>
      <c r="J20" s="554" t="s">
        <v>724</v>
      </c>
      <c r="K20" s="1604"/>
      <c r="L20" s="1606"/>
    </row>
    <row r="21" spans="1:12">
      <c r="A21" s="883" t="s">
        <v>1801</v>
      </c>
      <c r="B21" s="899" t="s">
        <v>1802</v>
      </c>
      <c r="C21" s="10" t="s">
        <v>48</v>
      </c>
      <c r="D21" s="10" t="s">
        <v>48</v>
      </c>
      <c r="E21" s="10" t="s">
        <v>48</v>
      </c>
      <c r="F21" s="10" t="s">
        <v>48</v>
      </c>
      <c r="G21" s="10" t="s">
        <v>48</v>
      </c>
      <c r="H21" s="10">
        <v>8</v>
      </c>
      <c r="I21" s="10" t="s">
        <v>839</v>
      </c>
      <c r="J21" s="554" t="s">
        <v>729</v>
      </c>
      <c r="K21" s="1604"/>
      <c r="L21" s="1606"/>
    </row>
    <row r="22" spans="1:12">
      <c r="A22" s="883" t="s">
        <v>1803</v>
      </c>
      <c r="B22" s="12" t="s">
        <v>1804</v>
      </c>
      <c r="C22" s="421" t="s">
        <v>48</v>
      </c>
      <c r="D22" s="10" t="s">
        <v>48</v>
      </c>
      <c r="E22" s="10" t="s">
        <v>48</v>
      </c>
      <c r="F22" s="10" t="s">
        <v>48</v>
      </c>
      <c r="G22" s="10" t="s">
        <v>48</v>
      </c>
      <c r="H22" s="421">
        <v>32</v>
      </c>
      <c r="I22" s="421" t="s">
        <v>1800</v>
      </c>
      <c r="J22" s="554" t="s">
        <v>724</v>
      </c>
      <c r="K22" s="1604"/>
      <c r="L22" s="1606"/>
    </row>
    <row r="23" spans="1:12">
      <c r="A23" s="883" t="s">
        <v>1805</v>
      </c>
      <c r="B23" s="899" t="s">
        <v>1806</v>
      </c>
      <c r="C23" s="10" t="s">
        <v>48</v>
      </c>
      <c r="D23" s="10" t="s">
        <v>48</v>
      </c>
      <c r="E23" s="10" t="s">
        <v>48</v>
      </c>
      <c r="F23" s="10" t="s">
        <v>48</v>
      </c>
      <c r="G23" s="10" t="s">
        <v>48</v>
      </c>
      <c r="H23" s="10">
        <v>8</v>
      </c>
      <c r="I23" s="10" t="s">
        <v>839</v>
      </c>
      <c r="J23" s="554" t="s">
        <v>729</v>
      </c>
      <c r="K23" s="1604"/>
      <c r="L23" s="1606"/>
    </row>
    <row r="24" spans="1:12">
      <c r="A24" s="883" t="s">
        <v>1807</v>
      </c>
      <c r="B24" s="12" t="s">
        <v>1808</v>
      </c>
      <c r="C24" s="421" t="s">
        <v>48</v>
      </c>
      <c r="D24" s="10" t="s">
        <v>48</v>
      </c>
      <c r="E24" s="10" t="s">
        <v>48</v>
      </c>
      <c r="F24" s="10" t="s">
        <v>48</v>
      </c>
      <c r="G24" s="10" t="s">
        <v>48</v>
      </c>
      <c r="H24" s="421">
        <v>32</v>
      </c>
      <c r="I24" s="421" t="s">
        <v>1800</v>
      </c>
      <c r="J24" s="554" t="s">
        <v>724</v>
      </c>
      <c r="K24" s="1604"/>
      <c r="L24" s="1606"/>
    </row>
    <row r="25" spans="1:12">
      <c r="A25" s="883" t="s">
        <v>1809</v>
      </c>
      <c r="B25" s="899" t="s">
        <v>1810</v>
      </c>
      <c r="C25" s="10" t="s">
        <v>48</v>
      </c>
      <c r="D25" s="10" t="s">
        <v>48</v>
      </c>
      <c r="E25" s="10" t="s">
        <v>48</v>
      </c>
      <c r="F25" s="10" t="s">
        <v>48</v>
      </c>
      <c r="G25" s="10" t="s">
        <v>48</v>
      </c>
      <c r="H25" s="10">
        <v>8</v>
      </c>
      <c r="I25" s="10" t="s">
        <v>839</v>
      </c>
      <c r="J25" s="554" t="s">
        <v>729</v>
      </c>
      <c r="K25" s="1604"/>
      <c r="L25" s="1606"/>
    </row>
    <row r="26" spans="1:12">
      <c r="A26" s="883" t="s">
        <v>1811</v>
      </c>
      <c r="B26" s="12" t="s">
        <v>1812</v>
      </c>
      <c r="C26" s="421" t="s">
        <v>48</v>
      </c>
      <c r="D26" s="10" t="s">
        <v>48</v>
      </c>
      <c r="E26" s="10" t="s">
        <v>48</v>
      </c>
      <c r="F26" s="10" t="s">
        <v>48</v>
      </c>
      <c r="G26" s="10" t="s">
        <v>48</v>
      </c>
      <c r="H26" s="421">
        <v>32</v>
      </c>
      <c r="I26" s="421" t="s">
        <v>1800</v>
      </c>
      <c r="J26" s="554" t="s">
        <v>724</v>
      </c>
      <c r="K26" s="1604"/>
      <c r="L26" s="1606"/>
    </row>
    <row r="27" spans="1:12" ht="28.8">
      <c r="A27" s="884" t="s">
        <v>1813</v>
      </c>
      <c r="B27" s="899" t="s">
        <v>1814</v>
      </c>
      <c r="C27" s="10" t="s">
        <v>48</v>
      </c>
      <c r="D27" s="10" t="s">
        <v>48</v>
      </c>
      <c r="E27" s="10" t="s">
        <v>48</v>
      </c>
      <c r="F27" s="10" t="s">
        <v>48</v>
      </c>
      <c r="G27" s="10" t="s">
        <v>48</v>
      </c>
      <c r="H27" s="10">
        <v>8</v>
      </c>
      <c r="I27" s="10" t="s">
        <v>839</v>
      </c>
      <c r="J27" s="554" t="s">
        <v>729</v>
      </c>
      <c r="K27" s="1604"/>
      <c r="L27" s="1606"/>
    </row>
    <row r="28" spans="1:12">
      <c r="A28" s="342" t="s">
        <v>1815</v>
      </c>
      <c r="B28" s="910" t="s">
        <v>1816</v>
      </c>
      <c r="C28" s="421" t="s">
        <v>48</v>
      </c>
      <c r="D28" s="10" t="s">
        <v>48</v>
      </c>
      <c r="E28" s="10" t="s">
        <v>48</v>
      </c>
      <c r="F28" s="10" t="s">
        <v>48</v>
      </c>
      <c r="G28" s="10" t="s">
        <v>48</v>
      </c>
      <c r="H28" s="421">
        <v>32</v>
      </c>
      <c r="I28" s="421" t="s">
        <v>1817</v>
      </c>
      <c r="J28" s="554" t="s">
        <v>724</v>
      </c>
      <c r="K28" s="1604"/>
      <c r="L28" s="1606"/>
    </row>
    <row r="29" spans="1:12" ht="28.8">
      <c r="A29" s="911" t="s">
        <v>1818</v>
      </c>
      <c r="B29" s="899" t="s">
        <v>1819</v>
      </c>
      <c r="C29" s="10" t="s">
        <v>48</v>
      </c>
      <c r="D29" s="10" t="s">
        <v>48</v>
      </c>
      <c r="E29" s="10" t="s">
        <v>48</v>
      </c>
      <c r="F29" s="10" t="s">
        <v>48</v>
      </c>
      <c r="G29" s="10" t="s">
        <v>48</v>
      </c>
      <c r="H29" s="10">
        <v>8</v>
      </c>
      <c r="I29" s="10" t="s">
        <v>839</v>
      </c>
      <c r="J29" s="554" t="s">
        <v>729</v>
      </c>
      <c r="K29" s="1604"/>
      <c r="L29" s="1606"/>
    </row>
    <row r="30" spans="1:12">
      <c r="A30" s="883" t="s">
        <v>1820</v>
      </c>
      <c r="B30" s="12" t="s">
        <v>1821</v>
      </c>
      <c r="C30" s="421" t="s">
        <v>48</v>
      </c>
      <c r="D30" s="10" t="s">
        <v>48</v>
      </c>
      <c r="E30" s="10" t="s">
        <v>48</v>
      </c>
      <c r="F30" s="10" t="s">
        <v>48</v>
      </c>
      <c r="G30" s="10" t="s">
        <v>48</v>
      </c>
      <c r="H30" s="421">
        <v>32</v>
      </c>
      <c r="I30" s="421" t="s">
        <v>1817</v>
      </c>
      <c r="J30" s="554" t="s">
        <v>729</v>
      </c>
      <c r="K30" s="1604"/>
      <c r="L30" s="1606"/>
    </row>
    <row r="31" spans="1:12" ht="28.8">
      <c r="A31" s="883" t="s">
        <v>1822</v>
      </c>
      <c r="B31" s="899" t="s">
        <v>1823</v>
      </c>
      <c r="C31" s="10" t="s">
        <v>48</v>
      </c>
      <c r="D31" s="10" t="s">
        <v>48</v>
      </c>
      <c r="E31" s="10" t="s">
        <v>48</v>
      </c>
      <c r="F31" s="10" t="s">
        <v>48</v>
      </c>
      <c r="G31" s="10" t="s">
        <v>48</v>
      </c>
      <c r="H31" s="10">
        <v>8</v>
      </c>
      <c r="I31" s="10" t="s">
        <v>839</v>
      </c>
      <c r="J31" s="554" t="s">
        <v>729</v>
      </c>
      <c r="K31" s="1604"/>
      <c r="L31" s="1606"/>
    </row>
    <row r="32" spans="1:12">
      <c r="A32" s="883" t="s">
        <v>1824</v>
      </c>
      <c r="B32" s="12" t="s">
        <v>1825</v>
      </c>
      <c r="C32" s="421" t="s">
        <v>48</v>
      </c>
      <c r="D32" s="10" t="s">
        <v>48</v>
      </c>
      <c r="E32" s="10" t="s">
        <v>48</v>
      </c>
      <c r="F32" s="10" t="s">
        <v>48</v>
      </c>
      <c r="G32" s="10" t="s">
        <v>48</v>
      </c>
      <c r="H32" s="421">
        <v>32</v>
      </c>
      <c r="I32" s="421" t="s">
        <v>1817</v>
      </c>
      <c r="J32" s="554" t="s">
        <v>724</v>
      </c>
      <c r="K32" s="1604"/>
      <c r="L32" s="1606"/>
    </row>
    <row r="33" spans="1:12" ht="28.8">
      <c r="A33" s="883" t="s">
        <v>1826</v>
      </c>
      <c r="B33" s="899" t="s">
        <v>1827</v>
      </c>
      <c r="C33" s="10" t="s">
        <v>48</v>
      </c>
      <c r="D33" s="10" t="s">
        <v>48</v>
      </c>
      <c r="E33" s="10" t="s">
        <v>48</v>
      </c>
      <c r="F33" s="10" t="s">
        <v>48</v>
      </c>
      <c r="G33" s="10" t="s">
        <v>48</v>
      </c>
      <c r="H33" s="10">
        <v>8</v>
      </c>
      <c r="I33" s="10" t="s">
        <v>839</v>
      </c>
      <c r="J33" s="554" t="s">
        <v>729</v>
      </c>
      <c r="K33" s="1604"/>
      <c r="L33" s="1606"/>
    </row>
    <row r="34" spans="1:12">
      <c r="A34" s="883" t="s">
        <v>1828</v>
      </c>
      <c r="B34" s="12" t="s">
        <v>1829</v>
      </c>
      <c r="C34" s="421" t="s">
        <v>48</v>
      </c>
      <c r="D34" s="10" t="s">
        <v>48</v>
      </c>
      <c r="E34" s="10" t="s">
        <v>48</v>
      </c>
      <c r="F34" s="10" t="s">
        <v>48</v>
      </c>
      <c r="G34" s="10" t="s">
        <v>48</v>
      </c>
      <c r="H34" s="421">
        <v>32</v>
      </c>
      <c r="I34" s="421" t="s">
        <v>1817</v>
      </c>
      <c r="J34" s="554" t="s">
        <v>724</v>
      </c>
      <c r="K34" s="1604"/>
      <c r="L34" s="1606"/>
    </row>
    <row r="35" spans="1:12" ht="43.2">
      <c r="A35" s="883" t="s">
        <v>1830</v>
      </c>
      <c r="B35" s="899" t="s">
        <v>1831</v>
      </c>
      <c r="C35" s="10" t="s">
        <v>48</v>
      </c>
      <c r="D35" s="10" t="s">
        <v>48</v>
      </c>
      <c r="E35" s="10" t="s">
        <v>48</v>
      </c>
      <c r="F35" s="10" t="s">
        <v>48</v>
      </c>
      <c r="G35" s="10" t="s">
        <v>48</v>
      </c>
      <c r="H35" s="10">
        <v>8</v>
      </c>
      <c r="I35" s="10" t="s">
        <v>839</v>
      </c>
      <c r="J35" s="554" t="s">
        <v>729</v>
      </c>
      <c r="K35" s="1604"/>
      <c r="L35" s="1606"/>
    </row>
    <row r="36" spans="1:12">
      <c r="A36" s="883" t="s">
        <v>1832</v>
      </c>
      <c r="B36" s="12" t="s">
        <v>1833</v>
      </c>
      <c r="C36" s="421" t="s">
        <v>48</v>
      </c>
      <c r="D36" s="10" t="s">
        <v>48</v>
      </c>
      <c r="E36" s="10" t="s">
        <v>48</v>
      </c>
      <c r="F36" s="10" t="s">
        <v>48</v>
      </c>
      <c r="G36" s="10" t="s">
        <v>48</v>
      </c>
      <c r="H36" s="421">
        <v>32</v>
      </c>
      <c r="I36" s="427" t="s">
        <v>1834</v>
      </c>
      <c r="J36" s="554" t="s">
        <v>724</v>
      </c>
      <c r="K36" s="1604"/>
      <c r="L36" s="1606"/>
    </row>
    <row r="37" spans="1:12" ht="43.2">
      <c r="A37" s="883" t="s">
        <v>1835</v>
      </c>
      <c r="B37" s="899" t="s">
        <v>1836</v>
      </c>
      <c r="C37" s="10" t="s">
        <v>48</v>
      </c>
      <c r="D37" s="10" t="s">
        <v>48</v>
      </c>
      <c r="E37" s="10" t="s">
        <v>48</v>
      </c>
      <c r="F37" s="10" t="s">
        <v>48</v>
      </c>
      <c r="G37" s="10" t="s">
        <v>48</v>
      </c>
      <c r="H37" s="10">
        <v>8</v>
      </c>
      <c r="I37" s="10" t="s">
        <v>839</v>
      </c>
      <c r="J37" s="554" t="s">
        <v>729</v>
      </c>
      <c r="K37" s="1604"/>
      <c r="L37" s="1606"/>
    </row>
    <row r="38" spans="1:12">
      <c r="A38" s="883" t="s">
        <v>1837</v>
      </c>
      <c r="B38" s="12" t="s">
        <v>1838</v>
      </c>
      <c r="C38" s="421" t="s">
        <v>48</v>
      </c>
      <c r="D38" s="10" t="s">
        <v>48</v>
      </c>
      <c r="E38" s="10" t="s">
        <v>48</v>
      </c>
      <c r="F38" s="10" t="s">
        <v>48</v>
      </c>
      <c r="G38" s="10" t="s">
        <v>48</v>
      </c>
      <c r="H38" s="421">
        <v>32</v>
      </c>
      <c r="I38" s="427" t="s">
        <v>1834</v>
      </c>
      <c r="J38" s="554" t="s">
        <v>724</v>
      </c>
      <c r="K38" s="1604"/>
      <c r="L38" s="1606"/>
    </row>
    <row r="39" spans="1:12" ht="43.2">
      <c r="A39" s="883" t="s">
        <v>1839</v>
      </c>
      <c r="B39" s="899" t="s">
        <v>1840</v>
      </c>
      <c r="C39" s="10" t="s">
        <v>48</v>
      </c>
      <c r="D39" s="10" t="s">
        <v>48</v>
      </c>
      <c r="E39" s="10" t="s">
        <v>48</v>
      </c>
      <c r="F39" s="10" t="s">
        <v>48</v>
      </c>
      <c r="G39" s="10" t="s">
        <v>48</v>
      </c>
      <c r="H39" s="10">
        <v>8</v>
      </c>
      <c r="I39" s="10" t="s">
        <v>839</v>
      </c>
      <c r="J39" s="554" t="s">
        <v>729</v>
      </c>
      <c r="K39" s="1604"/>
      <c r="L39" s="1606"/>
    </row>
    <row r="40" spans="1:12">
      <c r="A40" s="883" t="s">
        <v>1841</v>
      </c>
      <c r="B40" s="12" t="s">
        <v>1842</v>
      </c>
      <c r="C40" s="421" t="s">
        <v>48</v>
      </c>
      <c r="D40" s="10" t="s">
        <v>48</v>
      </c>
      <c r="E40" s="10" t="s">
        <v>48</v>
      </c>
      <c r="F40" s="10" t="s">
        <v>48</v>
      </c>
      <c r="G40" s="10" t="s">
        <v>48</v>
      </c>
      <c r="H40" s="421">
        <v>32</v>
      </c>
      <c r="I40" s="427" t="s">
        <v>1834</v>
      </c>
      <c r="J40" s="554" t="s">
        <v>724</v>
      </c>
      <c r="K40" s="1604"/>
      <c r="L40" s="1606"/>
    </row>
    <row r="41" spans="1:12" ht="43.2">
      <c r="A41" s="883" t="s">
        <v>1843</v>
      </c>
      <c r="B41" s="899" t="s">
        <v>1844</v>
      </c>
      <c r="C41" s="10" t="s">
        <v>48</v>
      </c>
      <c r="D41" s="10" t="s">
        <v>48</v>
      </c>
      <c r="E41" s="10" t="s">
        <v>48</v>
      </c>
      <c r="F41" s="10" t="s">
        <v>48</v>
      </c>
      <c r="G41" s="10" t="s">
        <v>48</v>
      </c>
      <c r="H41" s="10">
        <v>8</v>
      </c>
      <c r="I41" s="10" t="s">
        <v>839</v>
      </c>
      <c r="J41" s="554" t="s">
        <v>729</v>
      </c>
      <c r="K41" s="1604"/>
      <c r="L41" s="1606"/>
    </row>
    <row r="42" spans="1:12">
      <c r="A42" s="883" t="s">
        <v>1845</v>
      </c>
      <c r="B42" s="12" t="s">
        <v>1846</v>
      </c>
      <c r="C42" s="421" t="s">
        <v>48</v>
      </c>
      <c r="D42" s="10" t="s">
        <v>48</v>
      </c>
      <c r="E42" s="10" t="s">
        <v>48</v>
      </c>
      <c r="F42" s="10" t="s">
        <v>48</v>
      </c>
      <c r="G42" s="10" t="s">
        <v>48</v>
      </c>
      <c r="H42" s="421">
        <v>32</v>
      </c>
      <c r="I42" s="427" t="s">
        <v>1834</v>
      </c>
      <c r="J42" s="554" t="s">
        <v>724</v>
      </c>
      <c r="K42" s="1604"/>
      <c r="L42" s="1606"/>
    </row>
    <row r="43" spans="1:12" ht="28.8">
      <c r="A43" s="883" t="s">
        <v>1847</v>
      </c>
      <c r="B43" s="899" t="s">
        <v>1848</v>
      </c>
      <c r="C43" s="10" t="s">
        <v>48</v>
      </c>
      <c r="D43" s="10" t="s">
        <v>48</v>
      </c>
      <c r="E43" s="10" t="s">
        <v>48</v>
      </c>
      <c r="F43" s="10" t="s">
        <v>48</v>
      </c>
      <c r="G43" s="10" t="s">
        <v>48</v>
      </c>
      <c r="H43" s="10">
        <v>8</v>
      </c>
      <c r="I43" s="10" t="s">
        <v>839</v>
      </c>
      <c r="J43" s="554" t="s">
        <v>729</v>
      </c>
      <c r="K43" s="1604"/>
      <c r="L43" s="1606"/>
    </row>
    <row r="44" spans="1:12">
      <c r="A44" s="883" t="s">
        <v>1849</v>
      </c>
      <c r="B44" s="12" t="s">
        <v>1850</v>
      </c>
      <c r="C44" s="421" t="s">
        <v>48</v>
      </c>
      <c r="D44" s="10" t="s">
        <v>48</v>
      </c>
      <c r="E44" s="10" t="s">
        <v>48</v>
      </c>
      <c r="F44" s="10" t="s">
        <v>48</v>
      </c>
      <c r="G44" s="10" t="s">
        <v>48</v>
      </c>
      <c r="H44" s="421">
        <v>32</v>
      </c>
      <c r="I44" s="427" t="s">
        <v>1834</v>
      </c>
      <c r="J44" s="554" t="s">
        <v>724</v>
      </c>
      <c r="K44" s="1604"/>
      <c r="L44" s="1606"/>
    </row>
    <row r="45" spans="1:12" ht="28.8">
      <c r="A45" s="883" t="s">
        <v>1851</v>
      </c>
      <c r="B45" s="899" t="s">
        <v>1852</v>
      </c>
      <c r="C45" s="10" t="s">
        <v>48</v>
      </c>
      <c r="D45" s="10" t="s">
        <v>48</v>
      </c>
      <c r="E45" s="10" t="s">
        <v>48</v>
      </c>
      <c r="F45" s="10" t="s">
        <v>48</v>
      </c>
      <c r="G45" s="10" t="s">
        <v>48</v>
      </c>
      <c r="H45" s="10">
        <v>8</v>
      </c>
      <c r="I45" s="10" t="s">
        <v>839</v>
      </c>
      <c r="J45" s="554" t="s">
        <v>729</v>
      </c>
      <c r="K45" s="1604"/>
      <c r="L45" s="1606"/>
    </row>
    <row r="46" spans="1:12">
      <c r="A46" s="883" t="s">
        <v>1853</v>
      </c>
      <c r="B46" s="12" t="s">
        <v>1854</v>
      </c>
      <c r="C46" s="421" t="s">
        <v>48</v>
      </c>
      <c r="D46" s="10" t="s">
        <v>48</v>
      </c>
      <c r="E46" s="10" t="s">
        <v>48</v>
      </c>
      <c r="F46" s="10" t="s">
        <v>48</v>
      </c>
      <c r="G46" s="10" t="s">
        <v>48</v>
      </c>
      <c r="H46" s="421">
        <v>32</v>
      </c>
      <c r="I46" s="427" t="s">
        <v>1834</v>
      </c>
      <c r="J46" s="554" t="s">
        <v>724</v>
      </c>
      <c r="K46" s="1604"/>
      <c r="L46" s="1606"/>
    </row>
    <row r="47" spans="1:12" ht="28.8">
      <c r="A47" s="883" t="s">
        <v>1855</v>
      </c>
      <c r="B47" s="899" t="s">
        <v>1856</v>
      </c>
      <c r="C47" s="10" t="s">
        <v>48</v>
      </c>
      <c r="D47" s="10" t="s">
        <v>48</v>
      </c>
      <c r="E47" s="10" t="s">
        <v>48</v>
      </c>
      <c r="F47" s="10" t="s">
        <v>48</v>
      </c>
      <c r="G47" s="10" t="s">
        <v>48</v>
      </c>
      <c r="H47" s="10">
        <v>8</v>
      </c>
      <c r="I47" s="10" t="s">
        <v>839</v>
      </c>
      <c r="J47" s="554" t="s">
        <v>729</v>
      </c>
      <c r="K47" s="1604"/>
      <c r="L47" s="1606"/>
    </row>
    <row r="48" spans="1:12">
      <c r="A48" s="883" t="s">
        <v>1857</v>
      </c>
      <c r="B48" s="12" t="s">
        <v>1858</v>
      </c>
      <c r="C48" s="421" t="s">
        <v>48</v>
      </c>
      <c r="D48" s="10" t="s">
        <v>48</v>
      </c>
      <c r="E48" s="10" t="s">
        <v>48</v>
      </c>
      <c r="F48" s="10" t="s">
        <v>48</v>
      </c>
      <c r="G48" s="10" t="s">
        <v>48</v>
      </c>
      <c r="H48" s="421">
        <v>32</v>
      </c>
      <c r="I48" s="427" t="s">
        <v>1834</v>
      </c>
      <c r="J48" s="554" t="s">
        <v>724</v>
      </c>
      <c r="K48" s="1604"/>
      <c r="L48" s="1606"/>
    </row>
    <row r="49" spans="1:12" ht="17.25" customHeight="1">
      <c r="A49" s="883" t="s">
        <v>1859</v>
      </c>
      <c r="B49" s="899" t="s">
        <v>1860</v>
      </c>
      <c r="C49" s="10" t="s">
        <v>48</v>
      </c>
      <c r="D49" s="10" t="s">
        <v>48</v>
      </c>
      <c r="E49" s="10" t="s">
        <v>48</v>
      </c>
      <c r="F49" s="10" t="s">
        <v>48</v>
      </c>
      <c r="G49" s="10" t="s">
        <v>48</v>
      </c>
      <c r="H49" s="10">
        <v>8</v>
      </c>
      <c r="I49" s="10" t="s">
        <v>839</v>
      </c>
      <c r="J49" s="554" t="s">
        <v>729</v>
      </c>
      <c r="K49" s="1604"/>
      <c r="L49" s="1606"/>
    </row>
    <row r="50" spans="1:12">
      <c r="A50" s="883" t="s">
        <v>1861</v>
      </c>
      <c r="B50" s="12" t="s">
        <v>1862</v>
      </c>
      <c r="C50" s="421" t="s">
        <v>48</v>
      </c>
      <c r="D50" s="10" t="s">
        <v>48</v>
      </c>
      <c r="E50" s="10" t="s">
        <v>48</v>
      </c>
      <c r="F50" s="10" t="s">
        <v>48</v>
      </c>
      <c r="G50" s="10" t="s">
        <v>48</v>
      </c>
      <c r="H50" s="421">
        <v>32</v>
      </c>
      <c r="I50" s="427" t="s">
        <v>1834</v>
      </c>
      <c r="J50" s="554" t="s">
        <v>724</v>
      </c>
      <c r="K50" s="1604"/>
      <c r="L50" s="1606"/>
    </row>
    <row r="51" spans="1:12" ht="18" customHeight="1">
      <c r="A51" s="883" t="s">
        <v>1863</v>
      </c>
      <c r="B51" s="899" t="s">
        <v>1864</v>
      </c>
      <c r="C51" s="10" t="s">
        <v>48</v>
      </c>
      <c r="D51" s="10" t="s">
        <v>48</v>
      </c>
      <c r="E51" s="10" t="s">
        <v>48</v>
      </c>
      <c r="F51" s="10" t="s">
        <v>48</v>
      </c>
      <c r="G51" s="10" t="s">
        <v>48</v>
      </c>
      <c r="H51" s="10">
        <v>8</v>
      </c>
      <c r="I51" s="10" t="s">
        <v>839</v>
      </c>
      <c r="J51" s="554" t="s">
        <v>729</v>
      </c>
      <c r="K51" s="1604"/>
      <c r="L51" s="1606"/>
    </row>
    <row r="52" spans="1:12">
      <c r="A52" s="883" t="s">
        <v>1865</v>
      </c>
      <c r="B52" s="12" t="s">
        <v>1866</v>
      </c>
      <c r="C52" s="421" t="s">
        <v>48</v>
      </c>
      <c r="D52" s="10" t="s">
        <v>48</v>
      </c>
      <c r="E52" s="10" t="s">
        <v>48</v>
      </c>
      <c r="F52" s="10" t="s">
        <v>48</v>
      </c>
      <c r="G52" s="10" t="s">
        <v>48</v>
      </c>
      <c r="H52" s="421">
        <v>32</v>
      </c>
      <c r="I52" s="427" t="s">
        <v>1834</v>
      </c>
      <c r="J52" s="554" t="s">
        <v>724</v>
      </c>
      <c r="K52" s="1604"/>
      <c r="L52" s="1606"/>
    </row>
    <row r="53" spans="1:12" ht="18" customHeight="1">
      <c r="A53" s="883" t="s">
        <v>1867</v>
      </c>
      <c r="B53" s="899" t="s">
        <v>1868</v>
      </c>
      <c r="C53" s="10" t="s">
        <v>48</v>
      </c>
      <c r="D53" s="10" t="s">
        <v>48</v>
      </c>
      <c r="E53" s="10" t="s">
        <v>48</v>
      </c>
      <c r="F53" s="10" t="s">
        <v>48</v>
      </c>
      <c r="G53" s="10" t="s">
        <v>48</v>
      </c>
      <c r="H53" s="10">
        <v>8</v>
      </c>
      <c r="I53" s="10" t="s">
        <v>839</v>
      </c>
      <c r="J53" s="554" t="s">
        <v>729</v>
      </c>
      <c r="K53" s="1604"/>
      <c r="L53" s="1606"/>
    </row>
    <row r="54" spans="1:12">
      <c r="A54" s="883" t="s">
        <v>1869</v>
      </c>
      <c r="B54" s="12" t="s">
        <v>1870</v>
      </c>
      <c r="C54" s="421" t="s">
        <v>48</v>
      </c>
      <c r="D54" s="10" t="s">
        <v>48</v>
      </c>
      <c r="E54" s="10" t="s">
        <v>48</v>
      </c>
      <c r="F54" s="10" t="s">
        <v>48</v>
      </c>
      <c r="G54" s="10" t="s">
        <v>48</v>
      </c>
      <c r="H54" s="421">
        <v>32</v>
      </c>
      <c r="I54" s="427" t="s">
        <v>1834</v>
      </c>
      <c r="J54" s="554" t="s">
        <v>724</v>
      </c>
      <c r="K54" s="1604"/>
      <c r="L54" s="1606"/>
    </row>
    <row r="55" spans="1:12" ht="30" customHeight="1">
      <c r="A55" s="883" t="s">
        <v>1871</v>
      </c>
      <c r="B55" s="899" t="s">
        <v>1872</v>
      </c>
      <c r="C55" s="10" t="s">
        <v>48</v>
      </c>
      <c r="D55" s="10" t="s">
        <v>48</v>
      </c>
      <c r="E55" s="10" t="s">
        <v>48</v>
      </c>
      <c r="F55" s="10" t="s">
        <v>48</v>
      </c>
      <c r="G55" s="10" t="s">
        <v>48</v>
      </c>
      <c r="H55" s="10">
        <v>8</v>
      </c>
      <c r="I55" s="10" t="s">
        <v>839</v>
      </c>
      <c r="J55" s="554" t="s">
        <v>729</v>
      </c>
      <c r="K55" s="1604"/>
      <c r="L55" s="1606"/>
    </row>
    <row r="56" spans="1:12" ht="28.8">
      <c r="A56" s="883" t="s">
        <v>1873</v>
      </c>
      <c r="B56" s="12" t="s">
        <v>1874</v>
      </c>
      <c r="C56" s="421" t="s">
        <v>48</v>
      </c>
      <c r="D56" s="10" t="s">
        <v>48</v>
      </c>
      <c r="E56" s="10" t="s">
        <v>48</v>
      </c>
      <c r="F56" s="10" t="s">
        <v>48</v>
      </c>
      <c r="G56" s="10" t="s">
        <v>48</v>
      </c>
      <c r="H56" s="421">
        <v>32</v>
      </c>
      <c r="I56" s="427" t="s">
        <v>1834</v>
      </c>
      <c r="J56" s="554" t="s">
        <v>724</v>
      </c>
      <c r="K56" s="1604"/>
      <c r="L56" s="1606"/>
    </row>
    <row r="57" spans="1:12" ht="43.2">
      <c r="A57" s="883" t="s">
        <v>1875</v>
      </c>
      <c r="B57" s="899" t="s">
        <v>1876</v>
      </c>
      <c r="C57" s="10" t="s">
        <v>48</v>
      </c>
      <c r="D57" s="10" t="s">
        <v>48</v>
      </c>
      <c r="E57" s="10" t="s">
        <v>48</v>
      </c>
      <c r="F57" s="10" t="s">
        <v>48</v>
      </c>
      <c r="G57" s="10" t="s">
        <v>48</v>
      </c>
      <c r="H57" s="10">
        <v>8</v>
      </c>
      <c r="I57" s="10" t="s">
        <v>839</v>
      </c>
      <c r="J57" s="554" t="s">
        <v>729</v>
      </c>
      <c r="K57" s="1604"/>
      <c r="L57" s="1606"/>
    </row>
    <row r="58" spans="1:12" ht="28.8">
      <c r="A58" s="883" t="s">
        <v>1877</v>
      </c>
      <c r="B58" s="12" t="s">
        <v>1878</v>
      </c>
      <c r="C58" s="421" t="s">
        <v>48</v>
      </c>
      <c r="D58" s="10" t="s">
        <v>48</v>
      </c>
      <c r="E58" s="10" t="s">
        <v>48</v>
      </c>
      <c r="F58" s="10" t="s">
        <v>48</v>
      </c>
      <c r="G58" s="10" t="s">
        <v>48</v>
      </c>
      <c r="H58" s="421">
        <v>32</v>
      </c>
      <c r="I58" s="427" t="s">
        <v>1834</v>
      </c>
      <c r="J58" s="554" t="s">
        <v>724</v>
      </c>
      <c r="K58" s="1604"/>
      <c r="L58" s="1606"/>
    </row>
    <row r="59" spans="1:12" ht="43.2">
      <c r="A59" s="883" t="s">
        <v>1879</v>
      </c>
      <c r="B59" s="899" t="s">
        <v>1880</v>
      </c>
      <c r="C59" s="10" t="s">
        <v>48</v>
      </c>
      <c r="D59" s="10" t="s">
        <v>48</v>
      </c>
      <c r="E59" s="10" t="s">
        <v>48</v>
      </c>
      <c r="F59" s="10" t="s">
        <v>48</v>
      </c>
      <c r="G59" s="10" t="s">
        <v>48</v>
      </c>
      <c r="H59" s="10">
        <v>8</v>
      </c>
      <c r="I59" s="10" t="s">
        <v>839</v>
      </c>
      <c r="J59" s="554" t="s">
        <v>729</v>
      </c>
      <c r="K59" s="1604"/>
      <c r="L59" s="1606"/>
    </row>
    <row r="60" spans="1:12" ht="28.8">
      <c r="A60" s="883" t="s">
        <v>1881</v>
      </c>
      <c r="B60" s="12" t="s">
        <v>1882</v>
      </c>
      <c r="C60" s="421" t="s">
        <v>48</v>
      </c>
      <c r="D60" s="10" t="s">
        <v>48</v>
      </c>
      <c r="E60" s="10" t="s">
        <v>48</v>
      </c>
      <c r="F60" s="10" t="s">
        <v>48</v>
      </c>
      <c r="G60" s="10" t="s">
        <v>48</v>
      </c>
      <c r="H60" s="421">
        <v>32</v>
      </c>
      <c r="I60" s="427" t="s">
        <v>1834</v>
      </c>
      <c r="J60" s="554" t="s">
        <v>724</v>
      </c>
      <c r="K60" s="1604"/>
      <c r="L60" s="1606"/>
    </row>
    <row r="61" spans="1:12" ht="43.2">
      <c r="A61" s="883" t="s">
        <v>1883</v>
      </c>
      <c r="B61" s="899" t="s">
        <v>1884</v>
      </c>
      <c r="C61" s="10" t="s">
        <v>48</v>
      </c>
      <c r="D61" s="10" t="s">
        <v>48</v>
      </c>
      <c r="E61" s="10" t="s">
        <v>48</v>
      </c>
      <c r="F61" s="10" t="s">
        <v>48</v>
      </c>
      <c r="G61" s="10" t="s">
        <v>48</v>
      </c>
      <c r="H61" s="10">
        <v>8</v>
      </c>
      <c r="I61" s="10" t="s">
        <v>839</v>
      </c>
      <c r="J61" s="554" t="s">
        <v>729</v>
      </c>
      <c r="K61" s="1604"/>
      <c r="L61" s="1606"/>
    </row>
    <row r="62" spans="1:12" ht="28.8">
      <c r="A62" s="883" t="s">
        <v>1885</v>
      </c>
      <c r="B62" s="12" t="s">
        <v>1886</v>
      </c>
      <c r="C62" s="421" t="s">
        <v>48</v>
      </c>
      <c r="D62" s="10" t="s">
        <v>48</v>
      </c>
      <c r="E62" s="10" t="s">
        <v>48</v>
      </c>
      <c r="F62" s="10" t="s">
        <v>48</v>
      </c>
      <c r="G62" s="10" t="s">
        <v>48</v>
      </c>
      <c r="H62" s="421">
        <v>32</v>
      </c>
      <c r="I62" s="427" t="s">
        <v>1834</v>
      </c>
      <c r="J62" s="554" t="s">
        <v>724</v>
      </c>
      <c r="K62" s="1604"/>
      <c r="L62" s="1606"/>
    </row>
    <row r="63" spans="1:12" ht="43.2">
      <c r="A63" s="883" t="s">
        <v>1887</v>
      </c>
      <c r="B63" s="899" t="s">
        <v>1888</v>
      </c>
      <c r="C63" s="10" t="s">
        <v>48</v>
      </c>
      <c r="D63" s="10" t="s">
        <v>48</v>
      </c>
      <c r="E63" s="10" t="s">
        <v>48</v>
      </c>
      <c r="F63" s="10" t="s">
        <v>48</v>
      </c>
      <c r="G63" s="10" t="s">
        <v>48</v>
      </c>
      <c r="H63" s="10">
        <v>8</v>
      </c>
      <c r="I63" s="10" t="s">
        <v>839</v>
      </c>
      <c r="J63" s="554" t="s">
        <v>729</v>
      </c>
      <c r="K63" s="1604"/>
      <c r="L63" s="1606"/>
    </row>
    <row r="64" spans="1:12" ht="28.8">
      <c r="A64" s="883" t="s">
        <v>1889</v>
      </c>
      <c r="B64" s="12" t="s">
        <v>1890</v>
      </c>
      <c r="C64" s="421" t="s">
        <v>48</v>
      </c>
      <c r="D64" s="10" t="s">
        <v>48</v>
      </c>
      <c r="E64" s="10" t="s">
        <v>48</v>
      </c>
      <c r="F64" s="10" t="s">
        <v>48</v>
      </c>
      <c r="G64" s="10" t="s">
        <v>48</v>
      </c>
      <c r="H64" s="421">
        <v>32</v>
      </c>
      <c r="I64" s="427" t="s">
        <v>1834</v>
      </c>
      <c r="J64" s="554" t="s">
        <v>724</v>
      </c>
      <c r="K64" s="1604"/>
      <c r="L64" s="1606"/>
    </row>
    <row r="65" spans="1:12" ht="43.2">
      <c r="A65" s="883" t="s">
        <v>1891</v>
      </c>
      <c r="B65" s="899" t="s">
        <v>1892</v>
      </c>
      <c r="C65" s="10" t="s">
        <v>48</v>
      </c>
      <c r="D65" s="10" t="s">
        <v>48</v>
      </c>
      <c r="E65" s="10" t="s">
        <v>48</v>
      </c>
      <c r="F65" s="10" t="s">
        <v>48</v>
      </c>
      <c r="G65" s="10" t="s">
        <v>48</v>
      </c>
      <c r="H65" s="10">
        <v>8</v>
      </c>
      <c r="I65" s="10" t="s">
        <v>839</v>
      </c>
      <c r="J65" s="554" t="s">
        <v>729</v>
      </c>
      <c r="K65" s="1604"/>
      <c r="L65" s="1606"/>
    </row>
    <row r="66" spans="1:12" ht="28.8">
      <c r="A66" s="883" t="s">
        <v>1893</v>
      </c>
      <c r="B66" s="12" t="s">
        <v>1894</v>
      </c>
      <c r="C66" s="421" t="s">
        <v>48</v>
      </c>
      <c r="D66" s="10" t="s">
        <v>48</v>
      </c>
      <c r="E66" s="10" t="s">
        <v>48</v>
      </c>
      <c r="F66" s="10" t="s">
        <v>48</v>
      </c>
      <c r="G66" s="10" t="s">
        <v>48</v>
      </c>
      <c r="H66" s="421">
        <v>32</v>
      </c>
      <c r="I66" s="427" t="s">
        <v>1834</v>
      </c>
      <c r="J66" s="554" t="s">
        <v>724</v>
      </c>
      <c r="K66" s="1604"/>
      <c r="L66" s="1606"/>
    </row>
    <row r="67" spans="1:12" ht="43.2">
      <c r="A67" s="883" t="s">
        <v>1895</v>
      </c>
      <c r="B67" s="899" t="s">
        <v>1896</v>
      </c>
      <c r="C67" s="10" t="s">
        <v>48</v>
      </c>
      <c r="D67" s="10" t="s">
        <v>48</v>
      </c>
      <c r="E67" s="10" t="s">
        <v>48</v>
      </c>
      <c r="F67" s="10" t="s">
        <v>48</v>
      </c>
      <c r="G67" s="10" t="s">
        <v>48</v>
      </c>
      <c r="H67" s="10">
        <v>8</v>
      </c>
      <c r="I67" s="10" t="s">
        <v>839</v>
      </c>
      <c r="J67" s="554" t="s">
        <v>729</v>
      </c>
      <c r="K67" s="1604"/>
      <c r="L67" s="1606"/>
    </row>
    <row r="68" spans="1:12" ht="28.8">
      <c r="A68" s="883" t="s">
        <v>1897</v>
      </c>
      <c r="B68" s="12" t="s">
        <v>1898</v>
      </c>
      <c r="C68" s="421" t="s">
        <v>48</v>
      </c>
      <c r="D68" s="10" t="s">
        <v>48</v>
      </c>
      <c r="E68" s="10" t="s">
        <v>48</v>
      </c>
      <c r="F68" s="10" t="s">
        <v>48</v>
      </c>
      <c r="G68" s="10" t="s">
        <v>48</v>
      </c>
      <c r="H68" s="421">
        <v>32</v>
      </c>
      <c r="I68" s="427" t="s">
        <v>1834</v>
      </c>
      <c r="J68" s="554" t="s">
        <v>724</v>
      </c>
      <c r="K68" s="1604"/>
      <c r="L68" s="1606"/>
    </row>
    <row r="69" spans="1:12" ht="18" customHeight="1">
      <c r="A69" s="883" t="s">
        <v>1899</v>
      </c>
      <c r="B69" s="899" t="s">
        <v>1900</v>
      </c>
      <c r="C69" s="10" t="s">
        <v>48</v>
      </c>
      <c r="D69" s="10" t="s">
        <v>48</v>
      </c>
      <c r="E69" s="10" t="s">
        <v>48</v>
      </c>
      <c r="F69" s="10" t="s">
        <v>48</v>
      </c>
      <c r="G69" s="10" t="s">
        <v>48</v>
      </c>
      <c r="H69" s="10">
        <v>8</v>
      </c>
      <c r="I69" s="10" t="s">
        <v>839</v>
      </c>
      <c r="J69" s="554" t="s">
        <v>729</v>
      </c>
      <c r="K69" s="1604"/>
      <c r="L69" s="1606"/>
    </row>
    <row r="70" spans="1:12" ht="28.8">
      <c r="A70" s="883" t="s">
        <v>1901</v>
      </c>
      <c r="B70" s="12" t="s">
        <v>1902</v>
      </c>
      <c r="C70" s="421" t="s">
        <v>48</v>
      </c>
      <c r="D70" s="10" t="s">
        <v>48</v>
      </c>
      <c r="E70" s="10" t="s">
        <v>48</v>
      </c>
      <c r="F70" s="10" t="s">
        <v>48</v>
      </c>
      <c r="G70" s="10" t="s">
        <v>48</v>
      </c>
      <c r="H70" s="421">
        <v>32</v>
      </c>
      <c r="I70" s="427" t="s">
        <v>1834</v>
      </c>
      <c r="J70" s="554" t="s">
        <v>724</v>
      </c>
      <c r="K70" s="1604"/>
      <c r="L70" s="1606"/>
    </row>
    <row r="71" spans="1:12" ht="16.5" customHeight="1">
      <c r="A71" s="883" t="s">
        <v>1903</v>
      </c>
      <c r="B71" s="899" t="s">
        <v>1904</v>
      </c>
      <c r="C71" s="10" t="s">
        <v>48</v>
      </c>
      <c r="D71" s="10" t="s">
        <v>48</v>
      </c>
      <c r="E71" s="10" t="s">
        <v>48</v>
      </c>
      <c r="F71" s="10" t="s">
        <v>48</v>
      </c>
      <c r="G71" s="10" t="s">
        <v>48</v>
      </c>
      <c r="H71" s="10">
        <v>8</v>
      </c>
      <c r="I71" s="10" t="s">
        <v>839</v>
      </c>
      <c r="J71" s="554" t="s">
        <v>729</v>
      </c>
      <c r="K71" s="1604"/>
      <c r="L71" s="1606"/>
    </row>
    <row r="72" spans="1:12" ht="28.8">
      <c r="A72" s="883" t="s">
        <v>1905</v>
      </c>
      <c r="B72" s="12" t="s">
        <v>1906</v>
      </c>
      <c r="C72" s="421" t="s">
        <v>48</v>
      </c>
      <c r="D72" s="10" t="s">
        <v>48</v>
      </c>
      <c r="E72" s="10" t="s">
        <v>48</v>
      </c>
      <c r="F72" s="10" t="s">
        <v>48</v>
      </c>
      <c r="G72" s="10" t="s">
        <v>48</v>
      </c>
      <c r="H72" s="421">
        <v>32</v>
      </c>
      <c r="I72" s="427" t="s">
        <v>1834</v>
      </c>
      <c r="J72" s="554" t="s">
        <v>724</v>
      </c>
      <c r="K72" s="1604"/>
      <c r="L72" s="1606"/>
    </row>
    <row r="73" spans="1:12" ht="17.25" customHeight="1">
      <c r="A73" s="883" t="s">
        <v>1907</v>
      </c>
      <c r="B73" s="899" t="s">
        <v>1908</v>
      </c>
      <c r="C73" s="10" t="s">
        <v>48</v>
      </c>
      <c r="D73" s="10" t="s">
        <v>48</v>
      </c>
      <c r="E73" s="10" t="s">
        <v>48</v>
      </c>
      <c r="F73" s="10" t="s">
        <v>48</v>
      </c>
      <c r="G73" s="10" t="s">
        <v>48</v>
      </c>
      <c r="H73" s="10">
        <v>8</v>
      </c>
      <c r="I73" s="10" t="s">
        <v>839</v>
      </c>
      <c r="J73" s="554" t="s">
        <v>729</v>
      </c>
      <c r="K73" s="1604"/>
      <c r="L73" s="1606"/>
    </row>
    <row r="74" spans="1:12" ht="28.8">
      <c r="A74" s="883" t="s">
        <v>1909</v>
      </c>
      <c r="B74" s="12" t="s">
        <v>1910</v>
      </c>
      <c r="C74" s="421" t="s">
        <v>48</v>
      </c>
      <c r="D74" s="10" t="s">
        <v>48</v>
      </c>
      <c r="E74" s="10" t="s">
        <v>48</v>
      </c>
      <c r="F74" s="10" t="s">
        <v>48</v>
      </c>
      <c r="G74" s="10" t="s">
        <v>48</v>
      </c>
      <c r="H74" s="421">
        <v>32</v>
      </c>
      <c r="I74" s="427" t="s">
        <v>1834</v>
      </c>
      <c r="J74" s="554" t="s">
        <v>724</v>
      </c>
      <c r="K74" s="1604"/>
      <c r="L74" s="1606"/>
    </row>
    <row r="75" spans="1:12">
      <c r="A75" s="882" t="s">
        <v>1911</v>
      </c>
      <c r="B75" s="899" t="s">
        <v>1912</v>
      </c>
      <c r="C75" s="10" t="s">
        <v>48</v>
      </c>
      <c r="D75" s="10" t="s">
        <v>48</v>
      </c>
      <c r="E75" s="10" t="s">
        <v>48</v>
      </c>
      <c r="F75" s="10" t="s">
        <v>48</v>
      </c>
      <c r="G75" s="10" t="s">
        <v>48</v>
      </c>
      <c r="H75" s="10">
        <v>8</v>
      </c>
      <c r="I75" s="10" t="s">
        <v>839</v>
      </c>
      <c r="J75" s="554" t="s">
        <v>729</v>
      </c>
      <c r="K75" s="1604"/>
      <c r="L75" s="1606"/>
    </row>
    <row r="76" spans="1:12" ht="43.2">
      <c r="A76" s="882" t="s">
        <v>1913</v>
      </c>
      <c r="B76" s="12" t="s">
        <v>1914</v>
      </c>
      <c r="C76" s="420" t="s">
        <v>1072</v>
      </c>
      <c r="D76" s="424">
        <v>0</v>
      </c>
      <c r="E76" s="420" t="s">
        <v>920</v>
      </c>
      <c r="F76" s="9" t="s">
        <v>1915</v>
      </c>
      <c r="G76" s="10" t="s">
        <v>920</v>
      </c>
      <c r="H76" s="425">
        <v>32</v>
      </c>
      <c r="I76" s="10" t="s">
        <v>922</v>
      </c>
      <c r="J76" s="554" t="s">
        <v>724</v>
      </c>
      <c r="K76" s="1604"/>
      <c r="L76" s="1606"/>
    </row>
    <row r="77" spans="1:12" ht="28.8">
      <c r="A77" s="882" t="s">
        <v>1916</v>
      </c>
      <c r="B77" s="899" t="s">
        <v>1917</v>
      </c>
      <c r="C77" s="10" t="s">
        <v>48</v>
      </c>
      <c r="D77" s="10" t="s">
        <v>48</v>
      </c>
      <c r="E77" s="10" t="s">
        <v>48</v>
      </c>
      <c r="F77" s="10" t="s">
        <v>48</v>
      </c>
      <c r="G77" s="10" t="s">
        <v>48</v>
      </c>
      <c r="H77" s="10">
        <v>8</v>
      </c>
      <c r="I77" s="10" t="s">
        <v>839</v>
      </c>
      <c r="J77" s="554" t="s">
        <v>729</v>
      </c>
      <c r="K77" s="1604"/>
      <c r="L77" s="1606"/>
    </row>
    <row r="78" spans="1:12">
      <c r="A78" s="882" t="s">
        <v>1918</v>
      </c>
      <c r="B78" s="12" t="s">
        <v>1919</v>
      </c>
      <c r="C78" s="421" t="s">
        <v>48</v>
      </c>
      <c r="D78" s="10" t="s">
        <v>48</v>
      </c>
      <c r="E78" s="10" t="s">
        <v>48</v>
      </c>
      <c r="F78" s="10" t="s">
        <v>48</v>
      </c>
      <c r="G78" s="10" t="s">
        <v>48</v>
      </c>
      <c r="H78" s="421">
        <v>8</v>
      </c>
      <c r="I78" s="427" t="s">
        <v>1538</v>
      </c>
      <c r="J78" s="554" t="s">
        <v>724</v>
      </c>
      <c r="K78" s="1604"/>
      <c r="L78" s="1606"/>
    </row>
    <row r="79" spans="1:12" ht="28.8">
      <c r="A79" s="882" t="s">
        <v>1920</v>
      </c>
      <c r="B79" s="899" t="s">
        <v>1921</v>
      </c>
      <c r="C79" s="10" t="s">
        <v>48</v>
      </c>
      <c r="D79" s="10" t="s">
        <v>48</v>
      </c>
      <c r="E79" s="10" t="s">
        <v>48</v>
      </c>
      <c r="F79" s="10" t="s">
        <v>48</v>
      </c>
      <c r="G79" s="10" t="s">
        <v>48</v>
      </c>
      <c r="H79" s="10">
        <v>8</v>
      </c>
      <c r="I79" s="10" t="s">
        <v>839</v>
      </c>
      <c r="J79" s="554" t="s">
        <v>729</v>
      </c>
      <c r="K79" s="1604"/>
      <c r="L79" s="1606"/>
    </row>
    <row r="80" spans="1:12" ht="28.8">
      <c r="A80" s="882" t="s">
        <v>1922</v>
      </c>
      <c r="B80" s="12" t="s">
        <v>1923</v>
      </c>
      <c r="C80" s="428" t="s">
        <v>996</v>
      </c>
      <c r="D80" s="428">
        <v>0</v>
      </c>
      <c r="E80" s="428" t="s">
        <v>920</v>
      </c>
      <c r="F80" s="9" t="s">
        <v>1924</v>
      </c>
      <c r="G80" s="10" t="s">
        <v>920</v>
      </c>
      <c r="H80" s="423">
        <v>32</v>
      </c>
      <c r="I80" s="10" t="s">
        <v>922</v>
      </c>
      <c r="J80" s="554" t="s">
        <v>724</v>
      </c>
      <c r="K80" s="1604"/>
      <c r="L80" s="1606"/>
    </row>
    <row r="81" spans="1:12" ht="28.8">
      <c r="A81" s="882" t="s">
        <v>1925</v>
      </c>
      <c r="B81" s="899" t="s">
        <v>1926</v>
      </c>
      <c r="C81" s="10" t="s">
        <v>48</v>
      </c>
      <c r="D81" s="10" t="s">
        <v>48</v>
      </c>
      <c r="E81" s="10" t="s">
        <v>48</v>
      </c>
      <c r="F81" s="10" t="s">
        <v>48</v>
      </c>
      <c r="G81" s="10" t="s">
        <v>48</v>
      </c>
      <c r="H81" s="10">
        <v>8</v>
      </c>
      <c r="I81" s="10" t="s">
        <v>839</v>
      </c>
      <c r="J81" s="554" t="s">
        <v>729</v>
      </c>
      <c r="K81" s="1604"/>
      <c r="L81" s="1606"/>
    </row>
    <row r="82" spans="1:12">
      <c r="A82" s="882" t="s">
        <v>1927</v>
      </c>
      <c r="B82" s="12" t="s">
        <v>1928</v>
      </c>
      <c r="C82" s="421" t="s">
        <v>48</v>
      </c>
      <c r="D82" s="10" t="s">
        <v>48</v>
      </c>
      <c r="E82" s="10" t="s">
        <v>48</v>
      </c>
      <c r="F82" s="10" t="s">
        <v>48</v>
      </c>
      <c r="G82" s="10" t="s">
        <v>48</v>
      </c>
      <c r="H82" s="421">
        <v>8</v>
      </c>
      <c r="I82" s="427" t="s">
        <v>1538</v>
      </c>
      <c r="J82" s="554" t="s">
        <v>724</v>
      </c>
      <c r="K82" s="1604"/>
      <c r="L82" s="1606"/>
    </row>
    <row r="83" spans="1:12" ht="28.8">
      <c r="A83" s="882" t="s">
        <v>1929</v>
      </c>
      <c r="B83" s="899" t="s">
        <v>1930</v>
      </c>
      <c r="C83" s="10" t="s">
        <v>48</v>
      </c>
      <c r="D83" s="10" t="s">
        <v>48</v>
      </c>
      <c r="E83" s="10" t="s">
        <v>48</v>
      </c>
      <c r="F83" s="10" t="s">
        <v>48</v>
      </c>
      <c r="G83" s="10" t="s">
        <v>48</v>
      </c>
      <c r="H83" s="10">
        <v>8</v>
      </c>
      <c r="I83" s="10" t="s">
        <v>839</v>
      </c>
      <c r="J83" s="554" t="s">
        <v>729</v>
      </c>
      <c r="K83" s="1604"/>
      <c r="L83" s="1606"/>
    </row>
    <row r="84" spans="1:12" ht="43.2">
      <c r="A84" s="882" t="s">
        <v>1931</v>
      </c>
      <c r="B84" s="343" t="s">
        <v>1932</v>
      </c>
      <c r="C84" s="421" t="s">
        <v>48</v>
      </c>
      <c r="D84" s="10" t="s">
        <v>48</v>
      </c>
      <c r="E84" s="10" t="s">
        <v>48</v>
      </c>
      <c r="F84" s="10" t="s">
        <v>48</v>
      </c>
      <c r="G84" s="10" t="s">
        <v>48</v>
      </c>
      <c r="H84" s="421">
        <v>8</v>
      </c>
      <c r="I84" s="427" t="s">
        <v>1538</v>
      </c>
      <c r="J84" s="554" t="s">
        <v>724</v>
      </c>
      <c r="K84" s="1604"/>
      <c r="L84" s="1606"/>
    </row>
    <row r="85" spans="1:12">
      <c r="A85" s="882" t="s">
        <v>1933</v>
      </c>
      <c r="B85" s="899" t="s">
        <v>1934</v>
      </c>
      <c r="C85" s="10" t="s">
        <v>48</v>
      </c>
      <c r="D85" s="10" t="s">
        <v>48</v>
      </c>
      <c r="E85" s="10" t="s">
        <v>48</v>
      </c>
      <c r="F85" s="10" t="s">
        <v>48</v>
      </c>
      <c r="G85" s="10" t="s">
        <v>48</v>
      </c>
      <c r="H85" s="10">
        <v>8</v>
      </c>
      <c r="I85" s="10" t="s">
        <v>839</v>
      </c>
      <c r="J85" s="554" t="s">
        <v>729</v>
      </c>
      <c r="K85" s="1604"/>
      <c r="L85" s="1606"/>
    </row>
    <row r="86" spans="1:12">
      <c r="A86" s="882" t="s">
        <v>1935</v>
      </c>
      <c r="B86" s="12" t="s">
        <v>1936</v>
      </c>
      <c r="C86" s="421" t="s">
        <v>48</v>
      </c>
      <c r="D86" s="10" t="s">
        <v>48</v>
      </c>
      <c r="E86" s="10" t="s">
        <v>48</v>
      </c>
      <c r="F86" s="10" t="s">
        <v>48</v>
      </c>
      <c r="G86" s="10" t="s">
        <v>48</v>
      </c>
      <c r="H86" s="423">
        <v>32</v>
      </c>
      <c r="I86" s="421" t="s">
        <v>1800</v>
      </c>
      <c r="J86" s="554" t="s">
        <v>724</v>
      </c>
      <c r="K86" s="1604"/>
      <c r="L86" s="1606"/>
    </row>
    <row r="87" spans="1:12">
      <c r="A87" s="882" t="s">
        <v>1937</v>
      </c>
      <c r="B87" s="899" t="s">
        <v>1938</v>
      </c>
      <c r="C87" s="10" t="s">
        <v>48</v>
      </c>
      <c r="D87" s="10" t="s">
        <v>48</v>
      </c>
      <c r="E87" s="10" t="s">
        <v>48</v>
      </c>
      <c r="F87" s="10" t="s">
        <v>48</v>
      </c>
      <c r="G87" s="10" t="s">
        <v>48</v>
      </c>
      <c r="H87" s="10">
        <v>8</v>
      </c>
      <c r="I87" s="10" t="s">
        <v>839</v>
      </c>
      <c r="J87" s="554" t="s">
        <v>729</v>
      </c>
      <c r="K87" s="1604"/>
      <c r="L87" s="1606"/>
    </row>
    <row r="88" spans="1:12">
      <c r="A88" s="882" t="s">
        <v>1939</v>
      </c>
      <c r="B88" s="12" t="s">
        <v>1940</v>
      </c>
      <c r="C88" s="421" t="s">
        <v>48</v>
      </c>
      <c r="D88" s="10" t="s">
        <v>48</v>
      </c>
      <c r="E88" s="10" t="s">
        <v>48</v>
      </c>
      <c r="F88" s="10" t="s">
        <v>48</v>
      </c>
      <c r="G88" s="10" t="s">
        <v>48</v>
      </c>
      <c r="H88" s="423">
        <v>32</v>
      </c>
      <c r="I88" s="421" t="s">
        <v>1800</v>
      </c>
      <c r="J88" s="554" t="s">
        <v>724</v>
      </c>
      <c r="K88" s="1604"/>
      <c r="L88" s="1606"/>
    </row>
    <row r="89" spans="1:12" ht="28.8">
      <c r="A89" s="882" t="s">
        <v>1941</v>
      </c>
      <c r="B89" s="899" t="s">
        <v>1942</v>
      </c>
      <c r="C89" s="10" t="s">
        <v>48</v>
      </c>
      <c r="D89" s="10" t="s">
        <v>48</v>
      </c>
      <c r="E89" s="10" t="s">
        <v>48</v>
      </c>
      <c r="F89" s="10" t="s">
        <v>48</v>
      </c>
      <c r="G89" s="10" t="s">
        <v>48</v>
      </c>
      <c r="H89" s="10">
        <v>8</v>
      </c>
      <c r="I89" s="10" t="s">
        <v>839</v>
      </c>
      <c r="J89" s="554" t="s">
        <v>729</v>
      </c>
      <c r="K89" s="1604"/>
      <c r="L89" s="1606"/>
    </row>
    <row r="90" spans="1:12" ht="28.8">
      <c r="A90" s="882" t="s">
        <v>1943</v>
      </c>
      <c r="B90" s="12" t="s">
        <v>1944</v>
      </c>
      <c r="C90" s="10" t="s">
        <v>48</v>
      </c>
      <c r="D90" s="10" t="s">
        <v>48</v>
      </c>
      <c r="E90" s="10" t="s">
        <v>48</v>
      </c>
      <c r="F90" s="10" t="s">
        <v>48</v>
      </c>
      <c r="G90" s="10" t="s">
        <v>48</v>
      </c>
      <c r="H90" s="423">
        <v>32</v>
      </c>
      <c r="I90" s="421" t="s">
        <v>1800</v>
      </c>
      <c r="J90" s="554" t="s">
        <v>724</v>
      </c>
      <c r="K90" s="1604"/>
      <c r="L90" s="1606"/>
    </row>
    <row r="91" spans="1:12">
      <c r="A91" s="882" t="s">
        <v>1945</v>
      </c>
      <c r="B91" s="899" t="s">
        <v>1946</v>
      </c>
      <c r="C91" s="10" t="s">
        <v>48</v>
      </c>
      <c r="D91" s="10" t="s">
        <v>48</v>
      </c>
      <c r="E91" s="10" t="s">
        <v>48</v>
      </c>
      <c r="F91" s="10" t="s">
        <v>48</v>
      </c>
      <c r="G91" s="10" t="s">
        <v>48</v>
      </c>
      <c r="H91" s="10">
        <v>8</v>
      </c>
      <c r="I91" s="10" t="s">
        <v>839</v>
      </c>
      <c r="J91" s="554" t="s">
        <v>729</v>
      </c>
      <c r="K91" s="1604"/>
      <c r="L91" s="1606"/>
    </row>
    <row r="92" spans="1:12" ht="28.8">
      <c r="A92" s="882" t="s">
        <v>1947</v>
      </c>
      <c r="B92" s="12" t="s">
        <v>1948</v>
      </c>
      <c r="C92" s="421" t="s">
        <v>48</v>
      </c>
      <c r="D92" s="10" t="s">
        <v>48</v>
      </c>
      <c r="E92" s="10" t="s">
        <v>48</v>
      </c>
      <c r="F92" s="10" t="s">
        <v>48</v>
      </c>
      <c r="G92" s="10" t="s">
        <v>48</v>
      </c>
      <c r="H92" s="421">
        <v>8</v>
      </c>
      <c r="I92" s="427" t="s">
        <v>1538</v>
      </c>
      <c r="J92" s="554" t="s">
        <v>724</v>
      </c>
      <c r="K92" s="1604"/>
      <c r="L92" s="1606"/>
    </row>
    <row r="93" spans="1:12">
      <c r="A93" s="882" t="s">
        <v>1949</v>
      </c>
      <c r="B93" s="899" t="s">
        <v>1950</v>
      </c>
      <c r="C93" s="10" t="s">
        <v>48</v>
      </c>
      <c r="D93" s="10" t="s">
        <v>48</v>
      </c>
      <c r="E93" s="10" t="s">
        <v>48</v>
      </c>
      <c r="F93" s="10" t="s">
        <v>48</v>
      </c>
      <c r="G93" s="10" t="s">
        <v>48</v>
      </c>
      <c r="H93" s="10">
        <v>8</v>
      </c>
      <c r="I93" s="10" t="s">
        <v>839</v>
      </c>
      <c r="J93" s="554" t="s">
        <v>729</v>
      </c>
      <c r="K93" s="1604"/>
      <c r="L93" s="1606"/>
    </row>
    <row r="94" spans="1:12" ht="28.8">
      <c r="A94" s="882" t="s">
        <v>1951</v>
      </c>
      <c r="B94" s="12" t="s">
        <v>1952</v>
      </c>
      <c r="C94" s="421" t="s">
        <v>48</v>
      </c>
      <c r="D94" s="10" t="s">
        <v>48</v>
      </c>
      <c r="E94" s="10" t="s">
        <v>48</v>
      </c>
      <c r="F94" s="10" t="s">
        <v>48</v>
      </c>
      <c r="G94" s="10" t="s">
        <v>48</v>
      </c>
      <c r="H94" s="421">
        <v>8</v>
      </c>
      <c r="I94" s="427" t="s">
        <v>1538</v>
      </c>
      <c r="J94" s="554" t="s">
        <v>724</v>
      </c>
      <c r="K94" s="1604"/>
      <c r="L94" s="1606"/>
    </row>
    <row r="95" spans="1:12" ht="28.8">
      <c r="A95" s="882" t="s">
        <v>1953</v>
      </c>
      <c r="B95" s="899" t="s">
        <v>1954</v>
      </c>
      <c r="C95" s="10" t="s">
        <v>48</v>
      </c>
      <c r="D95" s="10" t="s">
        <v>48</v>
      </c>
      <c r="E95" s="10" t="s">
        <v>48</v>
      </c>
      <c r="F95" s="10" t="s">
        <v>48</v>
      </c>
      <c r="G95" s="10" t="s">
        <v>48</v>
      </c>
      <c r="H95" s="10">
        <v>8</v>
      </c>
      <c r="I95" s="10" t="s">
        <v>839</v>
      </c>
      <c r="J95" s="554" t="s">
        <v>729</v>
      </c>
      <c r="K95" s="1604"/>
      <c r="L95" s="1606"/>
    </row>
    <row r="96" spans="1:12" ht="28.8">
      <c r="A96" s="882" t="s">
        <v>1955</v>
      </c>
      <c r="B96" s="12" t="s">
        <v>1956</v>
      </c>
      <c r="C96" s="421" t="s">
        <v>1035</v>
      </c>
      <c r="D96" s="421">
        <v>0</v>
      </c>
      <c r="E96" s="421" t="s">
        <v>920</v>
      </c>
      <c r="F96" s="9" t="s">
        <v>1957</v>
      </c>
      <c r="G96" s="10" t="s">
        <v>920</v>
      </c>
      <c r="H96" s="423">
        <v>32</v>
      </c>
      <c r="I96" s="10" t="s">
        <v>922</v>
      </c>
      <c r="J96" s="554" t="s">
        <v>724</v>
      </c>
      <c r="K96" s="1604"/>
      <c r="L96" s="1606"/>
    </row>
    <row r="97" spans="1:12" ht="28.8">
      <c r="A97" s="882" t="s">
        <v>1958</v>
      </c>
      <c r="B97" s="899" t="s">
        <v>1959</v>
      </c>
      <c r="C97" s="10" t="s">
        <v>48</v>
      </c>
      <c r="D97" s="10" t="s">
        <v>48</v>
      </c>
      <c r="E97" s="10" t="s">
        <v>48</v>
      </c>
      <c r="F97" s="10" t="s">
        <v>48</v>
      </c>
      <c r="G97" s="10" t="s">
        <v>48</v>
      </c>
      <c r="H97" s="10">
        <v>8</v>
      </c>
      <c r="I97" s="10" t="s">
        <v>839</v>
      </c>
      <c r="J97" s="554" t="s">
        <v>729</v>
      </c>
      <c r="K97" s="1604"/>
      <c r="L97" s="1606"/>
    </row>
    <row r="98" spans="1:12" ht="28.8">
      <c r="A98" s="882" t="s">
        <v>1960</v>
      </c>
      <c r="B98" s="12" t="s">
        <v>1961</v>
      </c>
      <c r="C98" s="421" t="s">
        <v>1035</v>
      </c>
      <c r="D98" s="421">
        <v>0</v>
      </c>
      <c r="E98" s="421" t="s">
        <v>920</v>
      </c>
      <c r="F98" s="9" t="s">
        <v>1957</v>
      </c>
      <c r="G98" s="10" t="s">
        <v>920</v>
      </c>
      <c r="H98" s="423">
        <v>32</v>
      </c>
      <c r="I98" s="10" t="s">
        <v>922</v>
      </c>
      <c r="J98" s="554" t="s">
        <v>724</v>
      </c>
      <c r="K98" s="1604"/>
      <c r="L98" s="1606"/>
    </row>
    <row r="99" spans="1:12" ht="28.8">
      <c r="A99" s="901" t="s">
        <v>1962</v>
      </c>
      <c r="B99" s="12" t="s">
        <v>1963</v>
      </c>
      <c r="C99" s="428" t="s">
        <v>996</v>
      </c>
      <c r="D99" s="428">
        <v>0</v>
      </c>
      <c r="E99" s="428" t="s">
        <v>920</v>
      </c>
      <c r="F99" s="9" t="s">
        <v>1187</v>
      </c>
      <c r="G99" s="10" t="s">
        <v>920</v>
      </c>
      <c r="H99" s="423">
        <v>32</v>
      </c>
      <c r="I99" s="10" t="s">
        <v>922</v>
      </c>
      <c r="J99" s="554" t="s">
        <v>729</v>
      </c>
      <c r="K99" s="1604"/>
      <c r="L99" s="1606"/>
    </row>
    <row r="100" spans="1:12" ht="28.8">
      <c r="A100" s="905" t="s">
        <v>1964</v>
      </c>
      <c r="B100" s="906" t="s">
        <v>1965</v>
      </c>
      <c r="C100" s="422" t="s">
        <v>919</v>
      </c>
      <c r="D100" s="907">
        <v>0</v>
      </c>
      <c r="E100" s="907" t="s">
        <v>920</v>
      </c>
      <c r="F100" s="908" t="s">
        <v>1187</v>
      </c>
      <c r="G100" s="407" t="s">
        <v>920</v>
      </c>
      <c r="H100" s="909">
        <v>32</v>
      </c>
      <c r="I100" s="407" t="s">
        <v>922</v>
      </c>
      <c r="J100" s="554" t="s">
        <v>729</v>
      </c>
      <c r="K100" s="1604"/>
      <c r="L100" s="1607"/>
    </row>
  </sheetData>
  <mergeCells count="5">
    <mergeCell ref="C1:D1"/>
    <mergeCell ref="A2:B2"/>
    <mergeCell ref="C2:I2"/>
    <mergeCell ref="K4:K100"/>
    <mergeCell ref="L4:L100"/>
  </mergeCells>
  <hyperlinks>
    <hyperlink ref="L1" location="'AVI_FCF_CV'!A1" display="AVI_FCF_CV" xr:uid="{E1C148BF-E3B3-45A8-B294-BF1E5B668A66}"/>
    <hyperlink ref="I1" location="'Revision Map'!A1" display="INDEX" xr:uid="{4CEE15C5-F3A6-49AC-8994-393766B5B2A6}"/>
    <hyperlink ref="J1" location="'Cross-FCN_Definitions'!A1" display="Cross-FCN_Definitions" xr:uid="{BC0D1D68-44E6-410E-8CC3-DC776EF92A2E}"/>
    <hyperlink ref="K1" location="FCF_Definitions!A1" display="FCF_Definitions" xr:uid="{CA1F9CBA-2BAC-436D-AEA0-31A4611A23E9}"/>
  </hyperlinks>
  <pageMargins left="0.7" right="0.7" top="0.75" bottom="0.75" header="0.3" footer="0.3"/>
  <headerFooter>
    <oddFooter>&amp;C_x000D_&amp;1#&amp;"Calibri"&amp;11&amp;KFF0000 Internal</oddFooter>
  </headerFooter>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DBB00-83B1-433E-A80E-7380A7EBDB0E}">
  <sheetPr codeName="Sheet68"/>
  <dimension ref="A1:E29"/>
  <sheetViews>
    <sheetView workbookViewId="0">
      <pane ySplit="1" topLeftCell="A18" activePane="bottomLeft" state="frozen"/>
      <selection pane="bottomLeft" activeCell="B29" sqref="B29"/>
    </sheetView>
  </sheetViews>
  <sheetFormatPr defaultRowHeight="14.4"/>
  <cols>
    <col min="1" max="1" width="11" style="1010" bestFit="1" customWidth="1"/>
    <col min="2" max="2" width="16" customWidth="1"/>
    <col min="3" max="3" width="76.83984375" customWidth="1"/>
    <col min="4" max="4" width="23.68359375" customWidth="1"/>
    <col min="5" max="5" width="13.41796875" customWidth="1"/>
  </cols>
  <sheetData>
    <row r="1" spans="1:5">
      <c r="A1" s="1054" t="s">
        <v>644</v>
      </c>
      <c r="B1" s="662" t="s">
        <v>645</v>
      </c>
      <c r="C1" s="663" t="s">
        <v>646</v>
      </c>
      <c r="D1" s="663" t="s">
        <v>647</v>
      </c>
      <c r="E1" s="664" t="s">
        <v>648</v>
      </c>
    </row>
    <row r="2" spans="1:5" ht="18.75" customHeight="1">
      <c r="A2" s="1055">
        <v>0.1</v>
      </c>
      <c r="B2" s="404">
        <v>44949</v>
      </c>
      <c r="C2" s="405" t="s">
        <v>1743</v>
      </c>
      <c r="D2" s="403" t="s">
        <v>676</v>
      </c>
      <c r="E2" s="406" t="s">
        <v>655</v>
      </c>
    </row>
    <row r="3" spans="1:5" ht="18" customHeight="1">
      <c r="A3" s="1010">
        <v>0.1</v>
      </c>
      <c r="B3" s="411">
        <v>44950</v>
      </c>
      <c r="C3" s="576" t="s">
        <v>1966</v>
      </c>
      <c r="D3" s="5" t="s">
        <v>658</v>
      </c>
      <c r="E3" s="5" t="s">
        <v>655</v>
      </c>
    </row>
    <row r="4" spans="1:5" ht="75.75" customHeight="1">
      <c r="A4" s="1010">
        <v>0.2</v>
      </c>
      <c r="B4" s="411">
        <v>44955</v>
      </c>
      <c r="C4" s="576" t="s">
        <v>1967</v>
      </c>
      <c r="D4" s="5" t="s">
        <v>676</v>
      </c>
      <c r="E4" s="5" t="s">
        <v>655</v>
      </c>
    </row>
    <row r="5" spans="1:5" ht="86.4">
      <c r="A5" s="1010">
        <v>0.3</v>
      </c>
      <c r="B5" s="411">
        <v>44956</v>
      </c>
      <c r="C5" s="576" t="s">
        <v>1968</v>
      </c>
      <c r="D5" s="5" t="s">
        <v>676</v>
      </c>
      <c r="E5" s="5" t="s">
        <v>655</v>
      </c>
    </row>
    <row r="6" spans="1:5">
      <c r="A6" s="1010">
        <v>0.3</v>
      </c>
      <c r="B6" s="51">
        <v>44956</v>
      </c>
      <c r="C6" s="5" t="s">
        <v>1378</v>
      </c>
      <c r="D6" s="5" t="s">
        <v>658</v>
      </c>
      <c r="E6" s="5" t="s">
        <v>655</v>
      </c>
    </row>
    <row r="7" spans="1:5">
      <c r="A7" s="1010">
        <v>0.4</v>
      </c>
      <c r="B7" s="51">
        <v>44957</v>
      </c>
      <c r="C7" s="5" t="s">
        <v>1969</v>
      </c>
      <c r="D7" s="5" t="s">
        <v>676</v>
      </c>
      <c r="E7" s="5" t="s">
        <v>655</v>
      </c>
    </row>
    <row r="8" spans="1:5">
      <c r="A8" s="1010">
        <v>0.4</v>
      </c>
      <c r="B8" s="51">
        <v>44957</v>
      </c>
      <c r="C8" s="5" t="s">
        <v>1378</v>
      </c>
      <c r="D8" s="5" t="s">
        <v>678</v>
      </c>
      <c r="E8" s="5" t="s">
        <v>655</v>
      </c>
    </row>
    <row r="9" spans="1:5" ht="16.5" customHeight="1">
      <c r="A9" s="1010">
        <v>1</v>
      </c>
      <c r="B9" s="51">
        <v>44957</v>
      </c>
      <c r="C9" s="602" t="s">
        <v>1753</v>
      </c>
      <c r="D9" s="5" t="s">
        <v>676</v>
      </c>
      <c r="E9" s="5" t="s">
        <v>651</v>
      </c>
    </row>
    <row r="10" spans="1:5">
      <c r="A10" s="1010">
        <v>1</v>
      </c>
      <c r="B10" s="51">
        <v>44957</v>
      </c>
      <c r="C10" s="5" t="s">
        <v>687</v>
      </c>
      <c r="D10" s="5" t="s">
        <v>676</v>
      </c>
      <c r="E10" s="5" t="s">
        <v>661</v>
      </c>
    </row>
    <row r="11" spans="1:5" ht="95.25" customHeight="1">
      <c r="A11" s="1010">
        <v>1.1000000000000001</v>
      </c>
      <c r="B11" s="51">
        <v>44966</v>
      </c>
      <c r="C11" s="576" t="s">
        <v>1970</v>
      </c>
      <c r="D11" s="5" t="s">
        <v>676</v>
      </c>
      <c r="E11" s="5" t="s">
        <v>655</v>
      </c>
    </row>
    <row r="12" spans="1:5">
      <c r="A12" s="1010">
        <v>1.1000000000000001</v>
      </c>
      <c r="B12" s="51">
        <v>44967</v>
      </c>
      <c r="C12" s="5" t="s">
        <v>1378</v>
      </c>
      <c r="D12" s="5" t="s">
        <v>658</v>
      </c>
      <c r="E12" s="5" t="s">
        <v>655</v>
      </c>
    </row>
    <row r="13" spans="1:5">
      <c r="A13" s="1010">
        <v>2</v>
      </c>
      <c r="B13" s="51">
        <v>44967</v>
      </c>
      <c r="C13" s="5" t="s">
        <v>1753</v>
      </c>
      <c r="D13" s="5" t="s">
        <v>676</v>
      </c>
      <c r="E13" s="5" t="s">
        <v>651</v>
      </c>
    </row>
    <row r="14" spans="1:5">
      <c r="A14" s="1010">
        <v>2</v>
      </c>
      <c r="B14" s="51">
        <v>44970</v>
      </c>
      <c r="C14" s="5" t="s">
        <v>691</v>
      </c>
      <c r="D14" s="5" t="s">
        <v>676</v>
      </c>
      <c r="E14" s="5" t="s">
        <v>661</v>
      </c>
    </row>
    <row r="15" spans="1:5">
      <c r="A15" s="1010">
        <v>3</v>
      </c>
      <c r="B15" s="51">
        <v>44993</v>
      </c>
      <c r="C15" s="5" t="s">
        <v>1754</v>
      </c>
      <c r="D15" s="5" t="s">
        <v>683</v>
      </c>
      <c r="E15" s="5" t="s">
        <v>651</v>
      </c>
    </row>
    <row r="16" spans="1:5">
      <c r="A16" s="1010">
        <v>3</v>
      </c>
      <c r="B16" s="191">
        <v>44998</v>
      </c>
      <c r="C16" s="5" t="s">
        <v>692</v>
      </c>
      <c r="D16" s="5" t="s">
        <v>678</v>
      </c>
      <c r="E16" s="5" t="s">
        <v>661</v>
      </c>
    </row>
    <row r="17" spans="1:5">
      <c r="A17" s="1010">
        <v>3.1</v>
      </c>
      <c r="B17" s="191">
        <v>45072</v>
      </c>
      <c r="C17" s="5" t="s">
        <v>1755</v>
      </c>
      <c r="D17" s="5" t="s">
        <v>697</v>
      </c>
      <c r="E17" s="5" t="s">
        <v>655</v>
      </c>
    </row>
    <row r="18" spans="1:5">
      <c r="A18" s="1010">
        <v>3.2</v>
      </c>
      <c r="B18" s="191">
        <v>45076</v>
      </c>
      <c r="C18" s="1053" t="s">
        <v>1758</v>
      </c>
      <c r="D18" s="5" t="s">
        <v>697</v>
      </c>
      <c r="E18" s="5" t="s">
        <v>655</v>
      </c>
    </row>
    <row r="19" spans="1:5">
      <c r="A19" s="1010" t="s">
        <v>1347</v>
      </c>
      <c r="B19" s="51">
        <v>45077</v>
      </c>
      <c r="C19" s="5" t="s">
        <v>1971</v>
      </c>
      <c r="D19" s="5" t="s">
        <v>658</v>
      </c>
      <c r="E19" s="5" t="s">
        <v>655</v>
      </c>
    </row>
    <row r="20" spans="1:5">
      <c r="A20" s="1010" t="s">
        <v>671</v>
      </c>
      <c r="B20" s="51">
        <v>45077</v>
      </c>
      <c r="C20" s="5" t="s">
        <v>1972</v>
      </c>
      <c r="D20" s="5" t="s">
        <v>697</v>
      </c>
      <c r="E20" s="5" t="s">
        <v>655</v>
      </c>
    </row>
    <row r="21" spans="1:5">
      <c r="A21" s="1010" t="s">
        <v>671</v>
      </c>
      <c r="B21" s="51">
        <v>45078</v>
      </c>
      <c r="C21" s="5" t="s">
        <v>1752</v>
      </c>
      <c r="D21" s="5" t="s">
        <v>658</v>
      </c>
      <c r="E21" s="5" t="s">
        <v>655</v>
      </c>
    </row>
    <row r="22" spans="1:5">
      <c r="A22" s="1010" t="s">
        <v>686</v>
      </c>
      <c r="B22" s="51">
        <v>45078</v>
      </c>
      <c r="C22" s="615" t="s">
        <v>1760</v>
      </c>
      <c r="D22" s="5" t="s">
        <v>697</v>
      </c>
      <c r="E22" s="5" t="s">
        <v>651</v>
      </c>
    </row>
    <row r="23" spans="1:5">
      <c r="A23" s="1010" t="s">
        <v>686</v>
      </c>
      <c r="B23" s="191">
        <v>45078</v>
      </c>
      <c r="C23" s="5" t="s">
        <v>699</v>
      </c>
      <c r="D23" s="5" t="s">
        <v>678</v>
      </c>
      <c r="E23" s="5" t="s">
        <v>661</v>
      </c>
    </row>
    <row r="24" spans="1:5">
      <c r="A24" s="629" t="s">
        <v>688</v>
      </c>
      <c r="B24" s="188">
        <v>45097</v>
      </c>
      <c r="C24" s="585" t="s">
        <v>1761</v>
      </c>
      <c r="D24" s="585" t="s">
        <v>697</v>
      </c>
      <c r="E24" s="586" t="s">
        <v>655</v>
      </c>
    </row>
    <row r="25" spans="1:5">
      <c r="A25" s="1010" t="s">
        <v>688</v>
      </c>
      <c r="B25" s="191">
        <v>45097</v>
      </c>
      <c r="C25" s="595" t="s">
        <v>1752</v>
      </c>
      <c r="D25" s="5" t="s">
        <v>678</v>
      </c>
      <c r="E25" s="596" t="s">
        <v>655</v>
      </c>
    </row>
    <row r="26" spans="1:5" ht="43.2">
      <c r="A26" s="1010" t="s">
        <v>1364</v>
      </c>
      <c r="B26" s="191">
        <v>45097</v>
      </c>
      <c r="C26" s="2" t="s">
        <v>1763</v>
      </c>
      <c r="D26" s="5" t="s">
        <v>697</v>
      </c>
      <c r="E26" s="5" t="s">
        <v>655</v>
      </c>
    </row>
    <row r="27" spans="1:5">
      <c r="A27" s="629" t="s">
        <v>690</v>
      </c>
      <c r="B27" s="188">
        <v>45097</v>
      </c>
      <c r="C27" s="615" t="s">
        <v>1760</v>
      </c>
      <c r="D27" s="585" t="s">
        <v>678</v>
      </c>
      <c r="E27" s="586" t="s">
        <v>651</v>
      </c>
    </row>
    <row r="28" spans="1:5">
      <c r="A28" s="1012" t="s">
        <v>690</v>
      </c>
      <c r="B28" s="191">
        <v>45097</v>
      </c>
      <c r="C28" s="595" t="s">
        <v>700</v>
      </c>
      <c r="D28" s="595" t="s">
        <v>678</v>
      </c>
      <c r="E28" s="596" t="s">
        <v>661</v>
      </c>
    </row>
    <row r="29" spans="1:5">
      <c r="A29" s="1012" t="s">
        <v>690</v>
      </c>
      <c r="B29" s="1065">
        <v>45205</v>
      </c>
      <c r="C29" s="595" t="s">
        <v>701</v>
      </c>
      <c r="D29" s="595" t="s">
        <v>678</v>
      </c>
      <c r="E29" s="596" t="s">
        <v>661</v>
      </c>
    </row>
  </sheetData>
  <pageMargins left="0.7" right="0.7" top="0.75" bottom="0.75" header="0.3" footer="0.3"/>
  <headerFooter>
    <oddFooter>&amp;C_x000D_&amp;1#&amp;"Calibri"&amp;11&amp;KFF0000 Internal</oddFooter>
  </headerFooter>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75590-9489-4174-98A8-29C1FF779B33}">
  <sheetPr codeName="Sheet26"/>
  <dimension ref="A1:M1048523"/>
  <sheetViews>
    <sheetView zoomScaleNormal="100" workbookViewId="0">
      <pane ySplit="3" topLeftCell="A4" activePane="bottomLeft" state="frozen"/>
      <selection activeCell="J3" sqref="J3"/>
      <selection pane="bottomLeft" activeCell="E1" sqref="E1"/>
    </sheetView>
  </sheetViews>
  <sheetFormatPr defaultColWidth="9.15625" defaultRowHeight="14.4"/>
  <cols>
    <col min="1" max="1" width="28.68359375" style="8" customWidth="1"/>
    <col min="2" max="2" width="51.15625" style="8" customWidth="1"/>
    <col min="3" max="4" width="9.15625" style="8" bestFit="1" customWidth="1"/>
    <col min="5" max="5" width="9.15625" style="8" customWidth="1"/>
    <col min="6" max="6" width="16.15625" style="8" bestFit="1" customWidth="1"/>
    <col min="7" max="7" width="12.41796875" style="8" customWidth="1"/>
    <col min="8" max="8" width="9.15625" style="8" bestFit="1" customWidth="1"/>
    <col min="9" max="9" width="34.578125" style="8" customWidth="1"/>
    <col min="10" max="10" width="23.68359375" style="8" customWidth="1"/>
    <col min="11" max="11" width="21.15625" style="8" customWidth="1"/>
    <col min="12" max="12" width="27.15625" style="43" bestFit="1" customWidth="1"/>
    <col min="13" max="16384" width="9.15625" style="8"/>
  </cols>
  <sheetData>
    <row r="1" spans="1:13" ht="15" customHeight="1">
      <c r="A1" s="16" t="s">
        <v>104</v>
      </c>
      <c r="B1" s="16" t="s">
        <v>80</v>
      </c>
      <c r="C1" s="1608" t="s">
        <v>106</v>
      </c>
      <c r="D1" s="1609"/>
      <c r="E1" s="1263">
        <v>12</v>
      </c>
      <c r="F1" s="1072" t="s">
        <v>702</v>
      </c>
      <c r="G1" s="1072">
        <v>3288</v>
      </c>
      <c r="H1" s="1072"/>
      <c r="I1" s="1073" t="s">
        <v>69</v>
      </c>
      <c r="J1" s="1073" t="s">
        <v>703</v>
      </c>
      <c r="K1" s="1074" t="s">
        <v>1702</v>
      </c>
      <c r="L1" s="1074" t="s">
        <v>1973</v>
      </c>
      <c r="M1" s="1264"/>
    </row>
    <row r="2" spans="1:13" ht="222" customHeight="1">
      <c r="A2" s="1612" t="s">
        <v>1704</v>
      </c>
      <c r="B2" s="1613"/>
      <c r="C2" s="1614" t="s">
        <v>1974</v>
      </c>
      <c r="D2" s="1614"/>
      <c r="E2" s="1614"/>
      <c r="F2" s="1614"/>
      <c r="G2" s="1614"/>
      <c r="H2" s="1614"/>
      <c r="I2" s="1615"/>
      <c r="J2" s="240" t="s">
        <v>707</v>
      </c>
      <c r="K2" s="1075" t="s">
        <v>1975</v>
      </c>
      <c r="L2" s="1265"/>
      <c r="M2" s="1266"/>
    </row>
    <row r="3" spans="1:13" ht="28.8">
      <c r="A3" s="979" t="s">
        <v>709</v>
      </c>
      <c r="B3" s="979" t="s">
        <v>710</v>
      </c>
      <c r="C3" s="44" t="s">
        <v>711</v>
      </c>
      <c r="D3" s="160" t="s">
        <v>712</v>
      </c>
      <c r="E3" s="160" t="s">
        <v>713</v>
      </c>
      <c r="F3" s="44" t="s">
        <v>714</v>
      </c>
      <c r="G3" s="44" t="s">
        <v>715</v>
      </c>
      <c r="H3" s="44" t="s">
        <v>716</v>
      </c>
      <c r="I3" s="44" t="s">
        <v>717</v>
      </c>
      <c r="J3" s="894" t="s">
        <v>718</v>
      </c>
      <c r="K3" s="894" t="s">
        <v>719</v>
      </c>
      <c r="L3" s="243" t="s">
        <v>720</v>
      </c>
    </row>
    <row r="4" spans="1:13" ht="30" customHeight="1">
      <c r="A4" s="115" t="s">
        <v>1976</v>
      </c>
      <c r="B4" s="116" t="s">
        <v>722</v>
      </c>
      <c r="C4" s="10" t="s">
        <v>48</v>
      </c>
      <c r="D4" s="10" t="s">
        <v>48</v>
      </c>
      <c r="E4" s="424" t="s">
        <v>48</v>
      </c>
      <c r="F4" s="10" t="s">
        <v>48</v>
      </c>
      <c r="G4" s="10" t="s">
        <v>48</v>
      </c>
      <c r="H4" s="346">
        <v>216</v>
      </c>
      <c r="I4" s="10" t="s">
        <v>723</v>
      </c>
      <c r="J4" s="554" t="s">
        <v>724</v>
      </c>
      <c r="K4" s="1591">
        <v>1</v>
      </c>
      <c r="L4" s="1610" t="s">
        <v>1977</v>
      </c>
    </row>
    <row r="5" spans="1:13" ht="30" customHeight="1">
      <c r="A5" s="893" t="s">
        <v>1978</v>
      </c>
      <c r="B5" s="115" t="s">
        <v>1979</v>
      </c>
      <c r="C5" s="98" t="s">
        <v>48</v>
      </c>
      <c r="D5" s="10" t="s">
        <v>48</v>
      </c>
      <c r="E5" s="98" t="s">
        <v>48</v>
      </c>
      <c r="F5" s="98" t="s">
        <v>48</v>
      </c>
      <c r="G5" s="10" t="s">
        <v>48</v>
      </c>
      <c r="H5" s="346">
        <v>104</v>
      </c>
      <c r="I5" s="10" t="s">
        <v>1980</v>
      </c>
      <c r="J5" s="554" t="s">
        <v>729</v>
      </c>
      <c r="K5" s="1591"/>
      <c r="L5" s="1610"/>
    </row>
    <row r="6" spans="1:13" ht="45.75" customHeight="1">
      <c r="A6" s="893" t="s">
        <v>1981</v>
      </c>
      <c r="B6" s="116" t="s">
        <v>1982</v>
      </c>
      <c r="C6" s="10" t="s">
        <v>48</v>
      </c>
      <c r="D6" s="10">
        <v>0</v>
      </c>
      <c r="E6" s="424">
        <v>65535</v>
      </c>
      <c r="F6" s="895" t="s">
        <v>1983</v>
      </c>
      <c r="G6" s="10">
        <v>65535</v>
      </c>
      <c r="H6" s="346">
        <v>16</v>
      </c>
      <c r="I6" s="10" t="s">
        <v>991</v>
      </c>
      <c r="J6" s="554" t="s">
        <v>724</v>
      </c>
      <c r="K6" s="1591"/>
      <c r="L6" s="1610"/>
    </row>
    <row r="7" spans="1:13" ht="30" customHeight="1">
      <c r="A7" s="893" t="s">
        <v>1984</v>
      </c>
      <c r="B7" s="115" t="s">
        <v>1985</v>
      </c>
      <c r="C7" s="10" t="s">
        <v>48</v>
      </c>
      <c r="D7" s="10" t="s">
        <v>48</v>
      </c>
      <c r="E7" s="10" t="s">
        <v>48</v>
      </c>
      <c r="F7" s="10" t="s">
        <v>48</v>
      </c>
      <c r="G7" s="10" t="s">
        <v>48</v>
      </c>
      <c r="H7" s="346">
        <v>16</v>
      </c>
      <c r="I7" s="10" t="s">
        <v>1544</v>
      </c>
      <c r="J7" s="554" t="s">
        <v>724</v>
      </c>
      <c r="K7" s="1591"/>
      <c r="L7" s="1610"/>
    </row>
    <row r="8" spans="1:13" ht="30" customHeight="1">
      <c r="A8" s="893" t="s">
        <v>1986</v>
      </c>
      <c r="B8" s="116" t="s">
        <v>1710</v>
      </c>
      <c r="C8" s="10" t="s">
        <v>48</v>
      </c>
      <c r="D8" s="10" t="s">
        <v>48</v>
      </c>
      <c r="E8" s="10" t="s">
        <v>48</v>
      </c>
      <c r="F8" s="10" t="s">
        <v>48</v>
      </c>
      <c r="G8" s="10" t="s">
        <v>48</v>
      </c>
      <c r="H8" s="346">
        <v>8</v>
      </c>
      <c r="I8" s="10" t="s">
        <v>1711</v>
      </c>
      <c r="J8" s="554" t="s">
        <v>729</v>
      </c>
      <c r="K8" s="1591"/>
      <c r="L8" s="1610"/>
    </row>
    <row r="9" spans="1:13" ht="30" customHeight="1">
      <c r="A9" s="893" t="s">
        <v>1987</v>
      </c>
      <c r="B9" s="115" t="s">
        <v>1988</v>
      </c>
      <c r="C9" s="98" t="s">
        <v>48</v>
      </c>
      <c r="D9" s="98">
        <v>0</v>
      </c>
      <c r="E9" s="98">
        <v>255</v>
      </c>
      <c r="F9" s="895" t="s">
        <v>1989</v>
      </c>
      <c r="G9" s="10">
        <v>255</v>
      </c>
      <c r="H9" s="346">
        <v>8</v>
      </c>
      <c r="I9" s="10" t="s">
        <v>743</v>
      </c>
      <c r="J9" s="554" t="s">
        <v>729</v>
      </c>
      <c r="K9" s="1591"/>
      <c r="L9" s="1610"/>
    </row>
    <row r="10" spans="1:13" ht="30" customHeight="1">
      <c r="A10" s="893" t="s">
        <v>1990</v>
      </c>
      <c r="B10" s="97" t="s">
        <v>1991</v>
      </c>
      <c r="C10" s="10" t="s">
        <v>919</v>
      </c>
      <c r="D10" s="10">
        <v>-1</v>
      </c>
      <c r="E10" s="10" t="s">
        <v>920</v>
      </c>
      <c r="F10" s="9" t="s">
        <v>1992</v>
      </c>
      <c r="G10" s="10" t="s">
        <v>920</v>
      </c>
      <c r="H10" s="346">
        <v>32</v>
      </c>
      <c r="I10" s="10" t="s">
        <v>922</v>
      </c>
      <c r="J10" s="554" t="s">
        <v>729</v>
      </c>
      <c r="K10" s="1591"/>
      <c r="L10" s="1610"/>
    </row>
    <row r="11" spans="1:13" ht="30" customHeight="1">
      <c r="A11" s="893" t="s">
        <v>1993</v>
      </c>
      <c r="B11" s="115" t="s">
        <v>1994</v>
      </c>
      <c r="C11" s="896" t="s">
        <v>48</v>
      </c>
      <c r="D11" s="10" t="s">
        <v>48</v>
      </c>
      <c r="E11" s="10" t="s">
        <v>48</v>
      </c>
      <c r="F11" s="897" t="s">
        <v>48</v>
      </c>
      <c r="G11" s="10" t="s">
        <v>48</v>
      </c>
      <c r="H11" s="346">
        <v>40</v>
      </c>
      <c r="I11" s="10" t="s">
        <v>1995</v>
      </c>
      <c r="J11" s="554" t="s">
        <v>729</v>
      </c>
      <c r="K11" s="1591"/>
      <c r="L11" s="1610"/>
    </row>
    <row r="12" spans="1:13" ht="30" customHeight="1">
      <c r="A12" s="893" t="s">
        <v>1996</v>
      </c>
      <c r="B12" s="115" t="s">
        <v>1997</v>
      </c>
      <c r="C12" s="10" t="s">
        <v>48</v>
      </c>
      <c r="D12" s="10" t="s">
        <v>48</v>
      </c>
      <c r="E12" s="10" t="s">
        <v>48</v>
      </c>
      <c r="F12" s="10" t="s">
        <v>48</v>
      </c>
      <c r="G12" s="10" t="s">
        <v>48</v>
      </c>
      <c r="H12" s="10">
        <v>32</v>
      </c>
      <c r="I12" s="10" t="s">
        <v>1998</v>
      </c>
      <c r="J12" s="554" t="s">
        <v>729</v>
      </c>
      <c r="K12" s="1591"/>
      <c r="L12" s="1610"/>
    </row>
    <row r="13" spans="1:13" ht="49.5" customHeight="1">
      <c r="A13" s="115" t="s">
        <v>1999</v>
      </c>
      <c r="B13" s="116" t="s">
        <v>2000</v>
      </c>
      <c r="C13" s="10" t="s">
        <v>48</v>
      </c>
      <c r="D13" s="10" t="s">
        <v>48</v>
      </c>
      <c r="E13" s="424" t="s">
        <v>48</v>
      </c>
      <c r="F13" s="10" t="s">
        <v>48</v>
      </c>
      <c r="G13" s="10" t="s">
        <v>48</v>
      </c>
      <c r="H13" s="346">
        <v>32</v>
      </c>
      <c r="I13" s="10" t="s">
        <v>728</v>
      </c>
      <c r="J13" s="554" t="s">
        <v>729</v>
      </c>
      <c r="K13" s="1611">
        <v>8</v>
      </c>
      <c r="L13" s="1610" t="s">
        <v>2001</v>
      </c>
    </row>
    <row r="14" spans="1:13" ht="30" customHeight="1">
      <c r="A14" s="893" t="s">
        <v>2002</v>
      </c>
      <c r="B14" s="116" t="s">
        <v>1716</v>
      </c>
      <c r="C14" s="10" t="s">
        <v>48</v>
      </c>
      <c r="D14" s="10" t="s">
        <v>48</v>
      </c>
      <c r="E14" s="424" t="s">
        <v>48</v>
      </c>
      <c r="F14" s="10" t="s">
        <v>48</v>
      </c>
      <c r="G14" s="10" t="s">
        <v>48</v>
      </c>
      <c r="H14" s="346">
        <v>16</v>
      </c>
      <c r="I14" s="10" t="s">
        <v>1717</v>
      </c>
      <c r="J14" s="554" t="s">
        <v>724</v>
      </c>
      <c r="K14" s="1611"/>
      <c r="L14" s="1610"/>
    </row>
    <row r="15" spans="1:13" ht="30" customHeight="1">
      <c r="A15" s="893" t="s">
        <v>2003</v>
      </c>
      <c r="B15" s="97" t="s">
        <v>1985</v>
      </c>
      <c r="C15" s="98" t="s">
        <v>48</v>
      </c>
      <c r="D15" s="98" t="s">
        <v>48</v>
      </c>
      <c r="E15" s="98" t="s">
        <v>48</v>
      </c>
      <c r="F15" s="10" t="s">
        <v>48</v>
      </c>
      <c r="G15" s="10" t="s">
        <v>48</v>
      </c>
      <c r="H15" s="346">
        <v>16</v>
      </c>
      <c r="I15" s="10" t="s">
        <v>1544</v>
      </c>
      <c r="J15" s="554" t="s">
        <v>724</v>
      </c>
      <c r="K15" s="1611"/>
      <c r="L15" s="1610"/>
    </row>
    <row r="16" spans="1:13" ht="30" customHeight="1">
      <c r="A16" s="893" t="s">
        <v>2004</v>
      </c>
      <c r="B16" s="116" t="s">
        <v>2005</v>
      </c>
      <c r="C16" s="898" t="s">
        <v>48</v>
      </c>
      <c r="D16" s="10" t="s">
        <v>48</v>
      </c>
      <c r="E16" s="10" t="s">
        <v>48</v>
      </c>
      <c r="F16" s="897" t="s">
        <v>48</v>
      </c>
      <c r="G16" s="10" t="s">
        <v>48</v>
      </c>
      <c r="H16" s="346">
        <v>104</v>
      </c>
      <c r="I16" s="10" t="s">
        <v>1980</v>
      </c>
      <c r="J16" s="554" t="s">
        <v>729</v>
      </c>
      <c r="K16" s="1611"/>
      <c r="L16" s="1610"/>
    </row>
    <row r="17" spans="1:13" ht="30" customHeight="1">
      <c r="A17" s="893" t="s">
        <v>2006</v>
      </c>
      <c r="B17" s="97" t="s">
        <v>2007</v>
      </c>
      <c r="C17" s="98" t="s">
        <v>48</v>
      </c>
      <c r="D17" s="98">
        <v>0</v>
      </c>
      <c r="E17" s="10">
        <v>1</v>
      </c>
      <c r="F17" s="346" t="s">
        <v>2008</v>
      </c>
      <c r="G17" s="10">
        <v>0</v>
      </c>
      <c r="H17" s="346">
        <v>8</v>
      </c>
      <c r="I17" s="10" t="s">
        <v>1056</v>
      </c>
      <c r="J17" s="554" t="s">
        <v>729</v>
      </c>
      <c r="K17" s="1611"/>
      <c r="L17" s="1610"/>
    </row>
    <row r="18" spans="1:13" ht="30" customHeight="1">
      <c r="A18" s="893" t="s">
        <v>2009</v>
      </c>
      <c r="B18" s="115" t="s">
        <v>2010</v>
      </c>
      <c r="C18" s="98" t="s">
        <v>48</v>
      </c>
      <c r="D18" s="98" t="s">
        <v>48</v>
      </c>
      <c r="E18" s="98" t="s">
        <v>48</v>
      </c>
      <c r="F18" s="98" t="s">
        <v>48</v>
      </c>
      <c r="G18" s="10" t="s">
        <v>48</v>
      </c>
      <c r="H18" s="346">
        <v>104</v>
      </c>
      <c r="I18" s="10" t="s">
        <v>2011</v>
      </c>
      <c r="J18" s="554" t="s">
        <v>729</v>
      </c>
      <c r="K18" s="1611"/>
      <c r="L18" s="1610"/>
    </row>
    <row r="19" spans="1:13" ht="30" customHeight="1">
      <c r="A19" s="893" t="s">
        <v>2012</v>
      </c>
      <c r="B19" s="115" t="s">
        <v>2013</v>
      </c>
      <c r="C19" s="98" t="s">
        <v>48</v>
      </c>
      <c r="D19" s="98">
        <v>0</v>
      </c>
      <c r="E19" s="98">
        <v>255</v>
      </c>
      <c r="F19" s="98" t="s">
        <v>2014</v>
      </c>
      <c r="G19" s="10">
        <v>255</v>
      </c>
      <c r="H19" s="346">
        <v>8</v>
      </c>
      <c r="I19" s="10" t="s">
        <v>743</v>
      </c>
      <c r="J19" s="554" t="s">
        <v>729</v>
      </c>
      <c r="K19" s="1611"/>
      <c r="L19" s="1610"/>
    </row>
    <row r="20" spans="1:13" ht="30" customHeight="1">
      <c r="A20" s="893" t="s">
        <v>2015</v>
      </c>
      <c r="B20" s="97" t="s">
        <v>2016</v>
      </c>
      <c r="C20" s="98" t="s">
        <v>48</v>
      </c>
      <c r="D20" s="98" t="s">
        <v>48</v>
      </c>
      <c r="E20" s="98" t="s">
        <v>48</v>
      </c>
      <c r="F20" s="98" t="s">
        <v>48</v>
      </c>
      <c r="G20" s="10" t="s">
        <v>48</v>
      </c>
      <c r="H20" s="346">
        <v>32</v>
      </c>
      <c r="I20" s="10" t="s">
        <v>2017</v>
      </c>
      <c r="J20" s="554" t="s">
        <v>729</v>
      </c>
      <c r="K20" s="1611"/>
      <c r="L20" s="1610"/>
    </row>
    <row r="21" spans="1:13" ht="30" customHeight="1">
      <c r="A21" s="893" t="s">
        <v>2018</v>
      </c>
      <c r="B21" s="97" t="s">
        <v>2019</v>
      </c>
      <c r="C21" s="98" t="s">
        <v>48</v>
      </c>
      <c r="D21" s="98" t="s">
        <v>48</v>
      </c>
      <c r="E21" s="98" t="s">
        <v>48</v>
      </c>
      <c r="F21" s="98" t="s">
        <v>48</v>
      </c>
      <c r="G21" s="10" t="s">
        <v>48</v>
      </c>
      <c r="H21" s="346">
        <v>32</v>
      </c>
      <c r="I21" s="10" t="s">
        <v>2017</v>
      </c>
      <c r="J21" s="554" t="s">
        <v>729</v>
      </c>
      <c r="K21" s="1611"/>
      <c r="L21" s="1610"/>
    </row>
    <row r="22" spans="1:13">
      <c r="M22" s="1264"/>
    </row>
    <row r="23" spans="1:13">
      <c r="M23" s="1264"/>
    </row>
    <row r="24" spans="1:13">
      <c r="M24" s="1264"/>
    </row>
    <row r="25" spans="1:13">
      <c r="M25" s="1264"/>
    </row>
    <row r="1048523" ht="15" customHeight="1"/>
  </sheetData>
  <mergeCells count="7">
    <mergeCell ref="C1:D1"/>
    <mergeCell ref="L13:L21"/>
    <mergeCell ref="K13:K21"/>
    <mergeCell ref="A2:B2"/>
    <mergeCell ref="C2:I2"/>
    <mergeCell ref="K4:K12"/>
    <mergeCell ref="L4:L12"/>
  </mergeCells>
  <hyperlinks>
    <hyperlink ref="L1" location="'AVI_FCF_VD_Config'!A1" display="AVI_FCF_VD_Config" xr:uid="{AA503577-1614-4A9B-8716-000EF7CC836C}"/>
    <hyperlink ref="I1" location="'Revision Map'!A1" display="INDEX" xr:uid="{C758D53B-32E9-4B9B-A83B-1209F79133DB}"/>
    <hyperlink ref="J1" location="'Cross-FCN_Definitions'!A1" display="Cross-FCN_Definitions" xr:uid="{40468FA4-266F-4D3D-9B92-689FBA6232BE}"/>
    <hyperlink ref="K1" location="FCF_Definitions!A1" display="FCF_Definitions" xr:uid="{4D31F8A4-B992-45FC-9308-696DBFE12ABA}"/>
  </hyperlinks>
  <pageMargins left="0.7" right="0.7" top="0.75" bottom="0.75" header="0.3" footer="0.3"/>
  <headerFooter>
    <oddFooter>&amp;C_x000D_&amp;1#&amp;"Calibri"&amp;11&amp;KFF0000 Internal</oddFooter>
  </headerFooter>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991E5-8BF4-4DA8-9EE2-2FF1A66B9A68}">
  <sheetPr codeName="Sheet27"/>
  <dimension ref="A1:F67"/>
  <sheetViews>
    <sheetView workbookViewId="0">
      <pane ySplit="1" topLeftCell="A53" activePane="bottomLeft" state="frozen"/>
      <selection activeCell="C22" activeCellId="1" sqref="A1:AS1 C22"/>
      <selection pane="bottomLeft" activeCell="B67" sqref="B67"/>
    </sheetView>
  </sheetViews>
  <sheetFormatPr defaultColWidth="9.15625" defaultRowHeight="14.4"/>
  <cols>
    <col min="1" max="1" width="10.578125" style="1014" bestFit="1" customWidth="1"/>
    <col min="2" max="2" width="15.83984375" style="40" customWidth="1"/>
    <col min="3" max="3" width="93.15625" bestFit="1" customWidth="1"/>
    <col min="4" max="4" width="17.578125" bestFit="1" customWidth="1"/>
    <col min="5" max="5" width="11.15625" customWidth="1"/>
    <col min="6" max="6" width="13.578125" customWidth="1"/>
  </cols>
  <sheetData>
    <row r="1" spans="1:6">
      <c r="A1" s="1051" t="s">
        <v>644</v>
      </c>
      <c r="B1" s="662" t="s">
        <v>645</v>
      </c>
      <c r="C1" s="663" t="s">
        <v>646</v>
      </c>
      <c r="D1" s="663" t="s">
        <v>647</v>
      </c>
      <c r="E1" s="664" t="s">
        <v>648</v>
      </c>
      <c r="F1" s="29"/>
    </row>
    <row r="2" spans="1:6" ht="15" customHeight="1">
      <c r="A2" s="1056">
        <v>1</v>
      </c>
      <c r="B2" s="599">
        <v>44340</v>
      </c>
      <c r="C2" s="600" t="s">
        <v>2020</v>
      </c>
      <c r="D2" s="189" t="s">
        <v>676</v>
      </c>
      <c r="E2" s="601" t="s">
        <v>651</v>
      </c>
      <c r="F2" s="29"/>
    </row>
    <row r="3" spans="1:6">
      <c r="A3" s="1056">
        <v>1</v>
      </c>
      <c r="B3" s="189">
        <v>20210525</v>
      </c>
      <c r="C3" s="189" t="s">
        <v>102</v>
      </c>
      <c r="D3" s="189" t="s">
        <v>654</v>
      </c>
      <c r="E3" s="601" t="s">
        <v>661</v>
      </c>
      <c r="F3" s="29"/>
    </row>
    <row r="4" spans="1:6">
      <c r="A4" s="1056">
        <v>1</v>
      </c>
      <c r="B4" s="599">
        <v>44452</v>
      </c>
      <c r="C4" s="600" t="s">
        <v>1345</v>
      </c>
      <c r="D4" s="189" t="s">
        <v>654</v>
      </c>
      <c r="E4" s="601" t="s">
        <v>661</v>
      </c>
      <c r="F4" s="29"/>
    </row>
    <row r="5" spans="1:6" ht="86.4">
      <c r="A5" s="1056">
        <v>1.1000000000000001</v>
      </c>
      <c r="B5" s="599">
        <v>44676</v>
      </c>
      <c r="C5" s="189" t="s">
        <v>2021</v>
      </c>
      <c r="D5" s="189" t="s">
        <v>676</v>
      </c>
      <c r="E5" s="601" t="s">
        <v>655</v>
      </c>
      <c r="F5" s="29"/>
    </row>
    <row r="6" spans="1:6" ht="129.6">
      <c r="A6" s="1056">
        <v>1.2</v>
      </c>
      <c r="B6" s="599">
        <v>44693</v>
      </c>
      <c r="C6" s="189" t="s">
        <v>2022</v>
      </c>
      <c r="D6" s="189" t="s">
        <v>676</v>
      </c>
      <c r="E6" s="601" t="s">
        <v>655</v>
      </c>
      <c r="F6" s="29"/>
    </row>
    <row r="7" spans="1:6">
      <c r="A7" s="1056">
        <v>1.2</v>
      </c>
      <c r="B7" s="599">
        <v>44694</v>
      </c>
      <c r="C7" s="189" t="s">
        <v>999</v>
      </c>
      <c r="D7" s="189" t="s">
        <v>654</v>
      </c>
      <c r="E7" s="601" t="s">
        <v>655</v>
      </c>
      <c r="F7" s="29"/>
    </row>
    <row r="8" spans="1:6">
      <c r="A8" s="1056">
        <v>1.3</v>
      </c>
      <c r="B8" s="599">
        <v>44694</v>
      </c>
      <c r="C8" s="189" t="s">
        <v>2023</v>
      </c>
      <c r="D8" s="189" t="s">
        <v>676</v>
      </c>
      <c r="E8" s="601" t="s">
        <v>655</v>
      </c>
      <c r="F8" s="29"/>
    </row>
    <row r="9" spans="1:6">
      <c r="A9" s="1057">
        <v>1.3</v>
      </c>
      <c r="B9" s="411">
        <v>44697</v>
      </c>
      <c r="C9" s="582" t="s">
        <v>999</v>
      </c>
      <c r="D9" s="582" t="s">
        <v>654</v>
      </c>
      <c r="E9" s="582" t="s">
        <v>655</v>
      </c>
      <c r="F9" s="29"/>
    </row>
    <row r="10" spans="1:6" ht="28.8">
      <c r="A10" s="1052">
        <v>1.4</v>
      </c>
      <c r="B10" s="599">
        <v>44698</v>
      </c>
      <c r="C10" s="189" t="s">
        <v>2024</v>
      </c>
      <c r="D10" s="605" t="s">
        <v>676</v>
      </c>
      <c r="E10" s="189" t="s">
        <v>655</v>
      </c>
      <c r="F10" s="29" t="s">
        <v>102</v>
      </c>
    </row>
    <row r="11" spans="1:6">
      <c r="A11" s="1052">
        <v>1.4</v>
      </c>
      <c r="B11" s="599">
        <v>44698</v>
      </c>
      <c r="C11" s="605" t="s">
        <v>2025</v>
      </c>
      <c r="D11" s="605" t="s">
        <v>654</v>
      </c>
      <c r="E11" s="189" t="s">
        <v>655</v>
      </c>
      <c r="F11" s="29" t="s">
        <v>102</v>
      </c>
    </row>
    <row r="12" spans="1:6">
      <c r="A12" s="1052">
        <v>1.5</v>
      </c>
      <c r="B12" s="599">
        <v>44706</v>
      </c>
      <c r="C12" s="189" t="s">
        <v>2026</v>
      </c>
      <c r="D12" s="189" t="s">
        <v>676</v>
      </c>
      <c r="E12" s="189" t="s">
        <v>655</v>
      </c>
      <c r="F12" s="29" t="s">
        <v>102</v>
      </c>
    </row>
    <row r="13" spans="1:6">
      <c r="A13" s="1057">
        <v>1.5</v>
      </c>
      <c r="B13" s="51">
        <v>44706</v>
      </c>
      <c r="C13" s="582" t="s">
        <v>2027</v>
      </c>
      <c r="D13" s="582" t="s">
        <v>658</v>
      </c>
      <c r="E13" s="582" t="s">
        <v>655</v>
      </c>
      <c r="F13" s="29"/>
    </row>
    <row r="14" spans="1:6" ht="15.75" customHeight="1">
      <c r="A14" s="1057">
        <v>2</v>
      </c>
      <c r="B14" s="599">
        <v>44712</v>
      </c>
      <c r="C14" s="189" t="s">
        <v>2028</v>
      </c>
      <c r="D14" s="189" t="s">
        <v>676</v>
      </c>
      <c r="E14" s="189" t="s">
        <v>651</v>
      </c>
    </row>
    <row r="15" spans="1:6" ht="43.2">
      <c r="A15" s="1010">
        <v>2.1</v>
      </c>
      <c r="B15" s="411">
        <v>44714</v>
      </c>
      <c r="C15" s="605" t="s">
        <v>2029</v>
      </c>
      <c r="D15" s="605" t="s">
        <v>676</v>
      </c>
      <c r="E15" s="189" t="s">
        <v>655</v>
      </c>
    </row>
    <row r="16" spans="1:6">
      <c r="A16" s="1057">
        <v>2.2000000000000002</v>
      </c>
      <c r="B16" s="599">
        <v>44715</v>
      </c>
      <c r="C16" s="189" t="s">
        <v>2030</v>
      </c>
      <c r="D16" s="189" t="s">
        <v>676</v>
      </c>
      <c r="E16" s="189" t="s">
        <v>655</v>
      </c>
    </row>
    <row r="17" spans="1:5">
      <c r="A17" s="1010">
        <v>2.2000000000000002</v>
      </c>
      <c r="B17" s="51">
        <v>44715</v>
      </c>
      <c r="C17" s="5" t="s">
        <v>2031</v>
      </c>
      <c r="D17" s="5" t="s">
        <v>796</v>
      </c>
      <c r="E17" s="5" t="s">
        <v>655</v>
      </c>
    </row>
    <row r="18" spans="1:5">
      <c r="A18" s="1010">
        <v>2.2000000000000002</v>
      </c>
      <c r="B18" s="51">
        <v>44715</v>
      </c>
      <c r="C18" s="5" t="s">
        <v>2032</v>
      </c>
      <c r="D18" s="5" t="s">
        <v>796</v>
      </c>
      <c r="E18" s="5" t="s">
        <v>655</v>
      </c>
    </row>
    <row r="19" spans="1:5">
      <c r="A19" s="1010">
        <v>3</v>
      </c>
      <c r="B19" s="51">
        <v>44719</v>
      </c>
      <c r="C19" s="5" t="s">
        <v>2033</v>
      </c>
      <c r="D19" s="5" t="s">
        <v>676</v>
      </c>
      <c r="E19" s="5" t="s">
        <v>651</v>
      </c>
    </row>
    <row r="20" spans="1:5">
      <c r="A20" s="1010">
        <v>3</v>
      </c>
      <c r="B20" s="51">
        <v>44719</v>
      </c>
      <c r="C20" s="5" t="s">
        <v>660</v>
      </c>
      <c r="D20" s="5" t="s">
        <v>654</v>
      </c>
      <c r="E20" s="5" t="s">
        <v>661</v>
      </c>
    </row>
    <row r="21" spans="1:5" ht="28.8">
      <c r="A21" s="1010">
        <v>3.1</v>
      </c>
      <c r="B21" s="51">
        <v>44725</v>
      </c>
      <c r="C21" s="576" t="s">
        <v>2034</v>
      </c>
      <c r="D21" s="5" t="s">
        <v>676</v>
      </c>
      <c r="E21" s="5" t="s">
        <v>655</v>
      </c>
    </row>
    <row r="22" spans="1:5">
      <c r="A22" s="1010">
        <v>3.1</v>
      </c>
      <c r="B22" s="51">
        <v>44727</v>
      </c>
      <c r="C22" s="5" t="s">
        <v>2035</v>
      </c>
      <c r="D22" s="5" t="s">
        <v>654</v>
      </c>
      <c r="E22" s="5" t="s">
        <v>655</v>
      </c>
    </row>
    <row r="23" spans="1:5">
      <c r="A23" s="1010">
        <v>3.2</v>
      </c>
      <c r="B23" s="51">
        <v>44727</v>
      </c>
      <c r="C23" s="5" t="s">
        <v>2036</v>
      </c>
      <c r="D23" s="5" t="s">
        <v>676</v>
      </c>
      <c r="E23" s="5" t="s">
        <v>655</v>
      </c>
    </row>
    <row r="24" spans="1:5">
      <c r="A24" s="1010">
        <v>3.2</v>
      </c>
      <c r="B24" s="51">
        <v>44728</v>
      </c>
      <c r="C24" s="5" t="s">
        <v>2037</v>
      </c>
      <c r="D24" s="5" t="s">
        <v>654</v>
      </c>
      <c r="E24" s="5" t="s">
        <v>655</v>
      </c>
    </row>
    <row r="25" spans="1:5">
      <c r="A25" s="1010">
        <v>4</v>
      </c>
      <c r="B25" s="51">
        <v>44728</v>
      </c>
      <c r="C25" s="5" t="s">
        <v>2038</v>
      </c>
      <c r="D25" s="5" t="s">
        <v>676</v>
      </c>
      <c r="E25" s="5" t="s">
        <v>651</v>
      </c>
    </row>
    <row r="26" spans="1:5">
      <c r="A26" s="1010">
        <v>4.0999999999999996</v>
      </c>
      <c r="B26" s="51">
        <v>44742</v>
      </c>
      <c r="C26" s="576" t="s">
        <v>2039</v>
      </c>
      <c r="D26" s="5" t="s">
        <v>676</v>
      </c>
      <c r="E26" s="5" t="s">
        <v>655</v>
      </c>
    </row>
    <row r="27" spans="1:5">
      <c r="A27" s="1010">
        <v>4.0999999999999996</v>
      </c>
      <c r="B27" s="51">
        <v>44742</v>
      </c>
      <c r="C27" s="606" t="s">
        <v>1601</v>
      </c>
      <c r="D27" s="5" t="s">
        <v>654</v>
      </c>
      <c r="E27" s="5" t="s">
        <v>655</v>
      </c>
    </row>
    <row r="28" spans="1:5" ht="14.25" customHeight="1">
      <c r="A28" s="1010">
        <v>5</v>
      </c>
      <c r="B28" s="411">
        <v>44742</v>
      </c>
      <c r="C28" s="602" t="s">
        <v>1749</v>
      </c>
      <c r="D28" s="603" t="s">
        <v>676</v>
      </c>
      <c r="E28" s="604" t="s">
        <v>651</v>
      </c>
    </row>
    <row r="29" spans="1:5">
      <c r="A29" s="1010">
        <v>5</v>
      </c>
      <c r="B29" s="51">
        <v>44742</v>
      </c>
      <c r="C29" s="576" t="s">
        <v>667</v>
      </c>
      <c r="D29" s="5" t="s">
        <v>654</v>
      </c>
      <c r="E29" s="5" t="s">
        <v>661</v>
      </c>
    </row>
    <row r="30" spans="1:5" ht="28.8">
      <c r="A30" s="1010">
        <v>5.0999999999999996</v>
      </c>
      <c r="B30" s="188">
        <v>44895</v>
      </c>
      <c r="C30" s="584" t="s">
        <v>1363</v>
      </c>
      <c r="D30" s="585" t="s">
        <v>683</v>
      </c>
      <c r="E30" s="586" t="s">
        <v>655</v>
      </c>
    </row>
    <row r="31" spans="1:5">
      <c r="A31" s="1010">
        <v>5.2</v>
      </c>
      <c r="B31" s="188">
        <v>44896</v>
      </c>
      <c r="C31" s="5" t="s">
        <v>1751</v>
      </c>
      <c r="D31" s="5" t="s">
        <v>676</v>
      </c>
      <c r="E31" s="5" t="s">
        <v>655</v>
      </c>
    </row>
    <row r="32" spans="1:5">
      <c r="A32" s="1010">
        <v>5.3</v>
      </c>
      <c r="B32" s="188">
        <v>44900</v>
      </c>
      <c r="C32" s="584" t="s">
        <v>1693</v>
      </c>
      <c r="D32" s="585" t="s">
        <v>676</v>
      </c>
      <c r="E32" s="586" t="s">
        <v>655</v>
      </c>
    </row>
    <row r="33" spans="1:5" ht="28.8">
      <c r="A33" s="1010">
        <v>5.4</v>
      </c>
      <c r="B33" s="188">
        <v>44903</v>
      </c>
      <c r="C33" s="576" t="s">
        <v>2040</v>
      </c>
      <c r="D33" s="5" t="s">
        <v>676</v>
      </c>
      <c r="E33" s="5" t="s">
        <v>655</v>
      </c>
    </row>
    <row r="34" spans="1:5">
      <c r="A34" s="1010">
        <v>5.4</v>
      </c>
      <c r="B34" s="188">
        <v>44903</v>
      </c>
      <c r="C34" s="5" t="s">
        <v>1752</v>
      </c>
      <c r="D34" s="5" t="s">
        <v>678</v>
      </c>
      <c r="E34" s="5" t="s">
        <v>655</v>
      </c>
    </row>
    <row r="35" spans="1:5">
      <c r="A35" s="1010">
        <v>5.4</v>
      </c>
      <c r="B35" s="51">
        <v>44937</v>
      </c>
      <c r="C35" s="607" t="s">
        <v>677</v>
      </c>
      <c r="D35" s="5" t="s">
        <v>678</v>
      </c>
      <c r="E35" s="5" t="s">
        <v>655</v>
      </c>
    </row>
    <row r="36" spans="1:5">
      <c r="A36" s="1010">
        <v>5.5</v>
      </c>
      <c r="B36" s="51">
        <v>44945</v>
      </c>
      <c r="C36" s="584" t="s">
        <v>1373</v>
      </c>
      <c r="D36" s="585" t="s">
        <v>1001</v>
      </c>
      <c r="E36" s="586" t="s">
        <v>655</v>
      </c>
    </row>
    <row r="37" spans="1:5">
      <c r="A37" s="1010">
        <v>5.5</v>
      </c>
      <c r="B37" s="51">
        <v>44953</v>
      </c>
      <c r="C37" s="5" t="s">
        <v>2041</v>
      </c>
      <c r="D37" s="5" t="s">
        <v>658</v>
      </c>
      <c r="E37" s="5" t="s">
        <v>655</v>
      </c>
    </row>
    <row r="38" spans="1:5">
      <c r="A38" s="1010">
        <v>5.6</v>
      </c>
      <c r="B38" s="51">
        <v>44956</v>
      </c>
      <c r="C38" s="608" t="s">
        <v>2042</v>
      </c>
      <c r="D38" s="608" t="s">
        <v>676</v>
      </c>
      <c r="E38" s="608" t="s">
        <v>655</v>
      </c>
    </row>
    <row r="39" spans="1:5">
      <c r="A39" s="1010">
        <v>5.6</v>
      </c>
      <c r="B39" s="51">
        <v>44957</v>
      </c>
      <c r="C39" s="5" t="s">
        <v>2041</v>
      </c>
      <c r="D39" s="5" t="s">
        <v>683</v>
      </c>
      <c r="E39" s="5" t="s">
        <v>655</v>
      </c>
    </row>
    <row r="40" spans="1:5">
      <c r="A40" s="1010">
        <v>6</v>
      </c>
      <c r="B40" s="51">
        <v>44957</v>
      </c>
      <c r="C40" s="602" t="s">
        <v>1753</v>
      </c>
      <c r="D40" s="5" t="s">
        <v>676</v>
      </c>
      <c r="E40" s="5" t="s">
        <v>651</v>
      </c>
    </row>
    <row r="41" spans="1:5">
      <c r="A41" s="1010">
        <v>6</v>
      </c>
      <c r="B41" s="51">
        <v>44957</v>
      </c>
      <c r="C41" s="5" t="s">
        <v>687</v>
      </c>
      <c r="D41" s="5" t="s">
        <v>676</v>
      </c>
      <c r="E41" s="5" t="s">
        <v>661</v>
      </c>
    </row>
    <row r="42" spans="1:5">
      <c r="A42" s="1010">
        <v>6.1</v>
      </c>
      <c r="B42" s="51">
        <v>44965</v>
      </c>
      <c r="C42" t="s">
        <v>2043</v>
      </c>
      <c r="D42" s="5" t="s">
        <v>676</v>
      </c>
      <c r="E42" s="5" t="s">
        <v>655</v>
      </c>
    </row>
    <row r="43" spans="1:5">
      <c r="A43" s="1010">
        <v>6.1</v>
      </c>
      <c r="B43" s="51">
        <v>44967</v>
      </c>
      <c r="C43" s="5" t="s">
        <v>2041</v>
      </c>
      <c r="D43" s="5" t="s">
        <v>658</v>
      </c>
      <c r="E43" s="5" t="s">
        <v>655</v>
      </c>
    </row>
    <row r="44" spans="1:5">
      <c r="A44" s="1010">
        <v>7</v>
      </c>
      <c r="B44" s="51">
        <v>44967</v>
      </c>
      <c r="C44" t="s">
        <v>1753</v>
      </c>
      <c r="D44" s="5" t="s">
        <v>676</v>
      </c>
      <c r="E44" s="5" t="s">
        <v>651</v>
      </c>
    </row>
    <row r="45" spans="1:5">
      <c r="A45" s="1010">
        <v>7</v>
      </c>
      <c r="B45" s="51">
        <v>44970</v>
      </c>
      <c r="C45" s="2" t="s">
        <v>691</v>
      </c>
      <c r="D45" s="5" t="s">
        <v>676</v>
      </c>
      <c r="E45" s="5" t="s">
        <v>661</v>
      </c>
    </row>
    <row r="46" spans="1:5">
      <c r="A46" s="1010">
        <v>8</v>
      </c>
      <c r="B46" s="51">
        <v>44993</v>
      </c>
      <c r="C46" t="s">
        <v>1754</v>
      </c>
      <c r="D46" s="5" t="s">
        <v>683</v>
      </c>
      <c r="E46" s="5" t="s">
        <v>651</v>
      </c>
    </row>
    <row r="47" spans="1:5">
      <c r="A47" s="1010">
        <v>8</v>
      </c>
      <c r="B47" s="191">
        <v>44998</v>
      </c>
      <c r="C47" s="2" t="s">
        <v>692</v>
      </c>
      <c r="D47" s="5" t="s">
        <v>678</v>
      </c>
      <c r="E47" s="5" t="s">
        <v>661</v>
      </c>
    </row>
    <row r="48" spans="1:5">
      <c r="A48" s="1010">
        <v>8.1</v>
      </c>
      <c r="B48" s="191">
        <v>45030</v>
      </c>
      <c r="C48" t="s">
        <v>2044</v>
      </c>
      <c r="D48" s="5" t="s">
        <v>697</v>
      </c>
      <c r="E48" s="5" t="s">
        <v>655</v>
      </c>
    </row>
    <row r="49" spans="1:5">
      <c r="A49" s="1010">
        <v>8.1</v>
      </c>
      <c r="B49" s="191">
        <v>45037</v>
      </c>
      <c r="C49" s="189" t="s">
        <v>999</v>
      </c>
      <c r="D49" s="5" t="s">
        <v>678</v>
      </c>
      <c r="E49" s="5" t="s">
        <v>655</v>
      </c>
    </row>
    <row r="50" spans="1:5" ht="32.25" customHeight="1">
      <c r="A50" s="1010">
        <v>8.1999999999999993</v>
      </c>
      <c r="B50" s="191">
        <v>45037</v>
      </c>
      <c r="C50" s="2" t="s">
        <v>2045</v>
      </c>
      <c r="D50" s="5" t="s">
        <v>697</v>
      </c>
      <c r="E50" s="5" t="s">
        <v>655</v>
      </c>
    </row>
    <row r="51" spans="1:5">
      <c r="A51" s="1010">
        <v>8.1999999999999993</v>
      </c>
      <c r="B51" s="191">
        <v>45037</v>
      </c>
      <c r="C51" s="189" t="s">
        <v>1698</v>
      </c>
      <c r="D51" s="5" t="s">
        <v>678</v>
      </c>
      <c r="E51" s="5" t="s">
        <v>655</v>
      </c>
    </row>
    <row r="52" spans="1:5">
      <c r="A52" s="1010">
        <v>9</v>
      </c>
      <c r="B52" s="191">
        <v>45037</v>
      </c>
      <c r="C52" s="726" t="s">
        <v>1754</v>
      </c>
      <c r="D52" s="5" t="s">
        <v>697</v>
      </c>
      <c r="E52" s="5" t="s">
        <v>651</v>
      </c>
    </row>
    <row r="53" spans="1:5">
      <c r="A53" s="1010">
        <v>9.1</v>
      </c>
      <c r="B53" s="191">
        <v>45072</v>
      </c>
      <c r="C53" s="2" t="s">
        <v>1755</v>
      </c>
      <c r="D53" s="5" t="s">
        <v>697</v>
      </c>
      <c r="E53" s="5" t="s">
        <v>655</v>
      </c>
    </row>
    <row r="54" spans="1:5">
      <c r="A54" s="1010">
        <v>9.1</v>
      </c>
      <c r="B54" s="191">
        <v>45075</v>
      </c>
      <c r="C54" s="5" t="s">
        <v>2046</v>
      </c>
      <c r="D54" s="5" t="s">
        <v>678</v>
      </c>
      <c r="E54" s="5" t="s">
        <v>655</v>
      </c>
    </row>
    <row r="55" spans="1:5">
      <c r="A55" s="1010">
        <v>10</v>
      </c>
      <c r="B55" s="191">
        <v>45076</v>
      </c>
      <c r="C55" s="1053" t="s">
        <v>2047</v>
      </c>
      <c r="D55" s="5" t="s">
        <v>697</v>
      </c>
      <c r="E55" s="5" t="s">
        <v>651</v>
      </c>
    </row>
    <row r="56" spans="1:5">
      <c r="A56" s="1010">
        <v>10.1</v>
      </c>
      <c r="B56" s="191">
        <v>45076</v>
      </c>
      <c r="C56" s="1053" t="s">
        <v>1758</v>
      </c>
      <c r="D56" s="5" t="s">
        <v>697</v>
      </c>
      <c r="E56" s="5" t="s">
        <v>655</v>
      </c>
    </row>
    <row r="57" spans="1:5">
      <c r="A57" s="1010">
        <v>10.1</v>
      </c>
      <c r="B57" s="191">
        <v>45076</v>
      </c>
      <c r="C57" s="5" t="s">
        <v>2046</v>
      </c>
      <c r="D57" s="5" t="s">
        <v>678</v>
      </c>
      <c r="E57" s="5" t="s">
        <v>655</v>
      </c>
    </row>
    <row r="58" spans="1:5">
      <c r="A58" s="1010" t="s">
        <v>2048</v>
      </c>
      <c r="B58" s="191">
        <v>45077</v>
      </c>
      <c r="C58" t="s">
        <v>2049</v>
      </c>
      <c r="D58" s="5" t="s">
        <v>697</v>
      </c>
      <c r="E58" s="5" t="s">
        <v>655</v>
      </c>
    </row>
    <row r="59" spans="1:5">
      <c r="A59" s="1010" t="s">
        <v>2048</v>
      </c>
      <c r="B59" s="51">
        <v>45078</v>
      </c>
      <c r="C59" t="s">
        <v>1752</v>
      </c>
      <c r="D59" s="5" t="s">
        <v>658</v>
      </c>
      <c r="E59" s="5" t="s">
        <v>655</v>
      </c>
    </row>
    <row r="60" spans="1:5">
      <c r="A60" s="1010" t="s">
        <v>2050</v>
      </c>
      <c r="B60" s="51">
        <v>45078</v>
      </c>
      <c r="C60" s="1053" t="s">
        <v>1760</v>
      </c>
      <c r="D60" s="5" t="s">
        <v>697</v>
      </c>
      <c r="E60" s="5" t="s">
        <v>651</v>
      </c>
    </row>
    <row r="61" spans="1:5">
      <c r="A61" s="1010" t="s">
        <v>2050</v>
      </c>
      <c r="B61" s="191">
        <v>45078</v>
      </c>
      <c r="C61" s="5" t="s">
        <v>699</v>
      </c>
      <c r="D61" s="5" t="s">
        <v>678</v>
      </c>
      <c r="E61" s="5" t="s">
        <v>661</v>
      </c>
    </row>
    <row r="62" spans="1:5">
      <c r="A62" s="629" t="s">
        <v>2051</v>
      </c>
      <c r="B62" s="188">
        <v>45097</v>
      </c>
      <c r="C62" s="744" t="s">
        <v>1761</v>
      </c>
      <c r="D62" s="585" t="s">
        <v>697</v>
      </c>
      <c r="E62" s="586" t="s">
        <v>655</v>
      </c>
    </row>
    <row r="63" spans="1:5">
      <c r="A63" s="629" t="s">
        <v>2051</v>
      </c>
      <c r="B63" s="188">
        <v>45097</v>
      </c>
      <c r="C63" s="1060" t="s">
        <v>1752</v>
      </c>
      <c r="D63" s="5" t="s">
        <v>678</v>
      </c>
      <c r="E63" s="586" t="s">
        <v>655</v>
      </c>
    </row>
    <row r="64" spans="1:5" ht="28.8">
      <c r="A64" s="1010" t="s">
        <v>2052</v>
      </c>
      <c r="B64" s="191">
        <v>45097</v>
      </c>
      <c r="C64" s="2" t="s">
        <v>1763</v>
      </c>
      <c r="D64" s="5" t="s">
        <v>697</v>
      </c>
      <c r="E64" s="5" t="s">
        <v>655</v>
      </c>
    </row>
    <row r="65" spans="1:5">
      <c r="A65" s="1010" t="s">
        <v>2053</v>
      </c>
      <c r="B65" s="188">
        <v>45097</v>
      </c>
      <c r="C65" s="1053" t="s">
        <v>1760</v>
      </c>
      <c r="D65" s="585" t="s">
        <v>678</v>
      </c>
      <c r="E65" s="586" t="s">
        <v>651</v>
      </c>
    </row>
    <row r="66" spans="1:5">
      <c r="A66" s="1010" t="s">
        <v>2053</v>
      </c>
      <c r="B66" s="191">
        <v>45097</v>
      </c>
      <c r="C66" s="594" t="s">
        <v>700</v>
      </c>
      <c r="D66" s="595" t="s">
        <v>678</v>
      </c>
      <c r="E66" s="596" t="s">
        <v>661</v>
      </c>
    </row>
    <row r="67" spans="1:5">
      <c r="A67" s="1010" t="s">
        <v>2053</v>
      </c>
      <c r="B67" s="1065">
        <v>45205</v>
      </c>
      <c r="C67" s="595" t="s">
        <v>701</v>
      </c>
      <c r="D67" s="595" t="s">
        <v>678</v>
      </c>
      <c r="E67" s="596" t="s">
        <v>661</v>
      </c>
    </row>
  </sheetData>
  <pageMargins left="0.7" right="0.7" top="0.75" bottom="0.75" header="0.3" footer="0.3"/>
  <pageSetup orientation="portrait" r:id="rId1"/>
  <headerFooter>
    <oddFooter>&amp;C_x000D_&amp;1#&amp;"Calibri"&amp;11&amp;KFF0000 Internal</oddFooter>
  </headerFooter>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12CBA-BCBF-4B64-A4E9-F738D8E16F72}">
  <sheetPr codeName="Sheet69"/>
  <dimension ref="A1:L380"/>
  <sheetViews>
    <sheetView zoomScale="85" zoomScaleNormal="85" workbookViewId="0">
      <pane xSplit="2" ySplit="3" topLeftCell="C4" activePane="bottomRight" state="frozen"/>
      <selection pane="topRight" activeCell="J3" sqref="J3"/>
      <selection pane="bottomLeft" activeCell="J3" sqref="J3"/>
      <selection pane="bottomRight" activeCell="E1" sqref="E1"/>
    </sheetView>
  </sheetViews>
  <sheetFormatPr defaultRowHeight="14.4"/>
  <cols>
    <col min="1" max="1" width="49.15625" customWidth="1"/>
    <col min="2" max="2" width="33.68359375" style="2" customWidth="1"/>
    <col min="3" max="5" width="10.15625" customWidth="1"/>
    <col min="6" max="6" width="28.15625" customWidth="1"/>
    <col min="7" max="7" width="14" customWidth="1"/>
    <col min="8" max="8" width="10" customWidth="1"/>
    <col min="9" max="9" width="42.26171875" customWidth="1"/>
    <col min="10" max="10" width="27.68359375" customWidth="1"/>
    <col min="11" max="11" width="22.83984375" customWidth="1"/>
    <col min="12" max="12" width="32.578125" customWidth="1"/>
  </cols>
  <sheetData>
    <row r="1" spans="1:12">
      <c r="A1" s="45" t="s">
        <v>104</v>
      </c>
      <c r="B1" s="46" t="s">
        <v>1973</v>
      </c>
      <c r="C1" s="1583" t="s">
        <v>106</v>
      </c>
      <c r="D1" s="1584"/>
      <c r="E1" s="1070">
        <v>4</v>
      </c>
      <c r="F1" s="1070" t="s">
        <v>702</v>
      </c>
      <c r="G1" s="1071">
        <v>7384</v>
      </c>
      <c r="H1" s="1072"/>
      <c r="I1" s="1073" t="s">
        <v>69</v>
      </c>
      <c r="J1" s="1073" t="s">
        <v>703</v>
      </c>
      <c r="K1" s="1074" t="s">
        <v>1702</v>
      </c>
      <c r="L1" s="1074" t="s">
        <v>80</v>
      </c>
    </row>
    <row r="2" spans="1:12" ht="216.75" customHeight="1">
      <c r="A2" s="1599" t="s">
        <v>1704</v>
      </c>
      <c r="B2" s="1600"/>
      <c r="C2" s="1616" t="s">
        <v>1974</v>
      </c>
      <c r="D2" s="1614"/>
      <c r="E2" s="1614"/>
      <c r="F2" s="1614"/>
      <c r="G2" s="1614"/>
      <c r="H2" s="1614"/>
      <c r="I2" s="1615"/>
      <c r="J2" s="240" t="s">
        <v>707</v>
      </c>
      <c r="K2" s="1075">
        <v>1</v>
      </c>
      <c r="L2" s="226"/>
    </row>
    <row r="3" spans="1:12" ht="15" customHeight="1">
      <c r="A3" s="887" t="s">
        <v>709</v>
      </c>
      <c r="B3" s="869" t="s">
        <v>710</v>
      </c>
      <c r="C3" s="868" t="s">
        <v>711</v>
      </c>
      <c r="D3" s="868" t="s">
        <v>712</v>
      </c>
      <c r="E3" s="868" t="s">
        <v>713</v>
      </c>
      <c r="F3" s="868" t="s">
        <v>714</v>
      </c>
      <c r="G3" s="868" t="s">
        <v>715</v>
      </c>
      <c r="H3" s="868" t="s">
        <v>716</v>
      </c>
      <c r="I3" s="868" t="s">
        <v>717</v>
      </c>
      <c r="J3" s="888" t="s">
        <v>718</v>
      </c>
      <c r="K3" s="412" t="s">
        <v>719</v>
      </c>
      <c r="L3" s="412" t="s">
        <v>720</v>
      </c>
    </row>
    <row r="4" spans="1:12" ht="57.6">
      <c r="A4" s="881" t="s">
        <v>2054</v>
      </c>
      <c r="B4" s="116" t="s">
        <v>1766</v>
      </c>
      <c r="C4" s="10" t="s">
        <v>48</v>
      </c>
      <c r="D4" s="10" t="s">
        <v>48</v>
      </c>
      <c r="E4" s="10" t="s">
        <v>48</v>
      </c>
      <c r="F4" s="10" t="s">
        <v>48</v>
      </c>
      <c r="G4" s="10" t="s">
        <v>48</v>
      </c>
      <c r="H4" s="10">
        <v>32</v>
      </c>
      <c r="I4" s="10" t="s">
        <v>728</v>
      </c>
      <c r="J4" s="554" t="s">
        <v>2055</v>
      </c>
      <c r="K4" s="1591">
        <v>1</v>
      </c>
      <c r="L4" s="1617" t="s">
        <v>2056</v>
      </c>
    </row>
    <row r="5" spans="1:12">
      <c r="A5" s="882" t="s">
        <v>2057</v>
      </c>
      <c r="B5" s="889" t="s">
        <v>1459</v>
      </c>
      <c r="C5" s="10" t="s">
        <v>48</v>
      </c>
      <c r="D5" s="10" t="s">
        <v>48</v>
      </c>
      <c r="E5" s="10" t="s">
        <v>48</v>
      </c>
      <c r="F5" s="10" t="s">
        <v>48</v>
      </c>
      <c r="G5" s="10" t="s">
        <v>48</v>
      </c>
      <c r="H5" s="10">
        <v>16</v>
      </c>
      <c r="I5" s="10" t="s">
        <v>823</v>
      </c>
      <c r="J5" s="554" t="s">
        <v>2055</v>
      </c>
      <c r="K5" s="1591"/>
      <c r="L5" s="1513"/>
    </row>
    <row r="6" spans="1:12" ht="28.8">
      <c r="A6" s="882" t="s">
        <v>2058</v>
      </c>
      <c r="B6" s="890" t="s">
        <v>826</v>
      </c>
      <c r="C6" s="10" t="s">
        <v>48</v>
      </c>
      <c r="D6" s="10" t="s">
        <v>48</v>
      </c>
      <c r="E6" s="10" t="s">
        <v>48</v>
      </c>
      <c r="F6" s="10" t="s">
        <v>48</v>
      </c>
      <c r="G6" s="10" t="s">
        <v>48</v>
      </c>
      <c r="H6" s="10">
        <v>8</v>
      </c>
      <c r="I6" s="10" t="s">
        <v>827</v>
      </c>
      <c r="J6" s="554" t="s">
        <v>2055</v>
      </c>
      <c r="K6" s="1591"/>
      <c r="L6" s="1513"/>
    </row>
    <row r="7" spans="1:12" ht="72">
      <c r="A7" s="882" t="s">
        <v>2059</v>
      </c>
      <c r="B7" s="426" t="s">
        <v>2060</v>
      </c>
      <c r="C7" s="10" t="s">
        <v>48</v>
      </c>
      <c r="D7" s="10" t="s">
        <v>48</v>
      </c>
      <c r="E7" s="10" t="s">
        <v>48</v>
      </c>
      <c r="F7" s="10" t="s">
        <v>48</v>
      </c>
      <c r="G7" s="10" t="s">
        <v>48</v>
      </c>
      <c r="H7" s="10">
        <v>8</v>
      </c>
      <c r="I7" s="10" t="s">
        <v>839</v>
      </c>
      <c r="J7" s="554" t="s">
        <v>2055</v>
      </c>
      <c r="K7" s="1591"/>
      <c r="L7" s="1513"/>
    </row>
    <row r="8" spans="1:12" ht="57.6">
      <c r="A8" s="883" t="s">
        <v>2061</v>
      </c>
      <c r="B8" s="891" t="s">
        <v>2062</v>
      </c>
      <c r="C8" s="98" t="s">
        <v>48</v>
      </c>
      <c r="D8" s="98">
        <v>0</v>
      </c>
      <c r="E8" s="10">
        <v>1</v>
      </c>
      <c r="F8" s="346" t="s">
        <v>2008</v>
      </c>
      <c r="G8" s="10">
        <v>0</v>
      </c>
      <c r="H8" s="346">
        <v>8</v>
      </c>
      <c r="I8" s="10" t="s">
        <v>1056</v>
      </c>
      <c r="J8" s="554" t="s">
        <v>2055</v>
      </c>
      <c r="K8" s="1591"/>
      <c r="L8" s="1513"/>
    </row>
    <row r="9" spans="1:12" ht="72">
      <c r="A9" s="883" t="s">
        <v>2063</v>
      </c>
      <c r="B9" s="426" t="s">
        <v>2064</v>
      </c>
      <c r="C9" s="10" t="s">
        <v>48</v>
      </c>
      <c r="D9" s="10" t="s">
        <v>48</v>
      </c>
      <c r="E9" s="10" t="s">
        <v>48</v>
      </c>
      <c r="F9" s="10" t="s">
        <v>48</v>
      </c>
      <c r="G9" s="10" t="s">
        <v>48</v>
      </c>
      <c r="H9" s="10">
        <v>8</v>
      </c>
      <c r="I9" s="10" t="s">
        <v>839</v>
      </c>
      <c r="J9" s="554" t="s">
        <v>2055</v>
      </c>
      <c r="K9" s="1591"/>
      <c r="L9" s="1513"/>
    </row>
    <row r="10" spans="1:12">
      <c r="A10" s="883" t="s">
        <v>2065</v>
      </c>
      <c r="B10" s="426" t="s">
        <v>2066</v>
      </c>
      <c r="C10" s="10" t="s">
        <v>48</v>
      </c>
      <c r="D10" s="10" t="s">
        <v>48</v>
      </c>
      <c r="E10" s="10" t="s">
        <v>48</v>
      </c>
      <c r="F10" s="10" t="s">
        <v>48</v>
      </c>
      <c r="G10" s="10" t="s">
        <v>48</v>
      </c>
      <c r="H10" s="346">
        <v>8</v>
      </c>
      <c r="I10" s="10" t="s">
        <v>1538</v>
      </c>
      <c r="J10" s="554" t="s">
        <v>2055</v>
      </c>
      <c r="K10" s="1591"/>
      <c r="L10" s="1513"/>
    </row>
    <row r="11" spans="1:12" ht="72">
      <c r="A11" s="883" t="s">
        <v>2067</v>
      </c>
      <c r="B11" s="426" t="s">
        <v>2068</v>
      </c>
      <c r="C11" s="10" t="s">
        <v>48</v>
      </c>
      <c r="D11" s="10" t="s">
        <v>48</v>
      </c>
      <c r="E11" s="10" t="s">
        <v>48</v>
      </c>
      <c r="F11" s="10" t="s">
        <v>48</v>
      </c>
      <c r="G11" s="10" t="s">
        <v>48</v>
      </c>
      <c r="H11" s="10">
        <v>8</v>
      </c>
      <c r="I11" s="10" t="s">
        <v>839</v>
      </c>
      <c r="J11" s="554" t="s">
        <v>2055</v>
      </c>
      <c r="K11" s="1591"/>
      <c r="L11" s="1513"/>
    </row>
    <row r="12" spans="1:12" ht="100.8">
      <c r="A12" s="883" t="s">
        <v>2069</v>
      </c>
      <c r="B12" s="426" t="s">
        <v>2070</v>
      </c>
      <c r="C12" s="10" t="s">
        <v>1072</v>
      </c>
      <c r="D12" s="424">
        <v>-10</v>
      </c>
      <c r="E12" s="10" t="s">
        <v>920</v>
      </c>
      <c r="F12" s="9" t="s">
        <v>2071</v>
      </c>
      <c r="G12" s="10" t="s">
        <v>920</v>
      </c>
      <c r="H12" s="425">
        <v>32</v>
      </c>
      <c r="I12" s="10" t="s">
        <v>922</v>
      </c>
      <c r="J12" s="554" t="s">
        <v>2055</v>
      </c>
      <c r="K12" s="1591"/>
      <c r="L12" s="1513"/>
    </row>
    <row r="13" spans="1:12" ht="72">
      <c r="A13" s="883" t="s">
        <v>2072</v>
      </c>
      <c r="B13" s="426" t="s">
        <v>2073</v>
      </c>
      <c r="C13" s="10" t="s">
        <v>48</v>
      </c>
      <c r="D13" s="10" t="s">
        <v>48</v>
      </c>
      <c r="E13" s="10" t="s">
        <v>48</v>
      </c>
      <c r="F13" s="10" t="s">
        <v>48</v>
      </c>
      <c r="G13" s="10" t="s">
        <v>48</v>
      </c>
      <c r="H13" s="10">
        <v>8</v>
      </c>
      <c r="I13" s="10" t="s">
        <v>839</v>
      </c>
      <c r="J13" s="554" t="s">
        <v>2055</v>
      </c>
      <c r="K13" s="1591"/>
      <c r="L13" s="1513"/>
    </row>
    <row r="14" spans="1:12" ht="100.8">
      <c r="A14" s="883" t="s">
        <v>2074</v>
      </c>
      <c r="B14" s="426" t="s">
        <v>2070</v>
      </c>
      <c r="C14" s="10" t="s">
        <v>1072</v>
      </c>
      <c r="D14" s="424">
        <v>-10</v>
      </c>
      <c r="E14" s="10" t="s">
        <v>920</v>
      </c>
      <c r="F14" s="9" t="s">
        <v>2071</v>
      </c>
      <c r="G14" s="10" t="s">
        <v>920</v>
      </c>
      <c r="H14" s="425">
        <v>32</v>
      </c>
      <c r="I14" s="10" t="s">
        <v>922</v>
      </c>
      <c r="J14" s="554" t="s">
        <v>2055</v>
      </c>
      <c r="K14" s="1591"/>
      <c r="L14" s="1513"/>
    </row>
    <row r="15" spans="1:12" ht="72">
      <c r="A15" s="883" t="s">
        <v>2075</v>
      </c>
      <c r="B15" s="426" t="s">
        <v>2076</v>
      </c>
      <c r="C15" s="10" t="s">
        <v>48</v>
      </c>
      <c r="D15" s="10" t="s">
        <v>48</v>
      </c>
      <c r="E15" s="10" t="s">
        <v>48</v>
      </c>
      <c r="F15" s="10" t="s">
        <v>48</v>
      </c>
      <c r="G15" s="10" t="s">
        <v>48</v>
      </c>
      <c r="H15" s="10">
        <v>8</v>
      </c>
      <c r="I15" s="10" t="s">
        <v>839</v>
      </c>
      <c r="J15" s="554" t="s">
        <v>2055</v>
      </c>
      <c r="K15" s="1591"/>
      <c r="L15" s="1513"/>
    </row>
    <row r="16" spans="1:12" ht="100.8">
      <c r="A16" s="883" t="s">
        <v>2077</v>
      </c>
      <c r="B16" s="426" t="s">
        <v>2070</v>
      </c>
      <c r="C16" s="10" t="s">
        <v>1072</v>
      </c>
      <c r="D16" s="424">
        <v>-10</v>
      </c>
      <c r="E16" s="10" t="s">
        <v>920</v>
      </c>
      <c r="F16" s="9" t="s">
        <v>2071</v>
      </c>
      <c r="G16" s="10" t="s">
        <v>920</v>
      </c>
      <c r="H16" s="425">
        <v>32</v>
      </c>
      <c r="I16" s="10" t="s">
        <v>922</v>
      </c>
      <c r="J16" s="554" t="s">
        <v>2055</v>
      </c>
      <c r="K16" s="1591"/>
      <c r="L16" s="1513"/>
    </row>
    <row r="17" spans="1:12" ht="72">
      <c r="A17" s="883" t="s">
        <v>2078</v>
      </c>
      <c r="B17" s="426" t="s">
        <v>2079</v>
      </c>
      <c r="C17" s="10" t="s">
        <v>48</v>
      </c>
      <c r="D17" s="10" t="s">
        <v>48</v>
      </c>
      <c r="E17" s="10" t="s">
        <v>48</v>
      </c>
      <c r="F17" s="10" t="s">
        <v>48</v>
      </c>
      <c r="G17" s="10" t="s">
        <v>48</v>
      </c>
      <c r="H17" s="10">
        <v>8</v>
      </c>
      <c r="I17" s="10" t="s">
        <v>839</v>
      </c>
      <c r="J17" s="554" t="s">
        <v>2055</v>
      </c>
      <c r="K17" s="1591"/>
      <c r="L17" s="1513"/>
    </row>
    <row r="18" spans="1:12" ht="72">
      <c r="A18" s="883" t="s">
        <v>2080</v>
      </c>
      <c r="B18" s="426" t="s">
        <v>2081</v>
      </c>
      <c r="C18" s="10" t="s">
        <v>996</v>
      </c>
      <c r="D18" s="424">
        <v>0</v>
      </c>
      <c r="E18" s="10" t="s">
        <v>920</v>
      </c>
      <c r="F18" s="9" t="s">
        <v>2082</v>
      </c>
      <c r="G18" s="10" t="s">
        <v>920</v>
      </c>
      <c r="H18" s="425">
        <v>32</v>
      </c>
      <c r="I18" s="10" t="s">
        <v>922</v>
      </c>
      <c r="J18" s="554" t="s">
        <v>2055</v>
      </c>
      <c r="K18" s="1591"/>
      <c r="L18" s="1513"/>
    </row>
    <row r="19" spans="1:12" ht="72">
      <c r="A19" s="883" t="s">
        <v>2083</v>
      </c>
      <c r="B19" s="426" t="s">
        <v>2084</v>
      </c>
      <c r="C19" s="10" t="s">
        <v>48</v>
      </c>
      <c r="D19" s="10" t="s">
        <v>48</v>
      </c>
      <c r="E19" s="10" t="s">
        <v>48</v>
      </c>
      <c r="F19" s="10" t="s">
        <v>48</v>
      </c>
      <c r="G19" s="10" t="s">
        <v>48</v>
      </c>
      <c r="H19" s="10">
        <v>8</v>
      </c>
      <c r="I19" s="10" t="s">
        <v>839</v>
      </c>
      <c r="J19" s="554" t="s">
        <v>2055</v>
      </c>
      <c r="K19" s="1591"/>
      <c r="L19" s="1513"/>
    </row>
    <row r="20" spans="1:12" ht="72">
      <c r="A20" s="883" t="s">
        <v>2085</v>
      </c>
      <c r="B20" s="426" t="s">
        <v>2081</v>
      </c>
      <c r="C20" s="10" t="s">
        <v>996</v>
      </c>
      <c r="D20" s="424">
        <v>0</v>
      </c>
      <c r="E20" s="10" t="s">
        <v>920</v>
      </c>
      <c r="F20" s="9" t="s">
        <v>2082</v>
      </c>
      <c r="G20" s="10" t="s">
        <v>920</v>
      </c>
      <c r="H20" s="425">
        <v>32</v>
      </c>
      <c r="I20" s="10" t="s">
        <v>922</v>
      </c>
      <c r="J20" s="554" t="s">
        <v>2055</v>
      </c>
      <c r="K20" s="1591"/>
      <c r="L20" s="1513"/>
    </row>
    <row r="21" spans="1:12" ht="72">
      <c r="A21" s="883" t="s">
        <v>2086</v>
      </c>
      <c r="B21" s="426" t="s">
        <v>2087</v>
      </c>
      <c r="C21" s="10" t="s">
        <v>48</v>
      </c>
      <c r="D21" s="10" t="s">
        <v>48</v>
      </c>
      <c r="E21" s="10" t="s">
        <v>48</v>
      </c>
      <c r="F21" s="10" t="s">
        <v>48</v>
      </c>
      <c r="G21" s="10" t="s">
        <v>48</v>
      </c>
      <c r="H21" s="10">
        <v>8</v>
      </c>
      <c r="I21" s="10" t="s">
        <v>839</v>
      </c>
      <c r="J21" s="554" t="s">
        <v>2055</v>
      </c>
      <c r="K21" s="1591"/>
      <c r="L21" s="1513"/>
    </row>
    <row r="22" spans="1:12" ht="72">
      <c r="A22" s="883" t="s">
        <v>2088</v>
      </c>
      <c r="B22" s="426" t="s">
        <v>2081</v>
      </c>
      <c r="C22" s="10" t="s">
        <v>996</v>
      </c>
      <c r="D22" s="424">
        <v>0</v>
      </c>
      <c r="E22" s="10" t="s">
        <v>920</v>
      </c>
      <c r="F22" s="9" t="s">
        <v>2082</v>
      </c>
      <c r="G22" s="10" t="s">
        <v>920</v>
      </c>
      <c r="H22" s="425">
        <v>32</v>
      </c>
      <c r="I22" s="10" t="s">
        <v>922</v>
      </c>
      <c r="J22" s="554" t="s">
        <v>2055</v>
      </c>
      <c r="K22" s="1591"/>
      <c r="L22" s="1513"/>
    </row>
    <row r="23" spans="1:12" ht="72">
      <c r="A23" s="882" t="s">
        <v>2089</v>
      </c>
      <c r="B23" s="426" t="s">
        <v>2090</v>
      </c>
      <c r="C23" s="10" t="s">
        <v>48</v>
      </c>
      <c r="D23" s="10" t="s">
        <v>48</v>
      </c>
      <c r="E23" s="10" t="s">
        <v>48</v>
      </c>
      <c r="F23" s="10" t="s">
        <v>48</v>
      </c>
      <c r="G23" s="10" t="s">
        <v>48</v>
      </c>
      <c r="H23" s="10">
        <v>8</v>
      </c>
      <c r="I23" s="10" t="s">
        <v>839</v>
      </c>
      <c r="J23" s="554" t="s">
        <v>2055</v>
      </c>
      <c r="K23" s="1591"/>
      <c r="L23" s="1513"/>
    </row>
    <row r="24" spans="1:12" ht="43.2">
      <c r="A24" s="882" t="s">
        <v>2091</v>
      </c>
      <c r="B24" s="426" t="s">
        <v>2092</v>
      </c>
      <c r="C24" s="10" t="s">
        <v>1035</v>
      </c>
      <c r="D24" s="424">
        <v>-50</v>
      </c>
      <c r="E24" s="10" t="s">
        <v>920</v>
      </c>
      <c r="F24" s="98" t="s">
        <v>2093</v>
      </c>
      <c r="G24" s="10" t="s">
        <v>920</v>
      </c>
      <c r="H24" s="346">
        <v>32</v>
      </c>
      <c r="I24" s="10" t="s">
        <v>922</v>
      </c>
      <c r="J24" s="554" t="s">
        <v>2055</v>
      </c>
      <c r="K24" s="1591"/>
      <c r="L24" s="1513"/>
    </row>
    <row r="25" spans="1:12" ht="72">
      <c r="A25" s="882" t="s">
        <v>2094</v>
      </c>
      <c r="B25" s="426" t="s">
        <v>2095</v>
      </c>
      <c r="C25" s="10" t="s">
        <v>48</v>
      </c>
      <c r="D25" s="10" t="s">
        <v>48</v>
      </c>
      <c r="E25" s="10" t="s">
        <v>48</v>
      </c>
      <c r="F25" s="10" t="s">
        <v>48</v>
      </c>
      <c r="G25" s="10" t="s">
        <v>48</v>
      </c>
      <c r="H25" s="10">
        <v>8</v>
      </c>
      <c r="I25" s="10" t="s">
        <v>839</v>
      </c>
      <c r="J25" s="554" t="s">
        <v>2055</v>
      </c>
      <c r="K25" s="1591"/>
      <c r="L25" s="1513"/>
    </row>
    <row r="26" spans="1:12" ht="28.8">
      <c r="A26" s="882" t="s">
        <v>2096</v>
      </c>
      <c r="B26" s="426" t="s">
        <v>2097</v>
      </c>
      <c r="C26" s="10" t="s">
        <v>48</v>
      </c>
      <c r="D26" s="10" t="s">
        <v>48</v>
      </c>
      <c r="E26" s="10" t="s">
        <v>48</v>
      </c>
      <c r="F26" s="10" t="s">
        <v>48</v>
      </c>
      <c r="G26" s="10" t="s">
        <v>48</v>
      </c>
      <c r="H26" s="10">
        <v>32</v>
      </c>
      <c r="I26" s="10" t="s">
        <v>1783</v>
      </c>
      <c r="J26" s="554" t="s">
        <v>2055</v>
      </c>
      <c r="K26" s="1591"/>
      <c r="L26" s="1513"/>
    </row>
    <row r="27" spans="1:12" ht="72">
      <c r="A27" s="882" t="s">
        <v>2098</v>
      </c>
      <c r="B27" s="426" t="s">
        <v>2099</v>
      </c>
      <c r="C27" s="10" t="s">
        <v>48</v>
      </c>
      <c r="D27" s="10" t="s">
        <v>48</v>
      </c>
      <c r="E27" s="10" t="s">
        <v>48</v>
      </c>
      <c r="F27" s="10" t="s">
        <v>48</v>
      </c>
      <c r="G27" s="10" t="s">
        <v>48</v>
      </c>
      <c r="H27" s="10">
        <v>8</v>
      </c>
      <c r="I27" s="10" t="s">
        <v>839</v>
      </c>
      <c r="J27" s="554" t="s">
        <v>2055</v>
      </c>
      <c r="K27" s="1591"/>
      <c r="L27" s="1513"/>
    </row>
    <row r="28" spans="1:12" ht="72">
      <c r="A28" s="882" t="s">
        <v>2100</v>
      </c>
      <c r="B28" s="426" t="s">
        <v>2101</v>
      </c>
      <c r="C28" s="10" t="s">
        <v>48</v>
      </c>
      <c r="D28" s="10" t="s">
        <v>48</v>
      </c>
      <c r="E28" s="10" t="s">
        <v>48</v>
      </c>
      <c r="F28" s="10" t="s">
        <v>48</v>
      </c>
      <c r="G28" s="10" t="s">
        <v>48</v>
      </c>
      <c r="H28" s="10">
        <v>32</v>
      </c>
      <c r="I28" s="10" t="s">
        <v>1783</v>
      </c>
      <c r="J28" s="554" t="s">
        <v>2055</v>
      </c>
      <c r="K28" s="1591"/>
      <c r="L28" s="1513"/>
    </row>
    <row r="29" spans="1:12" ht="72">
      <c r="A29" s="882" t="s">
        <v>2102</v>
      </c>
      <c r="B29" s="426" t="s">
        <v>2103</v>
      </c>
      <c r="C29" s="10" t="s">
        <v>48</v>
      </c>
      <c r="D29" s="10" t="s">
        <v>48</v>
      </c>
      <c r="E29" s="10" t="s">
        <v>48</v>
      </c>
      <c r="F29" s="10" t="s">
        <v>48</v>
      </c>
      <c r="G29" s="10" t="s">
        <v>48</v>
      </c>
      <c r="H29" s="10">
        <v>8</v>
      </c>
      <c r="I29" s="10" t="s">
        <v>839</v>
      </c>
      <c r="J29" s="554" t="s">
        <v>2055</v>
      </c>
      <c r="K29" s="1591"/>
      <c r="L29" s="1513"/>
    </row>
    <row r="30" spans="1:12" ht="28.8">
      <c r="A30" s="882" t="s">
        <v>2104</v>
      </c>
      <c r="B30" s="426" t="s">
        <v>2105</v>
      </c>
      <c r="C30" s="10" t="s">
        <v>2106</v>
      </c>
      <c r="D30" s="10">
        <v>0</v>
      </c>
      <c r="E30" s="10">
        <v>65535</v>
      </c>
      <c r="F30" s="9" t="s">
        <v>2107</v>
      </c>
      <c r="G30" s="702">
        <v>65535</v>
      </c>
      <c r="H30" s="10">
        <v>16</v>
      </c>
      <c r="I30" s="10" t="s">
        <v>991</v>
      </c>
      <c r="J30" s="554" t="s">
        <v>2055</v>
      </c>
      <c r="K30" s="1591"/>
      <c r="L30" s="1513"/>
    </row>
    <row r="31" spans="1:12" ht="72">
      <c r="A31" s="882" t="s">
        <v>2108</v>
      </c>
      <c r="B31" s="426" t="s">
        <v>2109</v>
      </c>
      <c r="C31" s="10" t="s">
        <v>48</v>
      </c>
      <c r="D31" s="10" t="s">
        <v>48</v>
      </c>
      <c r="E31" s="10" t="s">
        <v>48</v>
      </c>
      <c r="F31" s="10" t="s">
        <v>48</v>
      </c>
      <c r="G31" s="10" t="s">
        <v>48</v>
      </c>
      <c r="H31" s="10">
        <v>8</v>
      </c>
      <c r="I31" s="10" t="s">
        <v>839</v>
      </c>
      <c r="J31" s="554" t="s">
        <v>2055</v>
      </c>
      <c r="K31" s="1591"/>
      <c r="L31" s="1513"/>
    </row>
    <row r="32" spans="1:12" ht="28.8">
      <c r="A32" s="882" t="s">
        <v>2110</v>
      </c>
      <c r="B32" s="426" t="s">
        <v>2111</v>
      </c>
      <c r="C32" s="10" t="s">
        <v>996</v>
      </c>
      <c r="D32" s="424">
        <v>0</v>
      </c>
      <c r="E32" s="10" t="s">
        <v>920</v>
      </c>
      <c r="F32" s="9" t="s">
        <v>2112</v>
      </c>
      <c r="G32" s="10" t="s">
        <v>920</v>
      </c>
      <c r="H32" s="425">
        <v>32</v>
      </c>
      <c r="I32" s="10" t="s">
        <v>922</v>
      </c>
      <c r="J32" s="554" t="s">
        <v>2055</v>
      </c>
      <c r="K32" s="1591"/>
      <c r="L32" s="1513"/>
    </row>
    <row r="33" spans="1:12" ht="72">
      <c r="A33" s="882" t="s">
        <v>2113</v>
      </c>
      <c r="B33" s="426" t="s">
        <v>2114</v>
      </c>
      <c r="C33" s="10" t="s">
        <v>48</v>
      </c>
      <c r="D33" s="10" t="s">
        <v>48</v>
      </c>
      <c r="E33" s="10" t="s">
        <v>48</v>
      </c>
      <c r="F33" s="10" t="s">
        <v>48</v>
      </c>
      <c r="G33" s="10" t="s">
        <v>48</v>
      </c>
      <c r="H33" s="10">
        <v>8</v>
      </c>
      <c r="I33" s="10" t="s">
        <v>839</v>
      </c>
      <c r="J33" s="554" t="s">
        <v>2055</v>
      </c>
      <c r="K33" s="1591"/>
      <c r="L33" s="1513"/>
    </row>
    <row r="34" spans="1:12" ht="43.2">
      <c r="A34" s="882" t="s">
        <v>2115</v>
      </c>
      <c r="B34" s="426" t="s">
        <v>2116</v>
      </c>
      <c r="C34" s="10" t="s">
        <v>1035</v>
      </c>
      <c r="D34" s="424">
        <v>-50</v>
      </c>
      <c r="E34" s="10" t="s">
        <v>920</v>
      </c>
      <c r="F34" s="98" t="s">
        <v>2093</v>
      </c>
      <c r="G34" s="10" t="s">
        <v>920</v>
      </c>
      <c r="H34" s="346">
        <v>32</v>
      </c>
      <c r="I34" s="10" t="s">
        <v>922</v>
      </c>
      <c r="J34" s="554" t="s">
        <v>2055</v>
      </c>
      <c r="K34" s="1591"/>
      <c r="L34" s="1513"/>
    </row>
    <row r="35" spans="1:12" ht="72">
      <c r="A35" s="882" t="s">
        <v>2117</v>
      </c>
      <c r="B35" s="426" t="s">
        <v>2118</v>
      </c>
      <c r="C35" s="10" t="s">
        <v>48</v>
      </c>
      <c r="D35" s="10" t="s">
        <v>48</v>
      </c>
      <c r="E35" s="10" t="s">
        <v>48</v>
      </c>
      <c r="F35" s="10" t="s">
        <v>48</v>
      </c>
      <c r="G35" s="10" t="s">
        <v>48</v>
      </c>
      <c r="H35" s="10">
        <v>8</v>
      </c>
      <c r="I35" s="10" t="s">
        <v>839</v>
      </c>
      <c r="J35" s="554" t="s">
        <v>2055</v>
      </c>
      <c r="K35" s="1591"/>
      <c r="L35" s="1513"/>
    </row>
    <row r="36" spans="1:12" ht="28.8">
      <c r="A36" s="882" t="s">
        <v>2119</v>
      </c>
      <c r="B36" s="426" t="s">
        <v>2120</v>
      </c>
      <c r="C36" s="10" t="s">
        <v>48</v>
      </c>
      <c r="D36" s="10" t="s">
        <v>48</v>
      </c>
      <c r="E36" s="10" t="s">
        <v>48</v>
      </c>
      <c r="F36" s="10" t="s">
        <v>48</v>
      </c>
      <c r="G36" s="10" t="s">
        <v>48</v>
      </c>
      <c r="H36" s="10">
        <v>32</v>
      </c>
      <c r="I36" s="10" t="s">
        <v>1783</v>
      </c>
      <c r="J36" s="554" t="s">
        <v>2055</v>
      </c>
      <c r="K36" s="1591"/>
      <c r="L36" s="1513"/>
    </row>
    <row r="37" spans="1:12" ht="72">
      <c r="A37" s="882" t="s">
        <v>2121</v>
      </c>
      <c r="B37" s="426" t="s">
        <v>2122</v>
      </c>
      <c r="C37" s="10" t="s">
        <v>48</v>
      </c>
      <c r="D37" s="10" t="s">
        <v>48</v>
      </c>
      <c r="E37" s="10" t="s">
        <v>48</v>
      </c>
      <c r="F37" s="10" t="s">
        <v>48</v>
      </c>
      <c r="G37" s="10" t="s">
        <v>48</v>
      </c>
      <c r="H37" s="10">
        <v>8</v>
      </c>
      <c r="I37" s="10" t="s">
        <v>839</v>
      </c>
      <c r="J37" s="554" t="s">
        <v>2055</v>
      </c>
      <c r="K37" s="1591"/>
      <c r="L37" s="1513"/>
    </row>
    <row r="38" spans="1:12" ht="72">
      <c r="A38" s="882" t="s">
        <v>2123</v>
      </c>
      <c r="B38" s="426" t="s">
        <v>2124</v>
      </c>
      <c r="C38" s="10" t="s">
        <v>48</v>
      </c>
      <c r="D38" s="10" t="s">
        <v>48</v>
      </c>
      <c r="E38" s="10" t="s">
        <v>48</v>
      </c>
      <c r="F38" s="10" t="s">
        <v>48</v>
      </c>
      <c r="G38" s="10" t="s">
        <v>48</v>
      </c>
      <c r="H38" s="346">
        <v>32</v>
      </c>
      <c r="I38" s="423" t="s">
        <v>1800</v>
      </c>
      <c r="J38" s="554" t="s">
        <v>2055</v>
      </c>
      <c r="K38" s="1591"/>
      <c r="L38" s="1513"/>
    </row>
    <row r="39" spans="1:12" ht="72">
      <c r="A39" s="882" t="s">
        <v>2125</v>
      </c>
      <c r="B39" s="426" t="s">
        <v>2126</v>
      </c>
      <c r="C39" s="10" t="s">
        <v>48</v>
      </c>
      <c r="D39" s="10" t="s">
        <v>48</v>
      </c>
      <c r="E39" s="10" t="s">
        <v>48</v>
      </c>
      <c r="F39" s="10" t="s">
        <v>48</v>
      </c>
      <c r="G39" s="10" t="s">
        <v>48</v>
      </c>
      <c r="H39" s="10">
        <v>8</v>
      </c>
      <c r="I39" s="10" t="s">
        <v>839</v>
      </c>
      <c r="J39" s="554" t="s">
        <v>2055</v>
      </c>
      <c r="K39" s="1591"/>
      <c r="L39" s="1513"/>
    </row>
    <row r="40" spans="1:12" ht="28.8">
      <c r="A40" s="882" t="s">
        <v>2127</v>
      </c>
      <c r="B40" s="426" t="s">
        <v>2128</v>
      </c>
      <c r="C40" s="10" t="s">
        <v>1035</v>
      </c>
      <c r="D40" s="424">
        <v>0</v>
      </c>
      <c r="E40" s="10" t="s">
        <v>920</v>
      </c>
      <c r="F40" s="98" t="s">
        <v>1722</v>
      </c>
      <c r="G40" s="10" t="s">
        <v>920</v>
      </c>
      <c r="H40" s="346">
        <v>32</v>
      </c>
      <c r="I40" s="10" t="s">
        <v>922</v>
      </c>
      <c r="J40" s="554" t="s">
        <v>2055</v>
      </c>
      <c r="K40" s="1591"/>
      <c r="L40" s="1513"/>
    </row>
    <row r="41" spans="1:12" ht="72">
      <c r="A41" s="882" t="s">
        <v>2129</v>
      </c>
      <c r="B41" s="426" t="s">
        <v>2130</v>
      </c>
      <c r="C41" s="10" t="s">
        <v>48</v>
      </c>
      <c r="D41" s="10" t="s">
        <v>48</v>
      </c>
      <c r="E41" s="10" t="s">
        <v>48</v>
      </c>
      <c r="F41" s="10" t="s">
        <v>48</v>
      </c>
      <c r="G41" s="10" t="s">
        <v>48</v>
      </c>
      <c r="H41" s="10">
        <v>8</v>
      </c>
      <c r="I41" s="10" t="s">
        <v>839</v>
      </c>
      <c r="J41" s="554" t="s">
        <v>2055</v>
      </c>
      <c r="K41" s="1591"/>
      <c r="L41" s="1513"/>
    </row>
    <row r="42" spans="1:12" ht="43.2">
      <c r="A42" s="882" t="s">
        <v>2131</v>
      </c>
      <c r="B42" s="426" t="s">
        <v>2132</v>
      </c>
      <c r="C42" s="10" t="s">
        <v>48</v>
      </c>
      <c r="D42" s="10" t="s">
        <v>48</v>
      </c>
      <c r="E42" s="10" t="s">
        <v>48</v>
      </c>
      <c r="F42" s="10" t="s">
        <v>48</v>
      </c>
      <c r="G42" s="10" t="s">
        <v>48</v>
      </c>
      <c r="H42" s="346">
        <v>32</v>
      </c>
      <c r="I42" s="423" t="s">
        <v>1800</v>
      </c>
      <c r="J42" s="554" t="s">
        <v>2055</v>
      </c>
      <c r="K42" s="1591"/>
      <c r="L42" s="1513"/>
    </row>
    <row r="43" spans="1:12" ht="72">
      <c r="A43" s="882" t="s">
        <v>2133</v>
      </c>
      <c r="B43" s="426" t="s">
        <v>2134</v>
      </c>
      <c r="C43" s="10" t="s">
        <v>48</v>
      </c>
      <c r="D43" s="10" t="s">
        <v>48</v>
      </c>
      <c r="E43" s="10" t="s">
        <v>48</v>
      </c>
      <c r="F43" s="10" t="s">
        <v>48</v>
      </c>
      <c r="G43" s="10" t="s">
        <v>48</v>
      </c>
      <c r="H43" s="10">
        <v>8</v>
      </c>
      <c r="I43" s="10" t="s">
        <v>839</v>
      </c>
      <c r="J43" s="554" t="s">
        <v>2055</v>
      </c>
      <c r="K43" s="1591"/>
      <c r="L43" s="1513"/>
    </row>
    <row r="44" spans="1:12">
      <c r="A44" s="882" t="s">
        <v>2135</v>
      </c>
      <c r="B44" s="426" t="s">
        <v>2136</v>
      </c>
      <c r="C44" s="10" t="s">
        <v>48</v>
      </c>
      <c r="D44" s="10" t="s">
        <v>48</v>
      </c>
      <c r="E44" s="10" t="s">
        <v>48</v>
      </c>
      <c r="F44" s="10" t="s">
        <v>48</v>
      </c>
      <c r="G44" s="10" t="s">
        <v>48</v>
      </c>
      <c r="H44" s="10">
        <v>32</v>
      </c>
      <c r="I44" s="10" t="s">
        <v>2137</v>
      </c>
      <c r="J44" s="554" t="s">
        <v>2055</v>
      </c>
      <c r="K44" s="1591"/>
      <c r="L44" s="1513"/>
    </row>
    <row r="45" spans="1:12" ht="72">
      <c r="A45" s="882" t="s">
        <v>2138</v>
      </c>
      <c r="B45" s="426" t="s">
        <v>2139</v>
      </c>
      <c r="C45" s="10" t="s">
        <v>48</v>
      </c>
      <c r="D45" s="10" t="s">
        <v>48</v>
      </c>
      <c r="E45" s="10" t="s">
        <v>48</v>
      </c>
      <c r="F45" s="10" t="s">
        <v>48</v>
      </c>
      <c r="G45" s="10" t="s">
        <v>48</v>
      </c>
      <c r="H45" s="10">
        <v>8</v>
      </c>
      <c r="I45" s="10" t="s">
        <v>839</v>
      </c>
      <c r="J45" s="554" t="s">
        <v>2055</v>
      </c>
      <c r="K45" s="1591"/>
      <c r="L45" s="1513"/>
    </row>
    <row r="46" spans="1:12">
      <c r="A46" s="882" t="s">
        <v>2140</v>
      </c>
      <c r="B46" s="426" t="s">
        <v>2136</v>
      </c>
      <c r="C46" s="10" t="s">
        <v>48</v>
      </c>
      <c r="D46" s="10" t="s">
        <v>48</v>
      </c>
      <c r="E46" s="10" t="s">
        <v>48</v>
      </c>
      <c r="F46" s="10" t="s">
        <v>48</v>
      </c>
      <c r="G46" s="10" t="s">
        <v>48</v>
      </c>
      <c r="H46" s="10">
        <v>32</v>
      </c>
      <c r="I46" s="10" t="s">
        <v>2137</v>
      </c>
      <c r="J46" s="554" t="s">
        <v>2055</v>
      </c>
      <c r="K46" s="1591"/>
      <c r="L46" s="1513"/>
    </row>
    <row r="47" spans="1:12" ht="72">
      <c r="A47" s="882" t="s">
        <v>2141</v>
      </c>
      <c r="B47" s="426" t="s">
        <v>2142</v>
      </c>
      <c r="C47" s="10" t="s">
        <v>48</v>
      </c>
      <c r="D47" s="10" t="s">
        <v>48</v>
      </c>
      <c r="E47" s="10" t="s">
        <v>48</v>
      </c>
      <c r="F47" s="10" t="s">
        <v>48</v>
      </c>
      <c r="G47" s="10" t="s">
        <v>48</v>
      </c>
      <c r="H47" s="10">
        <v>8</v>
      </c>
      <c r="I47" s="10" t="s">
        <v>839</v>
      </c>
      <c r="J47" s="554" t="s">
        <v>2055</v>
      </c>
      <c r="K47" s="1591"/>
      <c r="L47" s="1513"/>
    </row>
    <row r="48" spans="1:12">
      <c r="A48" s="882" t="s">
        <v>2143</v>
      </c>
      <c r="B48" s="426" t="s">
        <v>2136</v>
      </c>
      <c r="C48" s="10" t="s">
        <v>48</v>
      </c>
      <c r="D48" s="10" t="s">
        <v>48</v>
      </c>
      <c r="E48" s="10" t="s">
        <v>48</v>
      </c>
      <c r="F48" s="10" t="s">
        <v>48</v>
      </c>
      <c r="G48" s="10" t="s">
        <v>48</v>
      </c>
      <c r="H48" s="10">
        <v>32</v>
      </c>
      <c r="I48" s="10" t="s">
        <v>2137</v>
      </c>
      <c r="J48" s="554" t="s">
        <v>2055</v>
      </c>
      <c r="K48" s="1591"/>
      <c r="L48" s="1513"/>
    </row>
    <row r="49" spans="1:12" ht="72">
      <c r="A49" s="882" t="s">
        <v>2144</v>
      </c>
      <c r="B49" s="426" t="s">
        <v>2145</v>
      </c>
      <c r="C49" s="10" t="s">
        <v>48</v>
      </c>
      <c r="D49" s="10" t="s">
        <v>48</v>
      </c>
      <c r="E49" s="10" t="s">
        <v>48</v>
      </c>
      <c r="F49" s="10" t="s">
        <v>48</v>
      </c>
      <c r="G49" s="10" t="s">
        <v>48</v>
      </c>
      <c r="H49" s="10">
        <v>8</v>
      </c>
      <c r="I49" s="10" t="s">
        <v>839</v>
      </c>
      <c r="J49" s="554" t="s">
        <v>2055</v>
      </c>
      <c r="K49" s="1591"/>
      <c r="L49" s="1513"/>
    </row>
    <row r="50" spans="1:12">
      <c r="A50" s="882" t="s">
        <v>2146</v>
      </c>
      <c r="B50" s="426" t="s">
        <v>2136</v>
      </c>
      <c r="C50" s="10" t="s">
        <v>48</v>
      </c>
      <c r="D50" s="10" t="s">
        <v>48</v>
      </c>
      <c r="E50" s="10" t="s">
        <v>48</v>
      </c>
      <c r="F50" s="10" t="s">
        <v>48</v>
      </c>
      <c r="G50" s="10" t="s">
        <v>48</v>
      </c>
      <c r="H50" s="10">
        <v>32</v>
      </c>
      <c r="I50" s="10" t="s">
        <v>2137</v>
      </c>
      <c r="J50" s="554" t="s">
        <v>2055</v>
      </c>
      <c r="K50" s="1591"/>
      <c r="L50" s="1513"/>
    </row>
    <row r="51" spans="1:12" ht="72">
      <c r="A51" s="882" t="s">
        <v>2147</v>
      </c>
      <c r="B51" s="426" t="s">
        <v>2148</v>
      </c>
      <c r="C51" s="10" t="s">
        <v>48</v>
      </c>
      <c r="D51" s="10" t="s">
        <v>48</v>
      </c>
      <c r="E51" s="10" t="s">
        <v>48</v>
      </c>
      <c r="F51" s="10" t="s">
        <v>48</v>
      </c>
      <c r="G51" s="10" t="s">
        <v>48</v>
      </c>
      <c r="H51" s="10">
        <v>8</v>
      </c>
      <c r="I51" s="10" t="s">
        <v>839</v>
      </c>
      <c r="J51" s="554" t="s">
        <v>2055</v>
      </c>
      <c r="K51" s="1591"/>
      <c r="L51" s="1513"/>
    </row>
    <row r="52" spans="1:12" ht="28.8">
      <c r="A52" s="882" t="s">
        <v>2149</v>
      </c>
      <c r="B52" s="426" t="s">
        <v>2150</v>
      </c>
      <c r="C52" s="10" t="s">
        <v>48</v>
      </c>
      <c r="D52" s="10" t="s">
        <v>48</v>
      </c>
      <c r="E52" s="10" t="s">
        <v>48</v>
      </c>
      <c r="F52" s="10" t="s">
        <v>48</v>
      </c>
      <c r="G52" s="10" t="s">
        <v>48</v>
      </c>
      <c r="H52" s="346">
        <v>32</v>
      </c>
      <c r="I52" s="423" t="s">
        <v>1800</v>
      </c>
      <c r="J52" s="554" t="s">
        <v>2055</v>
      </c>
      <c r="K52" s="1591"/>
      <c r="L52" s="1513"/>
    </row>
    <row r="53" spans="1:12" ht="72">
      <c r="A53" s="882" t="s">
        <v>2151</v>
      </c>
      <c r="B53" s="426" t="s">
        <v>2152</v>
      </c>
      <c r="C53" s="10" t="s">
        <v>48</v>
      </c>
      <c r="D53" s="10" t="s">
        <v>48</v>
      </c>
      <c r="E53" s="10" t="s">
        <v>48</v>
      </c>
      <c r="F53" s="10" t="s">
        <v>48</v>
      </c>
      <c r="G53" s="10" t="s">
        <v>48</v>
      </c>
      <c r="H53" s="10">
        <v>8</v>
      </c>
      <c r="I53" s="10" t="s">
        <v>839</v>
      </c>
      <c r="J53" s="554" t="s">
        <v>2055</v>
      </c>
      <c r="K53" s="1591"/>
      <c r="L53" s="1513"/>
    </row>
    <row r="54" spans="1:12" ht="28.8">
      <c r="A54" s="882" t="s">
        <v>2153</v>
      </c>
      <c r="B54" s="426" t="s">
        <v>2150</v>
      </c>
      <c r="C54" s="10" t="s">
        <v>48</v>
      </c>
      <c r="D54" s="10" t="s">
        <v>48</v>
      </c>
      <c r="E54" s="10" t="s">
        <v>48</v>
      </c>
      <c r="F54" s="10" t="s">
        <v>48</v>
      </c>
      <c r="G54" s="10" t="s">
        <v>48</v>
      </c>
      <c r="H54" s="346">
        <v>32</v>
      </c>
      <c r="I54" s="423" t="s">
        <v>1800</v>
      </c>
      <c r="J54" s="554" t="s">
        <v>2055</v>
      </c>
      <c r="K54" s="1591"/>
      <c r="L54" s="1513"/>
    </row>
    <row r="55" spans="1:12" ht="72">
      <c r="A55" s="882" t="s">
        <v>2154</v>
      </c>
      <c r="B55" s="426" t="s">
        <v>2155</v>
      </c>
      <c r="C55" s="10" t="s">
        <v>48</v>
      </c>
      <c r="D55" s="10" t="s">
        <v>48</v>
      </c>
      <c r="E55" s="10" t="s">
        <v>48</v>
      </c>
      <c r="F55" s="10" t="s">
        <v>48</v>
      </c>
      <c r="G55" s="10" t="s">
        <v>48</v>
      </c>
      <c r="H55" s="10">
        <v>8</v>
      </c>
      <c r="I55" s="10" t="s">
        <v>839</v>
      </c>
      <c r="J55" s="554" t="s">
        <v>2055</v>
      </c>
      <c r="K55" s="1591"/>
      <c r="L55" s="1513"/>
    </row>
    <row r="56" spans="1:12" ht="28.8">
      <c r="A56" s="882" t="s">
        <v>2156</v>
      </c>
      <c r="B56" s="426" t="s">
        <v>2150</v>
      </c>
      <c r="C56" s="10" t="s">
        <v>48</v>
      </c>
      <c r="D56" s="10" t="s">
        <v>48</v>
      </c>
      <c r="E56" s="10" t="s">
        <v>48</v>
      </c>
      <c r="F56" s="10" t="s">
        <v>48</v>
      </c>
      <c r="G56" s="10" t="s">
        <v>48</v>
      </c>
      <c r="H56" s="346">
        <v>32</v>
      </c>
      <c r="I56" s="423" t="s">
        <v>1800</v>
      </c>
      <c r="J56" s="554" t="s">
        <v>2055</v>
      </c>
      <c r="K56" s="1591"/>
      <c r="L56" s="1513"/>
    </row>
    <row r="57" spans="1:12" ht="72">
      <c r="A57" s="882" t="s">
        <v>2157</v>
      </c>
      <c r="B57" s="426" t="s">
        <v>2158</v>
      </c>
      <c r="C57" s="10" t="s">
        <v>48</v>
      </c>
      <c r="D57" s="10" t="s">
        <v>48</v>
      </c>
      <c r="E57" s="10" t="s">
        <v>48</v>
      </c>
      <c r="F57" s="10" t="s">
        <v>48</v>
      </c>
      <c r="G57" s="10" t="s">
        <v>48</v>
      </c>
      <c r="H57" s="10">
        <v>8</v>
      </c>
      <c r="I57" s="10" t="s">
        <v>839</v>
      </c>
      <c r="J57" s="554" t="s">
        <v>2055</v>
      </c>
      <c r="K57" s="1591"/>
      <c r="L57" s="1513"/>
    </row>
    <row r="58" spans="1:12" ht="28.8">
      <c r="A58" s="882" t="s">
        <v>2159</v>
      </c>
      <c r="B58" s="426" t="s">
        <v>2150</v>
      </c>
      <c r="C58" s="10" t="s">
        <v>48</v>
      </c>
      <c r="D58" s="10" t="s">
        <v>48</v>
      </c>
      <c r="E58" s="10" t="s">
        <v>48</v>
      </c>
      <c r="F58" s="10" t="s">
        <v>48</v>
      </c>
      <c r="G58" s="10" t="s">
        <v>48</v>
      </c>
      <c r="H58" s="346">
        <v>32</v>
      </c>
      <c r="I58" s="423" t="s">
        <v>1800</v>
      </c>
      <c r="J58" s="554" t="s">
        <v>2055</v>
      </c>
      <c r="K58" s="1591"/>
      <c r="L58" s="1513"/>
    </row>
    <row r="59" spans="1:12" ht="72">
      <c r="A59" s="882" t="s">
        <v>2160</v>
      </c>
      <c r="B59" s="426" t="s">
        <v>2161</v>
      </c>
      <c r="C59" s="10" t="s">
        <v>48</v>
      </c>
      <c r="D59" s="10" t="s">
        <v>48</v>
      </c>
      <c r="E59" s="10" t="s">
        <v>48</v>
      </c>
      <c r="F59" s="10" t="s">
        <v>48</v>
      </c>
      <c r="G59" s="10" t="s">
        <v>48</v>
      </c>
      <c r="H59" s="10">
        <v>8</v>
      </c>
      <c r="I59" s="10" t="s">
        <v>839</v>
      </c>
      <c r="J59" s="554" t="s">
        <v>2055</v>
      </c>
      <c r="K59" s="1591"/>
      <c r="L59" s="1513"/>
    </row>
    <row r="60" spans="1:12" ht="28.8">
      <c r="A60" s="882" t="s">
        <v>2162</v>
      </c>
      <c r="B60" s="426" t="s">
        <v>2150</v>
      </c>
      <c r="C60" s="10" t="s">
        <v>48</v>
      </c>
      <c r="D60" s="10" t="s">
        <v>48</v>
      </c>
      <c r="E60" s="10" t="s">
        <v>48</v>
      </c>
      <c r="F60" s="10" t="s">
        <v>48</v>
      </c>
      <c r="G60" s="10" t="s">
        <v>48</v>
      </c>
      <c r="H60" s="346">
        <v>32</v>
      </c>
      <c r="I60" s="423" t="s">
        <v>1800</v>
      </c>
      <c r="J60" s="554" t="s">
        <v>2055</v>
      </c>
      <c r="K60" s="1591"/>
      <c r="L60" s="1513"/>
    </row>
    <row r="61" spans="1:12" ht="72">
      <c r="A61" s="882" t="s">
        <v>2163</v>
      </c>
      <c r="B61" s="426" t="s">
        <v>2164</v>
      </c>
      <c r="C61" s="10" t="s">
        <v>48</v>
      </c>
      <c r="D61" s="10" t="s">
        <v>48</v>
      </c>
      <c r="E61" s="10" t="s">
        <v>48</v>
      </c>
      <c r="F61" s="10" t="s">
        <v>48</v>
      </c>
      <c r="G61" s="10" t="s">
        <v>48</v>
      </c>
      <c r="H61" s="10">
        <v>8</v>
      </c>
      <c r="I61" s="10" t="s">
        <v>839</v>
      </c>
      <c r="J61" s="554" t="s">
        <v>2055</v>
      </c>
      <c r="K61" s="1591"/>
      <c r="L61" s="1513"/>
    </row>
    <row r="62" spans="1:12" ht="28.8">
      <c r="A62" s="882" t="s">
        <v>2165</v>
      </c>
      <c r="B62" s="426" t="s">
        <v>2150</v>
      </c>
      <c r="C62" s="10" t="s">
        <v>48</v>
      </c>
      <c r="D62" s="10" t="s">
        <v>48</v>
      </c>
      <c r="E62" s="10" t="s">
        <v>48</v>
      </c>
      <c r="F62" s="10" t="s">
        <v>48</v>
      </c>
      <c r="G62" s="10" t="s">
        <v>48</v>
      </c>
      <c r="H62" s="346">
        <v>32</v>
      </c>
      <c r="I62" s="423" t="s">
        <v>1800</v>
      </c>
      <c r="J62" s="554" t="s">
        <v>2055</v>
      </c>
      <c r="K62" s="1591"/>
      <c r="L62" s="1513"/>
    </row>
    <row r="63" spans="1:12" ht="72">
      <c r="A63" s="882" t="s">
        <v>2166</v>
      </c>
      <c r="B63" s="426" t="s">
        <v>2167</v>
      </c>
      <c r="C63" s="10" t="s">
        <v>48</v>
      </c>
      <c r="D63" s="10" t="s">
        <v>48</v>
      </c>
      <c r="E63" s="10" t="s">
        <v>48</v>
      </c>
      <c r="F63" s="10" t="s">
        <v>48</v>
      </c>
      <c r="G63" s="10" t="s">
        <v>48</v>
      </c>
      <c r="H63" s="10">
        <v>8</v>
      </c>
      <c r="I63" s="10" t="s">
        <v>839</v>
      </c>
      <c r="J63" s="554" t="s">
        <v>2055</v>
      </c>
      <c r="K63" s="1591"/>
      <c r="L63" s="1513"/>
    </row>
    <row r="64" spans="1:12" ht="28.8">
      <c r="A64" s="882" t="s">
        <v>2168</v>
      </c>
      <c r="B64" s="426" t="s">
        <v>2150</v>
      </c>
      <c r="C64" s="10" t="s">
        <v>48</v>
      </c>
      <c r="D64" s="10" t="s">
        <v>48</v>
      </c>
      <c r="E64" s="10" t="s">
        <v>48</v>
      </c>
      <c r="F64" s="10" t="s">
        <v>48</v>
      </c>
      <c r="G64" s="10" t="s">
        <v>48</v>
      </c>
      <c r="H64" s="346">
        <v>32</v>
      </c>
      <c r="I64" s="423" t="s">
        <v>1800</v>
      </c>
      <c r="J64" s="554" t="s">
        <v>2055</v>
      </c>
      <c r="K64" s="1591"/>
      <c r="L64" s="1513"/>
    </row>
    <row r="65" spans="1:12" ht="72">
      <c r="A65" s="882" t="s">
        <v>2169</v>
      </c>
      <c r="B65" s="426" t="s">
        <v>2170</v>
      </c>
      <c r="C65" s="10" t="s">
        <v>48</v>
      </c>
      <c r="D65" s="10" t="s">
        <v>48</v>
      </c>
      <c r="E65" s="10" t="s">
        <v>48</v>
      </c>
      <c r="F65" s="10" t="s">
        <v>48</v>
      </c>
      <c r="G65" s="10" t="s">
        <v>48</v>
      </c>
      <c r="H65" s="10">
        <v>8</v>
      </c>
      <c r="I65" s="10" t="s">
        <v>839</v>
      </c>
      <c r="J65" s="554" t="s">
        <v>2055</v>
      </c>
      <c r="K65" s="1591"/>
      <c r="L65" s="1513"/>
    </row>
    <row r="66" spans="1:12" ht="28.8">
      <c r="A66" s="882" t="s">
        <v>2171</v>
      </c>
      <c r="B66" s="426" t="s">
        <v>2150</v>
      </c>
      <c r="C66" s="10" t="s">
        <v>48</v>
      </c>
      <c r="D66" s="10" t="s">
        <v>48</v>
      </c>
      <c r="E66" s="10" t="s">
        <v>48</v>
      </c>
      <c r="F66" s="10" t="s">
        <v>48</v>
      </c>
      <c r="G66" s="10" t="s">
        <v>48</v>
      </c>
      <c r="H66" s="346">
        <v>32</v>
      </c>
      <c r="I66" s="423" t="s">
        <v>1800</v>
      </c>
      <c r="J66" s="554" t="s">
        <v>2055</v>
      </c>
      <c r="K66" s="1591"/>
      <c r="L66" s="1513"/>
    </row>
    <row r="67" spans="1:12" ht="72">
      <c r="A67" s="883" t="s">
        <v>2172</v>
      </c>
      <c r="B67" s="426" t="s">
        <v>2173</v>
      </c>
      <c r="C67" s="10" t="s">
        <v>48</v>
      </c>
      <c r="D67" s="10" t="s">
        <v>48</v>
      </c>
      <c r="E67" s="10" t="s">
        <v>48</v>
      </c>
      <c r="F67" s="10" t="s">
        <v>48</v>
      </c>
      <c r="G67" s="10" t="s">
        <v>48</v>
      </c>
      <c r="H67" s="10">
        <v>8</v>
      </c>
      <c r="I67" s="10" t="s">
        <v>839</v>
      </c>
      <c r="J67" s="554" t="s">
        <v>2055</v>
      </c>
      <c r="K67" s="1591"/>
      <c r="L67" s="1513"/>
    </row>
    <row r="68" spans="1:12">
      <c r="A68" s="883" t="s">
        <v>2174</v>
      </c>
      <c r="B68" s="426" t="s">
        <v>2175</v>
      </c>
      <c r="C68" s="10" t="s">
        <v>48</v>
      </c>
      <c r="D68" s="10" t="s">
        <v>48</v>
      </c>
      <c r="E68" s="10" t="s">
        <v>48</v>
      </c>
      <c r="F68" s="10" t="s">
        <v>48</v>
      </c>
      <c r="G68" s="10" t="s">
        <v>48</v>
      </c>
      <c r="H68" s="10">
        <v>32</v>
      </c>
      <c r="I68" s="10" t="s">
        <v>2176</v>
      </c>
      <c r="J68" s="554" t="s">
        <v>2055</v>
      </c>
      <c r="K68" s="1591"/>
      <c r="L68" s="1513"/>
    </row>
    <row r="69" spans="1:12" ht="72">
      <c r="A69" s="883" t="s">
        <v>2177</v>
      </c>
      <c r="B69" s="426" t="s">
        <v>2178</v>
      </c>
      <c r="C69" s="10" t="s">
        <v>48</v>
      </c>
      <c r="D69" s="10" t="s">
        <v>48</v>
      </c>
      <c r="E69" s="10" t="s">
        <v>48</v>
      </c>
      <c r="F69" s="10" t="s">
        <v>48</v>
      </c>
      <c r="G69" s="10" t="s">
        <v>48</v>
      </c>
      <c r="H69" s="10">
        <v>8</v>
      </c>
      <c r="I69" s="10" t="s">
        <v>839</v>
      </c>
      <c r="J69" s="554" t="s">
        <v>2055</v>
      </c>
      <c r="K69" s="1591"/>
      <c r="L69" s="1513"/>
    </row>
    <row r="70" spans="1:12">
      <c r="A70" s="883" t="s">
        <v>2179</v>
      </c>
      <c r="B70" s="426" t="s">
        <v>2175</v>
      </c>
      <c r="C70" s="10" t="s">
        <v>48</v>
      </c>
      <c r="D70" s="10" t="s">
        <v>48</v>
      </c>
      <c r="E70" s="10" t="s">
        <v>48</v>
      </c>
      <c r="F70" s="10" t="s">
        <v>48</v>
      </c>
      <c r="G70" s="10" t="s">
        <v>48</v>
      </c>
      <c r="H70" s="10">
        <v>32</v>
      </c>
      <c r="I70" s="10" t="s">
        <v>2176</v>
      </c>
      <c r="J70" s="554" t="s">
        <v>2055</v>
      </c>
      <c r="K70" s="1591"/>
      <c r="L70" s="1513"/>
    </row>
    <row r="71" spans="1:12" ht="72">
      <c r="A71" s="883" t="s">
        <v>2180</v>
      </c>
      <c r="B71" s="426" t="s">
        <v>2181</v>
      </c>
      <c r="C71" s="10" t="s">
        <v>48</v>
      </c>
      <c r="D71" s="10" t="s">
        <v>48</v>
      </c>
      <c r="E71" s="10" t="s">
        <v>48</v>
      </c>
      <c r="F71" s="10" t="s">
        <v>48</v>
      </c>
      <c r="G71" s="10" t="s">
        <v>48</v>
      </c>
      <c r="H71" s="10">
        <v>8</v>
      </c>
      <c r="I71" s="10" t="s">
        <v>839</v>
      </c>
      <c r="J71" s="554" t="s">
        <v>2055</v>
      </c>
      <c r="K71" s="1591"/>
      <c r="L71" s="1513"/>
    </row>
    <row r="72" spans="1:12">
      <c r="A72" s="883" t="s">
        <v>2182</v>
      </c>
      <c r="B72" s="426" t="s">
        <v>2175</v>
      </c>
      <c r="C72" s="10" t="s">
        <v>48</v>
      </c>
      <c r="D72" s="10" t="s">
        <v>48</v>
      </c>
      <c r="E72" s="10" t="s">
        <v>48</v>
      </c>
      <c r="F72" s="10" t="s">
        <v>48</v>
      </c>
      <c r="G72" s="10" t="s">
        <v>48</v>
      </c>
      <c r="H72" s="10">
        <v>32</v>
      </c>
      <c r="I72" s="10" t="s">
        <v>2176</v>
      </c>
      <c r="J72" s="554" t="s">
        <v>2055</v>
      </c>
      <c r="K72" s="1591"/>
      <c r="L72" s="1513"/>
    </row>
    <row r="73" spans="1:12" ht="72">
      <c r="A73" s="883" t="s">
        <v>2183</v>
      </c>
      <c r="B73" s="426" t="s">
        <v>2184</v>
      </c>
      <c r="C73" s="10" t="s">
        <v>48</v>
      </c>
      <c r="D73" s="10" t="s">
        <v>48</v>
      </c>
      <c r="E73" s="10" t="s">
        <v>48</v>
      </c>
      <c r="F73" s="10" t="s">
        <v>48</v>
      </c>
      <c r="G73" s="10" t="s">
        <v>48</v>
      </c>
      <c r="H73" s="10">
        <v>8</v>
      </c>
      <c r="I73" s="10" t="s">
        <v>839</v>
      </c>
      <c r="J73" s="554" t="s">
        <v>2055</v>
      </c>
      <c r="K73" s="1591"/>
      <c r="L73" s="1513"/>
    </row>
    <row r="74" spans="1:12">
      <c r="A74" s="883" t="s">
        <v>2185</v>
      </c>
      <c r="B74" s="426" t="s">
        <v>2175</v>
      </c>
      <c r="C74" s="10" t="s">
        <v>48</v>
      </c>
      <c r="D74" s="10" t="s">
        <v>48</v>
      </c>
      <c r="E74" s="10" t="s">
        <v>48</v>
      </c>
      <c r="F74" s="10" t="s">
        <v>48</v>
      </c>
      <c r="G74" s="10" t="s">
        <v>48</v>
      </c>
      <c r="H74" s="10">
        <v>32</v>
      </c>
      <c r="I74" s="10" t="s">
        <v>2176</v>
      </c>
      <c r="J74" s="554" t="s">
        <v>2055</v>
      </c>
      <c r="K74" s="1591"/>
      <c r="L74" s="1513"/>
    </row>
    <row r="75" spans="1:12" ht="72">
      <c r="A75" s="883" t="s">
        <v>2186</v>
      </c>
      <c r="B75" s="426" t="s">
        <v>2187</v>
      </c>
      <c r="C75" s="10" t="s">
        <v>48</v>
      </c>
      <c r="D75" s="10" t="s">
        <v>48</v>
      </c>
      <c r="E75" s="10" t="s">
        <v>48</v>
      </c>
      <c r="F75" s="10" t="s">
        <v>48</v>
      </c>
      <c r="G75" s="10" t="s">
        <v>48</v>
      </c>
      <c r="H75" s="10">
        <v>8</v>
      </c>
      <c r="I75" s="10" t="s">
        <v>839</v>
      </c>
      <c r="J75" s="554" t="s">
        <v>2055</v>
      </c>
      <c r="K75" s="1591"/>
      <c r="L75" s="1513"/>
    </row>
    <row r="76" spans="1:12" ht="28.8">
      <c r="A76" s="883" t="s">
        <v>2188</v>
      </c>
      <c r="B76" s="426" t="s">
        <v>2189</v>
      </c>
      <c r="C76" s="10" t="s">
        <v>48</v>
      </c>
      <c r="D76" s="10" t="s">
        <v>48</v>
      </c>
      <c r="E76" s="10" t="s">
        <v>48</v>
      </c>
      <c r="F76" s="10" t="s">
        <v>48</v>
      </c>
      <c r="G76" s="10" t="s">
        <v>48</v>
      </c>
      <c r="H76" s="10">
        <v>32</v>
      </c>
      <c r="I76" s="10" t="s">
        <v>2137</v>
      </c>
      <c r="J76" s="554" t="s">
        <v>2055</v>
      </c>
      <c r="K76" s="1591"/>
      <c r="L76" s="1513"/>
    </row>
    <row r="77" spans="1:12" ht="72">
      <c r="A77" s="883" t="s">
        <v>2190</v>
      </c>
      <c r="B77" s="426" t="s">
        <v>2191</v>
      </c>
      <c r="C77" s="10" t="s">
        <v>48</v>
      </c>
      <c r="D77" s="10" t="s">
        <v>48</v>
      </c>
      <c r="E77" s="10" t="s">
        <v>48</v>
      </c>
      <c r="F77" s="10" t="s">
        <v>48</v>
      </c>
      <c r="G77" s="10" t="s">
        <v>48</v>
      </c>
      <c r="H77" s="10">
        <v>8</v>
      </c>
      <c r="I77" s="10" t="s">
        <v>839</v>
      </c>
      <c r="J77" s="554" t="s">
        <v>2055</v>
      </c>
      <c r="K77" s="1591"/>
      <c r="L77" s="1513"/>
    </row>
    <row r="78" spans="1:12" ht="91.5" customHeight="1">
      <c r="A78" s="883" t="s">
        <v>2192</v>
      </c>
      <c r="B78" s="426" t="s">
        <v>2193</v>
      </c>
      <c r="C78" s="10" t="s">
        <v>48</v>
      </c>
      <c r="D78" s="10" t="s">
        <v>48</v>
      </c>
      <c r="E78" s="10" t="s">
        <v>48</v>
      </c>
      <c r="F78" s="10" t="s">
        <v>48</v>
      </c>
      <c r="G78" s="10" t="s">
        <v>48</v>
      </c>
      <c r="H78" s="10">
        <v>8</v>
      </c>
      <c r="I78" s="10" t="s">
        <v>1157</v>
      </c>
      <c r="J78" s="554" t="s">
        <v>2055</v>
      </c>
      <c r="K78" s="1591"/>
      <c r="L78" s="1513"/>
    </row>
    <row r="79" spans="1:12" ht="72">
      <c r="A79" s="883" t="s">
        <v>2194</v>
      </c>
      <c r="B79" s="426" t="s">
        <v>2195</v>
      </c>
      <c r="C79" s="10" t="s">
        <v>48</v>
      </c>
      <c r="D79" s="10" t="s">
        <v>48</v>
      </c>
      <c r="E79" s="10" t="s">
        <v>48</v>
      </c>
      <c r="F79" s="10" t="s">
        <v>48</v>
      </c>
      <c r="G79" s="10" t="s">
        <v>48</v>
      </c>
      <c r="H79" s="10">
        <v>8</v>
      </c>
      <c r="I79" s="10" t="s">
        <v>839</v>
      </c>
      <c r="J79" s="554" t="s">
        <v>2055</v>
      </c>
      <c r="K79" s="1591"/>
      <c r="L79" s="1513"/>
    </row>
    <row r="80" spans="1:12" ht="28.8">
      <c r="A80" s="883" t="s">
        <v>2196</v>
      </c>
      <c r="B80" s="426" t="s">
        <v>2197</v>
      </c>
      <c r="C80" s="10" t="s">
        <v>48</v>
      </c>
      <c r="D80" s="10" t="s">
        <v>48</v>
      </c>
      <c r="E80" s="10" t="s">
        <v>48</v>
      </c>
      <c r="F80" s="10" t="s">
        <v>48</v>
      </c>
      <c r="G80" s="10" t="s">
        <v>48</v>
      </c>
      <c r="H80" s="10">
        <v>32</v>
      </c>
      <c r="I80" s="423" t="s">
        <v>2198</v>
      </c>
      <c r="J80" s="554" t="s">
        <v>2055</v>
      </c>
      <c r="K80" s="1591"/>
      <c r="L80" s="1513"/>
    </row>
    <row r="81" spans="1:12" ht="72">
      <c r="A81" s="883" t="s">
        <v>2199</v>
      </c>
      <c r="B81" s="426" t="s">
        <v>2200</v>
      </c>
      <c r="C81" s="10" t="s">
        <v>48</v>
      </c>
      <c r="D81" s="10" t="s">
        <v>48</v>
      </c>
      <c r="E81" s="10" t="s">
        <v>48</v>
      </c>
      <c r="F81" s="10" t="s">
        <v>48</v>
      </c>
      <c r="G81" s="10" t="s">
        <v>48</v>
      </c>
      <c r="H81" s="10">
        <v>8</v>
      </c>
      <c r="I81" s="10" t="s">
        <v>839</v>
      </c>
      <c r="J81" s="554" t="s">
        <v>2055</v>
      </c>
      <c r="K81" s="1591"/>
      <c r="L81" s="1513"/>
    </row>
    <row r="82" spans="1:12" ht="28.8">
      <c r="A82" s="883" t="s">
        <v>2201</v>
      </c>
      <c r="B82" s="426" t="s">
        <v>2197</v>
      </c>
      <c r="C82" s="10" t="s">
        <v>48</v>
      </c>
      <c r="D82" s="10" t="s">
        <v>48</v>
      </c>
      <c r="E82" s="10" t="s">
        <v>48</v>
      </c>
      <c r="F82" s="10" t="s">
        <v>48</v>
      </c>
      <c r="G82" s="10" t="s">
        <v>48</v>
      </c>
      <c r="H82" s="10">
        <v>32</v>
      </c>
      <c r="I82" s="423" t="s">
        <v>2198</v>
      </c>
      <c r="J82" s="554" t="s">
        <v>2055</v>
      </c>
      <c r="K82" s="1591"/>
      <c r="L82" s="1513"/>
    </row>
    <row r="83" spans="1:12" ht="72">
      <c r="A83" s="883" t="s">
        <v>2202</v>
      </c>
      <c r="B83" s="426" t="s">
        <v>2203</v>
      </c>
      <c r="C83" s="10" t="s">
        <v>48</v>
      </c>
      <c r="D83" s="10" t="s">
        <v>48</v>
      </c>
      <c r="E83" s="10" t="s">
        <v>48</v>
      </c>
      <c r="F83" s="10" t="s">
        <v>48</v>
      </c>
      <c r="G83" s="10" t="s">
        <v>48</v>
      </c>
      <c r="H83" s="10">
        <v>8</v>
      </c>
      <c r="I83" s="10" t="s">
        <v>839</v>
      </c>
      <c r="J83" s="554" t="s">
        <v>2055</v>
      </c>
      <c r="K83" s="1591"/>
      <c r="L83" s="1513"/>
    </row>
    <row r="84" spans="1:12" ht="28.8">
      <c r="A84" s="883" t="s">
        <v>2204</v>
      </c>
      <c r="B84" s="426" t="s">
        <v>2197</v>
      </c>
      <c r="C84" s="10" t="s">
        <v>48</v>
      </c>
      <c r="D84" s="10" t="s">
        <v>48</v>
      </c>
      <c r="E84" s="10" t="s">
        <v>48</v>
      </c>
      <c r="F84" s="10" t="s">
        <v>48</v>
      </c>
      <c r="G84" s="10" t="s">
        <v>48</v>
      </c>
      <c r="H84" s="10">
        <v>32</v>
      </c>
      <c r="I84" s="423" t="s">
        <v>2198</v>
      </c>
      <c r="J84" s="554" t="s">
        <v>2055</v>
      </c>
      <c r="K84" s="1591"/>
      <c r="L84" s="1513"/>
    </row>
    <row r="85" spans="1:12" ht="72">
      <c r="A85" s="883" t="s">
        <v>2205</v>
      </c>
      <c r="B85" s="426" t="s">
        <v>2206</v>
      </c>
      <c r="C85" s="10" t="s">
        <v>48</v>
      </c>
      <c r="D85" s="10" t="s">
        <v>48</v>
      </c>
      <c r="E85" s="10" t="s">
        <v>48</v>
      </c>
      <c r="F85" s="10" t="s">
        <v>48</v>
      </c>
      <c r="G85" s="10" t="s">
        <v>48</v>
      </c>
      <c r="H85" s="10">
        <v>8</v>
      </c>
      <c r="I85" s="10" t="s">
        <v>839</v>
      </c>
      <c r="J85" s="554" t="s">
        <v>2055</v>
      </c>
      <c r="K85" s="1591"/>
      <c r="L85" s="1513"/>
    </row>
    <row r="86" spans="1:12" ht="28.8">
      <c r="A86" s="883" t="s">
        <v>2207</v>
      </c>
      <c r="B86" s="426" t="s">
        <v>2197</v>
      </c>
      <c r="C86" s="10" t="s">
        <v>48</v>
      </c>
      <c r="D86" s="10" t="s">
        <v>48</v>
      </c>
      <c r="E86" s="10" t="s">
        <v>48</v>
      </c>
      <c r="F86" s="10" t="s">
        <v>48</v>
      </c>
      <c r="G86" s="10" t="s">
        <v>48</v>
      </c>
      <c r="H86" s="10">
        <v>32</v>
      </c>
      <c r="I86" s="423" t="s">
        <v>2198</v>
      </c>
      <c r="J86" s="554" t="s">
        <v>2055</v>
      </c>
      <c r="K86" s="1591"/>
      <c r="L86" s="1513"/>
    </row>
    <row r="87" spans="1:12" ht="72">
      <c r="A87" s="883" t="s">
        <v>2208</v>
      </c>
      <c r="B87" s="426" t="s">
        <v>2209</v>
      </c>
      <c r="C87" s="10" t="s">
        <v>48</v>
      </c>
      <c r="D87" s="10" t="s">
        <v>48</v>
      </c>
      <c r="E87" s="10" t="s">
        <v>48</v>
      </c>
      <c r="F87" s="10" t="s">
        <v>48</v>
      </c>
      <c r="G87" s="10" t="s">
        <v>48</v>
      </c>
      <c r="H87" s="10">
        <v>8</v>
      </c>
      <c r="I87" s="10" t="s">
        <v>839</v>
      </c>
      <c r="J87" s="554" t="s">
        <v>2055</v>
      </c>
      <c r="K87" s="1591"/>
      <c r="L87" s="1513"/>
    </row>
    <row r="88" spans="1:12" ht="28.8">
      <c r="A88" s="883" t="s">
        <v>2210</v>
      </c>
      <c r="B88" s="426" t="s">
        <v>2197</v>
      </c>
      <c r="C88" s="10" t="s">
        <v>48</v>
      </c>
      <c r="D88" s="10" t="s">
        <v>48</v>
      </c>
      <c r="E88" s="10" t="s">
        <v>48</v>
      </c>
      <c r="F88" s="10" t="s">
        <v>48</v>
      </c>
      <c r="G88" s="10" t="s">
        <v>48</v>
      </c>
      <c r="H88" s="10">
        <v>32</v>
      </c>
      <c r="I88" s="423" t="s">
        <v>2198</v>
      </c>
      <c r="J88" s="554" t="s">
        <v>2055</v>
      </c>
      <c r="K88" s="1591"/>
      <c r="L88" s="1513"/>
    </row>
    <row r="89" spans="1:12" ht="72">
      <c r="A89" s="883" t="s">
        <v>2211</v>
      </c>
      <c r="B89" s="426" t="s">
        <v>2212</v>
      </c>
      <c r="C89" s="10" t="s">
        <v>48</v>
      </c>
      <c r="D89" s="10" t="s">
        <v>48</v>
      </c>
      <c r="E89" s="10" t="s">
        <v>48</v>
      </c>
      <c r="F89" s="10" t="s">
        <v>48</v>
      </c>
      <c r="G89" s="10" t="s">
        <v>48</v>
      </c>
      <c r="H89" s="10">
        <v>8</v>
      </c>
      <c r="I89" s="10" t="s">
        <v>839</v>
      </c>
      <c r="J89" s="554" t="s">
        <v>2055</v>
      </c>
      <c r="K89" s="1591"/>
      <c r="L89" s="1513"/>
    </row>
    <row r="90" spans="1:12" ht="28.8">
      <c r="A90" s="883" t="s">
        <v>2213</v>
      </c>
      <c r="B90" s="426" t="s">
        <v>2197</v>
      </c>
      <c r="C90" s="10" t="s">
        <v>48</v>
      </c>
      <c r="D90" s="10" t="s">
        <v>48</v>
      </c>
      <c r="E90" s="10" t="s">
        <v>48</v>
      </c>
      <c r="F90" s="10" t="s">
        <v>48</v>
      </c>
      <c r="G90" s="10" t="s">
        <v>48</v>
      </c>
      <c r="H90" s="10">
        <v>32</v>
      </c>
      <c r="I90" s="423" t="s">
        <v>2198</v>
      </c>
      <c r="J90" s="554" t="s">
        <v>2055</v>
      </c>
      <c r="K90" s="1591"/>
      <c r="L90" s="1513"/>
    </row>
    <row r="91" spans="1:12" ht="72">
      <c r="A91" s="883" t="s">
        <v>2214</v>
      </c>
      <c r="B91" s="426" t="s">
        <v>2215</v>
      </c>
      <c r="C91" s="10" t="s">
        <v>48</v>
      </c>
      <c r="D91" s="10" t="s">
        <v>48</v>
      </c>
      <c r="E91" s="10" t="s">
        <v>48</v>
      </c>
      <c r="F91" s="10" t="s">
        <v>48</v>
      </c>
      <c r="G91" s="10" t="s">
        <v>48</v>
      </c>
      <c r="H91" s="10">
        <v>8</v>
      </c>
      <c r="I91" s="10" t="s">
        <v>839</v>
      </c>
      <c r="J91" s="554" t="s">
        <v>2055</v>
      </c>
      <c r="K91" s="1591"/>
      <c r="L91" s="1513"/>
    </row>
    <row r="92" spans="1:12" ht="28.8">
      <c r="A92" s="883" t="s">
        <v>2216</v>
      </c>
      <c r="B92" s="426" t="s">
        <v>2197</v>
      </c>
      <c r="C92" s="10" t="s">
        <v>48</v>
      </c>
      <c r="D92" s="10" t="s">
        <v>48</v>
      </c>
      <c r="E92" s="10" t="s">
        <v>48</v>
      </c>
      <c r="F92" s="10" t="s">
        <v>48</v>
      </c>
      <c r="G92" s="10" t="s">
        <v>48</v>
      </c>
      <c r="H92" s="10">
        <v>32</v>
      </c>
      <c r="I92" s="423" t="s">
        <v>2198</v>
      </c>
      <c r="J92" s="554" t="s">
        <v>2055</v>
      </c>
      <c r="K92" s="1591"/>
      <c r="L92" s="1513"/>
    </row>
    <row r="93" spans="1:12" ht="72">
      <c r="A93" s="883" t="s">
        <v>2217</v>
      </c>
      <c r="B93" s="426" t="s">
        <v>2218</v>
      </c>
      <c r="C93" s="10" t="s">
        <v>48</v>
      </c>
      <c r="D93" s="10" t="s">
        <v>48</v>
      </c>
      <c r="E93" s="10" t="s">
        <v>48</v>
      </c>
      <c r="F93" s="10" t="s">
        <v>48</v>
      </c>
      <c r="G93" s="10" t="s">
        <v>48</v>
      </c>
      <c r="H93" s="10">
        <v>8</v>
      </c>
      <c r="I93" s="10" t="s">
        <v>839</v>
      </c>
      <c r="J93" s="554" t="s">
        <v>2055</v>
      </c>
      <c r="K93" s="1591"/>
      <c r="L93" s="1513"/>
    </row>
    <row r="94" spans="1:12" ht="28.8">
      <c r="A94" s="883" t="s">
        <v>2219</v>
      </c>
      <c r="B94" s="426" t="s">
        <v>2197</v>
      </c>
      <c r="C94" s="10" t="s">
        <v>48</v>
      </c>
      <c r="D94" s="10" t="s">
        <v>48</v>
      </c>
      <c r="E94" s="10" t="s">
        <v>48</v>
      </c>
      <c r="F94" s="10" t="s">
        <v>48</v>
      </c>
      <c r="G94" s="10" t="s">
        <v>48</v>
      </c>
      <c r="H94" s="10">
        <v>32</v>
      </c>
      <c r="I94" s="423" t="s">
        <v>2198</v>
      </c>
      <c r="J94" s="554" t="s">
        <v>2055</v>
      </c>
      <c r="K94" s="1591"/>
      <c r="L94" s="1513"/>
    </row>
    <row r="95" spans="1:12" ht="72">
      <c r="A95" s="883" t="s">
        <v>2220</v>
      </c>
      <c r="B95" s="426" t="s">
        <v>2221</v>
      </c>
      <c r="C95" s="10" t="s">
        <v>48</v>
      </c>
      <c r="D95" s="10" t="s">
        <v>48</v>
      </c>
      <c r="E95" s="10" t="s">
        <v>48</v>
      </c>
      <c r="F95" s="10" t="s">
        <v>48</v>
      </c>
      <c r="G95" s="10" t="s">
        <v>48</v>
      </c>
      <c r="H95" s="10">
        <v>8</v>
      </c>
      <c r="I95" s="10" t="s">
        <v>839</v>
      </c>
      <c r="J95" s="554" t="s">
        <v>2055</v>
      </c>
      <c r="K95" s="1591"/>
      <c r="L95" s="1513"/>
    </row>
    <row r="96" spans="1:12" ht="43.2">
      <c r="A96" s="883" t="s">
        <v>2222</v>
      </c>
      <c r="B96" s="426" t="s">
        <v>2223</v>
      </c>
      <c r="C96" s="420" t="s">
        <v>1035</v>
      </c>
      <c r="D96" s="424">
        <v>-10</v>
      </c>
      <c r="E96" s="420" t="s">
        <v>920</v>
      </c>
      <c r="F96" s="9" t="s">
        <v>2071</v>
      </c>
      <c r="G96" s="10" t="s">
        <v>920</v>
      </c>
      <c r="H96" s="425">
        <v>32</v>
      </c>
      <c r="I96" s="10" t="s">
        <v>922</v>
      </c>
      <c r="J96" s="554" t="s">
        <v>2055</v>
      </c>
      <c r="K96" s="1591"/>
      <c r="L96" s="1513"/>
    </row>
    <row r="97" spans="1:12" ht="72">
      <c r="A97" s="883" t="s">
        <v>2224</v>
      </c>
      <c r="B97" s="426" t="s">
        <v>2225</v>
      </c>
      <c r="C97" s="10" t="s">
        <v>48</v>
      </c>
      <c r="D97" s="10" t="s">
        <v>48</v>
      </c>
      <c r="E97" s="10" t="s">
        <v>48</v>
      </c>
      <c r="F97" s="10" t="s">
        <v>48</v>
      </c>
      <c r="G97" s="10" t="s">
        <v>48</v>
      </c>
      <c r="H97" s="10">
        <v>8</v>
      </c>
      <c r="I97" s="10" t="s">
        <v>839</v>
      </c>
      <c r="J97" s="554" t="s">
        <v>2055</v>
      </c>
      <c r="K97" s="1591"/>
      <c r="L97" s="1513"/>
    </row>
    <row r="98" spans="1:12" ht="43.2">
      <c r="A98" s="883" t="s">
        <v>2226</v>
      </c>
      <c r="B98" s="426" t="s">
        <v>2223</v>
      </c>
      <c r="C98" s="420" t="s">
        <v>1035</v>
      </c>
      <c r="D98" s="424">
        <v>-10</v>
      </c>
      <c r="E98" s="420" t="s">
        <v>920</v>
      </c>
      <c r="F98" s="9" t="s">
        <v>2071</v>
      </c>
      <c r="G98" s="10" t="s">
        <v>920</v>
      </c>
      <c r="H98" s="425">
        <v>32</v>
      </c>
      <c r="I98" s="10" t="s">
        <v>922</v>
      </c>
      <c r="J98" s="554" t="s">
        <v>2055</v>
      </c>
      <c r="K98" s="1591"/>
      <c r="L98" s="1513"/>
    </row>
    <row r="99" spans="1:12" ht="72">
      <c r="A99" s="883" t="s">
        <v>2227</v>
      </c>
      <c r="B99" s="426" t="s">
        <v>2228</v>
      </c>
      <c r="C99" s="10" t="s">
        <v>48</v>
      </c>
      <c r="D99" s="10" t="s">
        <v>48</v>
      </c>
      <c r="E99" s="10" t="s">
        <v>48</v>
      </c>
      <c r="F99" s="10" t="s">
        <v>48</v>
      </c>
      <c r="G99" s="10" t="s">
        <v>48</v>
      </c>
      <c r="H99" s="10">
        <v>8</v>
      </c>
      <c r="I99" s="10" t="s">
        <v>839</v>
      </c>
      <c r="J99" s="554" t="s">
        <v>2055</v>
      </c>
      <c r="K99" s="1591"/>
      <c r="L99" s="1513"/>
    </row>
    <row r="100" spans="1:12" ht="43.2">
      <c r="A100" s="883" t="s">
        <v>2229</v>
      </c>
      <c r="B100" s="426" t="s">
        <v>2223</v>
      </c>
      <c r="C100" s="420" t="s">
        <v>1035</v>
      </c>
      <c r="D100" s="424">
        <v>-10</v>
      </c>
      <c r="E100" s="420" t="s">
        <v>920</v>
      </c>
      <c r="F100" s="9" t="s">
        <v>2071</v>
      </c>
      <c r="G100" s="10" t="s">
        <v>920</v>
      </c>
      <c r="H100" s="425">
        <v>32</v>
      </c>
      <c r="I100" s="10" t="s">
        <v>922</v>
      </c>
      <c r="J100" s="554" t="s">
        <v>2055</v>
      </c>
      <c r="K100" s="1591"/>
      <c r="L100" s="1513"/>
    </row>
    <row r="101" spans="1:12" ht="72">
      <c r="A101" s="883" t="s">
        <v>2230</v>
      </c>
      <c r="B101" s="426" t="s">
        <v>2231</v>
      </c>
      <c r="C101" s="10" t="s">
        <v>48</v>
      </c>
      <c r="D101" s="10" t="s">
        <v>48</v>
      </c>
      <c r="E101" s="10" t="s">
        <v>48</v>
      </c>
      <c r="F101" s="10" t="s">
        <v>48</v>
      </c>
      <c r="G101" s="10" t="s">
        <v>48</v>
      </c>
      <c r="H101" s="10">
        <v>8</v>
      </c>
      <c r="I101" s="10" t="s">
        <v>839</v>
      </c>
      <c r="J101" s="554" t="s">
        <v>2055</v>
      </c>
      <c r="K101" s="1591"/>
      <c r="L101" s="1513"/>
    </row>
    <row r="102" spans="1:12" ht="28.8">
      <c r="A102" s="883" t="s">
        <v>2232</v>
      </c>
      <c r="B102" s="426" t="s">
        <v>2233</v>
      </c>
      <c r="C102" s="420" t="s">
        <v>1035</v>
      </c>
      <c r="D102" s="424">
        <v>0</v>
      </c>
      <c r="E102" s="420" t="s">
        <v>920</v>
      </c>
      <c r="F102" s="9" t="s">
        <v>2082</v>
      </c>
      <c r="G102" s="10" t="s">
        <v>920</v>
      </c>
      <c r="H102" s="425">
        <v>32</v>
      </c>
      <c r="I102" s="10" t="s">
        <v>922</v>
      </c>
      <c r="J102" s="554" t="s">
        <v>2055</v>
      </c>
      <c r="K102" s="1591"/>
      <c r="L102" s="1513"/>
    </row>
    <row r="103" spans="1:12" ht="72">
      <c r="A103" s="883" t="s">
        <v>2234</v>
      </c>
      <c r="B103" s="426" t="s">
        <v>2235</v>
      </c>
      <c r="C103" s="10" t="s">
        <v>48</v>
      </c>
      <c r="D103" s="10" t="s">
        <v>48</v>
      </c>
      <c r="E103" s="10" t="s">
        <v>48</v>
      </c>
      <c r="F103" s="10" t="s">
        <v>48</v>
      </c>
      <c r="G103" s="10" t="s">
        <v>48</v>
      </c>
      <c r="H103" s="10">
        <v>8</v>
      </c>
      <c r="I103" s="10" t="s">
        <v>839</v>
      </c>
      <c r="J103" s="554" t="s">
        <v>2055</v>
      </c>
      <c r="K103" s="1591"/>
      <c r="L103" s="1513"/>
    </row>
    <row r="104" spans="1:12" ht="28.8">
      <c r="A104" s="883" t="s">
        <v>2236</v>
      </c>
      <c r="B104" s="426" t="s">
        <v>2233</v>
      </c>
      <c r="C104" s="420" t="s">
        <v>1035</v>
      </c>
      <c r="D104" s="424">
        <v>0</v>
      </c>
      <c r="E104" s="420" t="s">
        <v>920</v>
      </c>
      <c r="F104" s="9" t="s">
        <v>2082</v>
      </c>
      <c r="G104" s="10" t="s">
        <v>920</v>
      </c>
      <c r="H104" s="425">
        <v>32</v>
      </c>
      <c r="I104" s="10" t="s">
        <v>922</v>
      </c>
      <c r="J104" s="554" t="s">
        <v>2055</v>
      </c>
      <c r="K104" s="1591"/>
      <c r="L104" s="1513"/>
    </row>
    <row r="105" spans="1:12" ht="72">
      <c r="A105" s="883" t="s">
        <v>2237</v>
      </c>
      <c r="B105" s="426" t="s">
        <v>2238</v>
      </c>
      <c r="C105" s="10" t="s">
        <v>48</v>
      </c>
      <c r="D105" s="10" t="s">
        <v>48</v>
      </c>
      <c r="E105" s="10" t="s">
        <v>48</v>
      </c>
      <c r="F105" s="10" t="s">
        <v>48</v>
      </c>
      <c r="G105" s="10" t="s">
        <v>48</v>
      </c>
      <c r="H105" s="10">
        <v>8</v>
      </c>
      <c r="I105" s="10" t="s">
        <v>839</v>
      </c>
      <c r="J105" s="554" t="s">
        <v>2055</v>
      </c>
      <c r="K105" s="1591"/>
      <c r="L105" s="1513"/>
    </row>
    <row r="106" spans="1:12" ht="28.8">
      <c r="A106" s="883" t="s">
        <v>2239</v>
      </c>
      <c r="B106" s="426" t="s">
        <v>2233</v>
      </c>
      <c r="C106" s="420" t="s">
        <v>1035</v>
      </c>
      <c r="D106" s="424">
        <v>0</v>
      </c>
      <c r="E106" s="420" t="s">
        <v>920</v>
      </c>
      <c r="F106" s="9" t="s">
        <v>2082</v>
      </c>
      <c r="G106" s="10" t="s">
        <v>920</v>
      </c>
      <c r="H106" s="425">
        <v>32</v>
      </c>
      <c r="I106" s="10" t="s">
        <v>922</v>
      </c>
      <c r="J106" s="554" t="s">
        <v>2055</v>
      </c>
      <c r="K106" s="1591"/>
      <c r="L106" s="1513"/>
    </row>
    <row r="107" spans="1:12" ht="72">
      <c r="A107" s="883" t="s">
        <v>2240</v>
      </c>
      <c r="B107" s="426" t="s">
        <v>2241</v>
      </c>
      <c r="C107" s="10" t="s">
        <v>48</v>
      </c>
      <c r="D107" s="10" t="s">
        <v>48</v>
      </c>
      <c r="E107" s="10" t="s">
        <v>48</v>
      </c>
      <c r="F107" s="10" t="s">
        <v>48</v>
      </c>
      <c r="G107" s="10" t="s">
        <v>48</v>
      </c>
      <c r="H107" s="10">
        <v>8</v>
      </c>
      <c r="I107" s="10" t="s">
        <v>839</v>
      </c>
      <c r="J107" s="554" t="s">
        <v>2055</v>
      </c>
      <c r="K107" s="1591"/>
      <c r="L107" s="1513"/>
    </row>
    <row r="108" spans="1:12" ht="28.8">
      <c r="A108" s="883" t="s">
        <v>2242</v>
      </c>
      <c r="B108" s="426" t="s">
        <v>2243</v>
      </c>
      <c r="C108" s="10" t="s">
        <v>919</v>
      </c>
      <c r="D108" s="10">
        <v>0</v>
      </c>
      <c r="E108" s="10" t="s">
        <v>920</v>
      </c>
      <c r="F108" s="9" t="s">
        <v>1118</v>
      </c>
      <c r="G108" s="10" t="s">
        <v>920</v>
      </c>
      <c r="H108" s="10">
        <v>32</v>
      </c>
      <c r="I108" s="10" t="s">
        <v>922</v>
      </c>
      <c r="J108" s="554" t="s">
        <v>2055</v>
      </c>
      <c r="K108" s="1591"/>
      <c r="L108" s="1513"/>
    </row>
    <row r="109" spans="1:12" ht="72">
      <c r="A109" s="883" t="s">
        <v>2244</v>
      </c>
      <c r="B109" s="426" t="s">
        <v>2245</v>
      </c>
      <c r="C109" s="10" t="s">
        <v>48</v>
      </c>
      <c r="D109" s="10" t="s">
        <v>48</v>
      </c>
      <c r="E109" s="10" t="s">
        <v>48</v>
      </c>
      <c r="F109" s="10" t="s">
        <v>48</v>
      </c>
      <c r="G109" s="10" t="s">
        <v>48</v>
      </c>
      <c r="H109" s="10">
        <v>8</v>
      </c>
      <c r="I109" s="10" t="s">
        <v>839</v>
      </c>
      <c r="J109" s="554" t="s">
        <v>2055</v>
      </c>
      <c r="K109" s="1591"/>
      <c r="L109" s="1513"/>
    </row>
    <row r="110" spans="1:12" ht="28.8">
      <c r="A110" s="883" t="s">
        <v>2246</v>
      </c>
      <c r="B110" s="426" t="s">
        <v>2247</v>
      </c>
      <c r="C110" s="10" t="s">
        <v>996</v>
      </c>
      <c r="D110" s="10">
        <v>0</v>
      </c>
      <c r="E110" s="10" t="s">
        <v>920</v>
      </c>
      <c r="F110" s="9" t="s">
        <v>2248</v>
      </c>
      <c r="G110" s="10" t="s">
        <v>920</v>
      </c>
      <c r="H110" s="425">
        <v>32</v>
      </c>
      <c r="I110" s="10" t="s">
        <v>922</v>
      </c>
      <c r="J110" s="554" t="s">
        <v>2055</v>
      </c>
      <c r="K110" s="1591"/>
      <c r="L110" s="1513"/>
    </row>
    <row r="111" spans="1:12" ht="72">
      <c r="A111" s="883" t="s">
        <v>2249</v>
      </c>
      <c r="B111" s="426" t="s">
        <v>2250</v>
      </c>
      <c r="C111" s="10" t="s">
        <v>48</v>
      </c>
      <c r="D111" s="10" t="s">
        <v>48</v>
      </c>
      <c r="E111" s="10" t="s">
        <v>48</v>
      </c>
      <c r="F111" s="10" t="s">
        <v>48</v>
      </c>
      <c r="G111" s="10" t="s">
        <v>48</v>
      </c>
      <c r="H111" s="10">
        <v>8</v>
      </c>
      <c r="I111" s="10" t="s">
        <v>839</v>
      </c>
      <c r="J111" s="554" t="s">
        <v>2055</v>
      </c>
      <c r="K111" s="1591"/>
      <c r="L111" s="1513"/>
    </row>
    <row r="112" spans="1:12" ht="57.6">
      <c r="A112" s="883" t="s">
        <v>2251</v>
      </c>
      <c r="B112" s="426" t="s">
        <v>2252</v>
      </c>
      <c r="C112" s="10" t="s">
        <v>48</v>
      </c>
      <c r="D112" s="10" t="s">
        <v>48</v>
      </c>
      <c r="E112" s="10" t="s">
        <v>48</v>
      </c>
      <c r="F112" s="10" t="s">
        <v>48</v>
      </c>
      <c r="G112" s="10" t="s">
        <v>48</v>
      </c>
      <c r="H112" s="10">
        <v>32</v>
      </c>
      <c r="I112" s="10" t="s">
        <v>1800</v>
      </c>
      <c r="J112" s="554" t="s">
        <v>2055</v>
      </c>
      <c r="K112" s="1591"/>
      <c r="L112" s="1513"/>
    </row>
    <row r="113" spans="1:12" ht="72">
      <c r="A113" s="883" t="s">
        <v>2253</v>
      </c>
      <c r="B113" s="426" t="s">
        <v>2254</v>
      </c>
      <c r="C113" s="10" t="s">
        <v>48</v>
      </c>
      <c r="D113" s="10" t="s">
        <v>48</v>
      </c>
      <c r="E113" s="10" t="s">
        <v>48</v>
      </c>
      <c r="F113" s="10" t="s">
        <v>48</v>
      </c>
      <c r="G113" s="10" t="s">
        <v>48</v>
      </c>
      <c r="H113" s="10">
        <v>8</v>
      </c>
      <c r="I113" s="10" t="s">
        <v>839</v>
      </c>
      <c r="J113" s="554" t="s">
        <v>2055</v>
      </c>
      <c r="K113" s="1591"/>
      <c r="L113" s="1513"/>
    </row>
    <row r="114" spans="1:12" ht="43.2">
      <c r="A114" s="883" t="s">
        <v>2255</v>
      </c>
      <c r="B114" s="426" t="s">
        <v>2256</v>
      </c>
      <c r="C114" s="10" t="s">
        <v>48</v>
      </c>
      <c r="D114" s="10">
        <v>0</v>
      </c>
      <c r="E114" s="10">
        <v>65535</v>
      </c>
      <c r="F114" s="9" t="s">
        <v>1260</v>
      </c>
      <c r="G114" s="702">
        <v>65535</v>
      </c>
      <c r="H114" s="10">
        <v>16</v>
      </c>
      <c r="I114" s="10" t="s">
        <v>991</v>
      </c>
      <c r="J114" s="554" t="s">
        <v>2055</v>
      </c>
      <c r="K114" s="1591"/>
      <c r="L114" s="1513"/>
    </row>
    <row r="115" spans="1:12" ht="72">
      <c r="A115" s="883" t="s">
        <v>2257</v>
      </c>
      <c r="B115" s="426" t="s">
        <v>2258</v>
      </c>
      <c r="C115" s="10" t="s">
        <v>48</v>
      </c>
      <c r="D115" s="10" t="s">
        <v>48</v>
      </c>
      <c r="E115" s="10" t="s">
        <v>48</v>
      </c>
      <c r="F115" s="10" t="s">
        <v>48</v>
      </c>
      <c r="G115" s="10" t="s">
        <v>48</v>
      </c>
      <c r="H115" s="10">
        <v>8</v>
      </c>
      <c r="I115" s="10" t="s">
        <v>839</v>
      </c>
      <c r="J115" s="554" t="s">
        <v>2055</v>
      </c>
      <c r="K115" s="1591"/>
      <c r="L115" s="1513"/>
    </row>
    <row r="116" spans="1:12" ht="43.2">
      <c r="A116" s="883" t="s">
        <v>2259</v>
      </c>
      <c r="B116" s="426" t="s">
        <v>2260</v>
      </c>
      <c r="C116" s="10" t="s">
        <v>996</v>
      </c>
      <c r="D116" s="10">
        <v>0</v>
      </c>
      <c r="E116" s="10" t="s">
        <v>920</v>
      </c>
      <c r="F116" s="9" t="s">
        <v>1187</v>
      </c>
      <c r="G116" s="10" t="s">
        <v>920</v>
      </c>
      <c r="H116" s="425">
        <v>32</v>
      </c>
      <c r="I116" s="10" t="s">
        <v>922</v>
      </c>
      <c r="J116" s="554" t="s">
        <v>2055</v>
      </c>
      <c r="K116" s="1591"/>
      <c r="L116" s="1513"/>
    </row>
    <row r="117" spans="1:12" ht="72">
      <c r="A117" s="883" t="s">
        <v>2261</v>
      </c>
      <c r="B117" s="426" t="s">
        <v>2262</v>
      </c>
      <c r="C117" s="10" t="s">
        <v>48</v>
      </c>
      <c r="D117" s="10" t="s">
        <v>48</v>
      </c>
      <c r="E117" s="10" t="s">
        <v>48</v>
      </c>
      <c r="F117" s="10" t="s">
        <v>48</v>
      </c>
      <c r="G117" s="10" t="s">
        <v>48</v>
      </c>
      <c r="H117" s="10">
        <v>8</v>
      </c>
      <c r="I117" s="10" t="s">
        <v>839</v>
      </c>
      <c r="J117" s="554" t="s">
        <v>2055</v>
      </c>
      <c r="K117" s="1591"/>
      <c r="L117" s="1513"/>
    </row>
    <row r="118" spans="1:12" ht="57.6">
      <c r="A118" s="883" t="s">
        <v>2263</v>
      </c>
      <c r="B118" s="426" t="s">
        <v>2264</v>
      </c>
      <c r="C118" s="10" t="s">
        <v>48</v>
      </c>
      <c r="D118" s="10" t="s">
        <v>48</v>
      </c>
      <c r="E118" s="10" t="s">
        <v>48</v>
      </c>
      <c r="F118" s="10" t="s">
        <v>48</v>
      </c>
      <c r="G118" s="10" t="s">
        <v>48</v>
      </c>
      <c r="H118" s="10">
        <v>32</v>
      </c>
      <c r="I118" s="10" t="s">
        <v>1800</v>
      </c>
      <c r="J118" s="554" t="s">
        <v>2055</v>
      </c>
      <c r="K118" s="1591"/>
      <c r="L118" s="1513"/>
    </row>
    <row r="119" spans="1:12" ht="72">
      <c r="A119" s="883" t="s">
        <v>2265</v>
      </c>
      <c r="B119" s="426" t="s">
        <v>2266</v>
      </c>
      <c r="C119" s="10" t="s">
        <v>48</v>
      </c>
      <c r="D119" s="10" t="s">
        <v>48</v>
      </c>
      <c r="E119" s="10" t="s">
        <v>48</v>
      </c>
      <c r="F119" s="10" t="s">
        <v>48</v>
      </c>
      <c r="G119" s="10" t="s">
        <v>48</v>
      </c>
      <c r="H119" s="10">
        <v>8</v>
      </c>
      <c r="I119" s="10" t="s">
        <v>839</v>
      </c>
      <c r="J119" s="554" t="s">
        <v>2055</v>
      </c>
      <c r="K119" s="1591"/>
      <c r="L119" s="1513"/>
    </row>
    <row r="120" spans="1:12" ht="28.8">
      <c r="A120" s="883" t="s">
        <v>2267</v>
      </c>
      <c r="B120" s="426" t="s">
        <v>2268</v>
      </c>
      <c r="C120" s="10" t="s">
        <v>48</v>
      </c>
      <c r="D120" s="10" t="s">
        <v>48</v>
      </c>
      <c r="E120" s="10" t="s">
        <v>48</v>
      </c>
      <c r="F120" s="10" t="s">
        <v>48</v>
      </c>
      <c r="G120" s="10" t="s">
        <v>48</v>
      </c>
      <c r="H120" s="10">
        <v>32</v>
      </c>
      <c r="I120" s="10" t="s">
        <v>1800</v>
      </c>
      <c r="J120" s="554" t="s">
        <v>2055</v>
      </c>
      <c r="K120" s="1591"/>
      <c r="L120" s="1513"/>
    </row>
    <row r="121" spans="1:12" ht="72">
      <c r="A121" s="883" t="s">
        <v>2269</v>
      </c>
      <c r="B121" s="426" t="s">
        <v>2270</v>
      </c>
      <c r="C121" s="10" t="s">
        <v>48</v>
      </c>
      <c r="D121" s="10" t="s">
        <v>48</v>
      </c>
      <c r="E121" s="10" t="s">
        <v>48</v>
      </c>
      <c r="F121" s="10" t="s">
        <v>48</v>
      </c>
      <c r="G121" s="10" t="s">
        <v>48</v>
      </c>
      <c r="H121" s="10">
        <v>8</v>
      </c>
      <c r="I121" s="10" t="s">
        <v>839</v>
      </c>
      <c r="J121" s="554" t="s">
        <v>2055</v>
      </c>
      <c r="K121" s="1591"/>
      <c r="L121" s="1513"/>
    </row>
    <row r="122" spans="1:12" ht="28.8">
      <c r="A122" s="883" t="s">
        <v>2271</v>
      </c>
      <c r="B122" s="426" t="s">
        <v>2272</v>
      </c>
      <c r="C122" s="10" t="s">
        <v>48</v>
      </c>
      <c r="D122" s="10" t="s">
        <v>48</v>
      </c>
      <c r="E122" s="10" t="s">
        <v>48</v>
      </c>
      <c r="F122" s="10" t="s">
        <v>48</v>
      </c>
      <c r="G122" s="10" t="s">
        <v>48</v>
      </c>
      <c r="H122" s="10">
        <v>32</v>
      </c>
      <c r="I122" s="10" t="s">
        <v>1800</v>
      </c>
      <c r="J122" s="554" t="s">
        <v>2055</v>
      </c>
      <c r="K122" s="1591"/>
      <c r="L122" s="1513"/>
    </row>
    <row r="123" spans="1:12" ht="72">
      <c r="A123" s="883" t="s">
        <v>2273</v>
      </c>
      <c r="B123" s="426" t="s">
        <v>2274</v>
      </c>
      <c r="C123" s="10" t="s">
        <v>48</v>
      </c>
      <c r="D123" s="10" t="s">
        <v>48</v>
      </c>
      <c r="E123" s="10" t="s">
        <v>48</v>
      </c>
      <c r="F123" s="10" t="s">
        <v>48</v>
      </c>
      <c r="G123" s="10" t="s">
        <v>48</v>
      </c>
      <c r="H123" s="10">
        <v>8</v>
      </c>
      <c r="I123" s="10" t="s">
        <v>839</v>
      </c>
      <c r="J123" s="554" t="s">
        <v>2055</v>
      </c>
      <c r="K123" s="1591"/>
      <c r="L123" s="1513"/>
    </row>
    <row r="124" spans="1:12" ht="28.8">
      <c r="A124" s="883" t="s">
        <v>2275</v>
      </c>
      <c r="B124" s="426" t="s">
        <v>2276</v>
      </c>
      <c r="C124" s="10" t="s">
        <v>1035</v>
      </c>
      <c r="D124" s="10">
        <v>0</v>
      </c>
      <c r="E124" s="10" t="s">
        <v>920</v>
      </c>
      <c r="F124" s="9" t="s">
        <v>2277</v>
      </c>
      <c r="G124" s="10" t="s">
        <v>920</v>
      </c>
      <c r="H124" s="425">
        <v>32</v>
      </c>
      <c r="I124" s="10" t="s">
        <v>922</v>
      </c>
      <c r="J124" s="554" t="s">
        <v>2055</v>
      </c>
      <c r="K124" s="1591"/>
      <c r="L124" s="1513"/>
    </row>
    <row r="125" spans="1:12" ht="72">
      <c r="A125" s="883" t="s">
        <v>2278</v>
      </c>
      <c r="B125" s="426" t="s">
        <v>2279</v>
      </c>
      <c r="C125" s="10" t="s">
        <v>48</v>
      </c>
      <c r="D125" s="10" t="s">
        <v>48</v>
      </c>
      <c r="E125" s="10" t="s">
        <v>48</v>
      </c>
      <c r="F125" s="10" t="s">
        <v>48</v>
      </c>
      <c r="G125" s="10" t="s">
        <v>48</v>
      </c>
      <c r="H125" s="10">
        <v>8</v>
      </c>
      <c r="I125" s="10" t="s">
        <v>839</v>
      </c>
      <c r="J125" s="554" t="s">
        <v>2055</v>
      </c>
      <c r="K125" s="1591"/>
      <c r="L125" s="1513"/>
    </row>
    <row r="126" spans="1:12" ht="72">
      <c r="A126" s="883" t="s">
        <v>2280</v>
      </c>
      <c r="B126" s="426" t="s">
        <v>2281</v>
      </c>
      <c r="C126" s="10" t="s">
        <v>1035</v>
      </c>
      <c r="D126" s="10">
        <v>0</v>
      </c>
      <c r="E126" s="10" t="s">
        <v>920</v>
      </c>
      <c r="F126" s="9" t="s">
        <v>2282</v>
      </c>
      <c r="G126" s="10" t="s">
        <v>920</v>
      </c>
      <c r="H126" s="425">
        <v>32</v>
      </c>
      <c r="I126" s="10" t="s">
        <v>922</v>
      </c>
      <c r="J126" s="554" t="s">
        <v>2055</v>
      </c>
      <c r="K126" s="1591"/>
      <c r="L126" s="1513"/>
    </row>
    <row r="127" spans="1:12" ht="72">
      <c r="A127" s="883" t="s">
        <v>2283</v>
      </c>
      <c r="B127" s="426" t="s">
        <v>2284</v>
      </c>
      <c r="C127" s="10" t="s">
        <v>48</v>
      </c>
      <c r="D127" s="10" t="s">
        <v>48</v>
      </c>
      <c r="E127" s="10" t="s">
        <v>48</v>
      </c>
      <c r="F127" s="10" t="s">
        <v>48</v>
      </c>
      <c r="G127" s="10" t="s">
        <v>48</v>
      </c>
      <c r="H127" s="10">
        <v>8</v>
      </c>
      <c r="I127" s="10" t="s">
        <v>839</v>
      </c>
      <c r="J127" s="554" t="s">
        <v>2055</v>
      </c>
      <c r="K127" s="1591"/>
      <c r="L127" s="1513"/>
    </row>
    <row r="128" spans="1:12" ht="28.8">
      <c r="A128" s="883" t="s">
        <v>2285</v>
      </c>
      <c r="B128" s="426" t="s">
        <v>2286</v>
      </c>
      <c r="C128" s="10" t="s">
        <v>1035</v>
      </c>
      <c r="D128" s="10">
        <v>0</v>
      </c>
      <c r="E128" s="10" t="s">
        <v>920</v>
      </c>
      <c r="F128" s="9" t="s">
        <v>2287</v>
      </c>
      <c r="G128" s="10" t="s">
        <v>920</v>
      </c>
      <c r="H128" s="425">
        <v>32</v>
      </c>
      <c r="I128" s="10" t="s">
        <v>922</v>
      </c>
      <c r="J128" s="554" t="s">
        <v>2055</v>
      </c>
      <c r="K128" s="1591"/>
      <c r="L128" s="1513"/>
    </row>
    <row r="129" spans="1:12" ht="72">
      <c r="A129" s="883" t="s">
        <v>2288</v>
      </c>
      <c r="B129" s="426" t="s">
        <v>2289</v>
      </c>
      <c r="C129" s="10" t="s">
        <v>48</v>
      </c>
      <c r="D129" s="10" t="s">
        <v>48</v>
      </c>
      <c r="E129" s="10" t="s">
        <v>48</v>
      </c>
      <c r="F129" s="10" t="s">
        <v>48</v>
      </c>
      <c r="G129" s="10" t="s">
        <v>48</v>
      </c>
      <c r="H129" s="10">
        <v>8</v>
      </c>
      <c r="I129" s="10" t="s">
        <v>839</v>
      </c>
      <c r="J129" s="554" t="s">
        <v>2055</v>
      </c>
      <c r="K129" s="1591"/>
      <c r="L129" s="1513"/>
    </row>
    <row r="130" spans="1:12" ht="100.8">
      <c r="A130" s="883" t="s">
        <v>2290</v>
      </c>
      <c r="B130" s="426" t="s">
        <v>2291</v>
      </c>
      <c r="C130" s="10" t="s">
        <v>1035</v>
      </c>
      <c r="D130" s="10">
        <v>0</v>
      </c>
      <c r="E130" s="10" t="s">
        <v>920</v>
      </c>
      <c r="F130" s="9" t="s">
        <v>2287</v>
      </c>
      <c r="G130" s="10" t="s">
        <v>920</v>
      </c>
      <c r="H130" s="425">
        <v>32</v>
      </c>
      <c r="I130" s="10" t="s">
        <v>922</v>
      </c>
      <c r="J130" s="554" t="s">
        <v>2055</v>
      </c>
      <c r="K130" s="1591"/>
      <c r="L130" s="1513"/>
    </row>
    <row r="131" spans="1:12" ht="72">
      <c r="A131" s="883" t="s">
        <v>2292</v>
      </c>
      <c r="B131" s="426" t="s">
        <v>2293</v>
      </c>
      <c r="C131" s="10" t="s">
        <v>48</v>
      </c>
      <c r="D131" s="10" t="s">
        <v>48</v>
      </c>
      <c r="E131" s="10" t="s">
        <v>48</v>
      </c>
      <c r="F131" s="10" t="s">
        <v>48</v>
      </c>
      <c r="G131" s="10" t="s">
        <v>48</v>
      </c>
      <c r="H131" s="10">
        <v>8</v>
      </c>
      <c r="I131" s="10" t="s">
        <v>839</v>
      </c>
      <c r="J131" s="554" t="s">
        <v>2055</v>
      </c>
      <c r="K131" s="1591"/>
      <c r="L131" s="1513"/>
    </row>
    <row r="132" spans="1:12">
      <c r="A132" s="883" t="s">
        <v>2294</v>
      </c>
      <c r="B132" s="426" t="s">
        <v>2295</v>
      </c>
      <c r="C132" s="10" t="s">
        <v>48</v>
      </c>
      <c r="D132" s="10" t="s">
        <v>48</v>
      </c>
      <c r="E132" s="10" t="s">
        <v>48</v>
      </c>
      <c r="F132" s="10" t="s">
        <v>48</v>
      </c>
      <c r="G132" s="10" t="s">
        <v>48</v>
      </c>
      <c r="H132" s="10">
        <v>32</v>
      </c>
      <c r="I132" s="425" t="s">
        <v>2137</v>
      </c>
      <c r="J132" s="554" t="s">
        <v>2055</v>
      </c>
      <c r="K132" s="1591"/>
      <c r="L132" s="1513"/>
    </row>
    <row r="133" spans="1:12" ht="72">
      <c r="A133" s="883" t="s">
        <v>2296</v>
      </c>
      <c r="B133" s="426" t="s">
        <v>2297</v>
      </c>
      <c r="C133" s="10" t="s">
        <v>48</v>
      </c>
      <c r="D133" s="10" t="s">
        <v>48</v>
      </c>
      <c r="E133" s="10" t="s">
        <v>48</v>
      </c>
      <c r="F133" s="10" t="s">
        <v>48</v>
      </c>
      <c r="G133" s="10" t="s">
        <v>48</v>
      </c>
      <c r="H133" s="10">
        <v>8</v>
      </c>
      <c r="I133" s="10" t="s">
        <v>839</v>
      </c>
      <c r="J133" s="554" t="s">
        <v>2055</v>
      </c>
      <c r="K133" s="1591"/>
      <c r="L133" s="1513"/>
    </row>
    <row r="134" spans="1:12">
      <c r="A134" s="883" t="s">
        <v>2298</v>
      </c>
      <c r="B134" s="426" t="s">
        <v>2295</v>
      </c>
      <c r="C134" s="10" t="s">
        <v>48</v>
      </c>
      <c r="D134" s="10" t="s">
        <v>48</v>
      </c>
      <c r="E134" s="10" t="s">
        <v>48</v>
      </c>
      <c r="F134" s="10" t="s">
        <v>48</v>
      </c>
      <c r="G134" s="10" t="s">
        <v>48</v>
      </c>
      <c r="H134" s="10">
        <v>32</v>
      </c>
      <c r="I134" s="425" t="s">
        <v>2137</v>
      </c>
      <c r="J134" s="554" t="s">
        <v>2055</v>
      </c>
      <c r="K134" s="1591"/>
      <c r="L134" s="1513"/>
    </row>
    <row r="135" spans="1:12" ht="72">
      <c r="A135" s="883" t="s">
        <v>2299</v>
      </c>
      <c r="B135" s="426" t="s">
        <v>2300</v>
      </c>
      <c r="C135" s="10" t="s">
        <v>48</v>
      </c>
      <c r="D135" s="10" t="s">
        <v>48</v>
      </c>
      <c r="E135" s="10" t="s">
        <v>48</v>
      </c>
      <c r="F135" s="10" t="s">
        <v>48</v>
      </c>
      <c r="G135" s="10" t="s">
        <v>48</v>
      </c>
      <c r="H135" s="10">
        <v>8</v>
      </c>
      <c r="I135" s="10" t="s">
        <v>839</v>
      </c>
      <c r="J135" s="554" t="s">
        <v>2055</v>
      </c>
      <c r="K135" s="1591"/>
      <c r="L135" s="1513"/>
    </row>
    <row r="136" spans="1:12">
      <c r="A136" s="883" t="s">
        <v>2301</v>
      </c>
      <c r="B136" s="426" t="s">
        <v>2295</v>
      </c>
      <c r="C136" s="10" t="s">
        <v>48</v>
      </c>
      <c r="D136" s="10" t="s">
        <v>48</v>
      </c>
      <c r="E136" s="10" t="s">
        <v>48</v>
      </c>
      <c r="F136" s="10" t="s">
        <v>48</v>
      </c>
      <c r="G136" s="10" t="s">
        <v>48</v>
      </c>
      <c r="H136" s="10">
        <v>32</v>
      </c>
      <c r="I136" s="425" t="s">
        <v>2137</v>
      </c>
      <c r="J136" s="554" t="s">
        <v>2055</v>
      </c>
      <c r="K136" s="1591"/>
      <c r="L136" s="1513"/>
    </row>
    <row r="137" spans="1:12" ht="72">
      <c r="A137" s="883" t="s">
        <v>2302</v>
      </c>
      <c r="B137" s="426" t="s">
        <v>2303</v>
      </c>
      <c r="C137" s="10" t="s">
        <v>48</v>
      </c>
      <c r="D137" s="10" t="s">
        <v>48</v>
      </c>
      <c r="E137" s="10" t="s">
        <v>48</v>
      </c>
      <c r="F137" s="10" t="s">
        <v>48</v>
      </c>
      <c r="G137" s="10" t="s">
        <v>48</v>
      </c>
      <c r="H137" s="10">
        <v>8</v>
      </c>
      <c r="I137" s="10" t="s">
        <v>839</v>
      </c>
      <c r="J137" s="554" t="s">
        <v>2055</v>
      </c>
      <c r="K137" s="1591"/>
      <c r="L137" s="1513"/>
    </row>
    <row r="138" spans="1:12">
      <c r="A138" s="883" t="s">
        <v>2304</v>
      </c>
      <c r="B138" s="426" t="s">
        <v>2295</v>
      </c>
      <c r="C138" s="10" t="s">
        <v>48</v>
      </c>
      <c r="D138" s="10" t="s">
        <v>48</v>
      </c>
      <c r="E138" s="10" t="s">
        <v>48</v>
      </c>
      <c r="F138" s="10" t="s">
        <v>48</v>
      </c>
      <c r="G138" s="10" t="s">
        <v>48</v>
      </c>
      <c r="H138" s="10">
        <v>32</v>
      </c>
      <c r="I138" s="425" t="s">
        <v>2137</v>
      </c>
      <c r="J138" s="554" t="s">
        <v>2055</v>
      </c>
      <c r="K138" s="1591"/>
      <c r="L138" s="1513"/>
    </row>
    <row r="139" spans="1:12" ht="72">
      <c r="A139" s="883" t="s">
        <v>2305</v>
      </c>
      <c r="B139" s="426" t="s">
        <v>2306</v>
      </c>
      <c r="C139" s="10" t="s">
        <v>48</v>
      </c>
      <c r="D139" s="10" t="s">
        <v>48</v>
      </c>
      <c r="E139" s="10" t="s">
        <v>48</v>
      </c>
      <c r="F139" s="10" t="s">
        <v>48</v>
      </c>
      <c r="G139" s="10" t="s">
        <v>48</v>
      </c>
      <c r="H139" s="10">
        <v>8</v>
      </c>
      <c r="I139" s="10" t="s">
        <v>839</v>
      </c>
      <c r="J139" s="554" t="s">
        <v>2055</v>
      </c>
      <c r="K139" s="1591"/>
      <c r="L139" s="1513"/>
    </row>
    <row r="140" spans="1:12" ht="28.8">
      <c r="A140" s="883" t="s">
        <v>2307</v>
      </c>
      <c r="B140" s="426" t="s">
        <v>2308</v>
      </c>
      <c r="C140" s="10" t="s">
        <v>48</v>
      </c>
      <c r="D140" s="10" t="s">
        <v>48</v>
      </c>
      <c r="E140" s="10" t="s">
        <v>48</v>
      </c>
      <c r="F140" s="10" t="s">
        <v>48</v>
      </c>
      <c r="G140" s="10" t="s">
        <v>48</v>
      </c>
      <c r="H140" s="10">
        <v>32</v>
      </c>
      <c r="I140" s="10" t="s">
        <v>1800</v>
      </c>
      <c r="J140" s="554" t="s">
        <v>2055</v>
      </c>
      <c r="K140" s="1591"/>
      <c r="L140" s="1513"/>
    </row>
    <row r="141" spans="1:12" ht="72">
      <c r="A141" s="883" t="s">
        <v>2309</v>
      </c>
      <c r="B141" s="426" t="s">
        <v>2310</v>
      </c>
      <c r="C141" s="10" t="s">
        <v>48</v>
      </c>
      <c r="D141" s="10" t="s">
        <v>48</v>
      </c>
      <c r="E141" s="10" t="s">
        <v>48</v>
      </c>
      <c r="F141" s="10" t="s">
        <v>48</v>
      </c>
      <c r="G141" s="10" t="s">
        <v>48</v>
      </c>
      <c r="H141" s="10">
        <v>8</v>
      </c>
      <c r="I141" s="10" t="s">
        <v>839</v>
      </c>
      <c r="J141" s="554" t="s">
        <v>2055</v>
      </c>
      <c r="K141" s="1591"/>
      <c r="L141" s="1513"/>
    </row>
    <row r="142" spans="1:12" ht="28.8">
      <c r="A142" s="883" t="s">
        <v>2311</v>
      </c>
      <c r="B142" s="426" t="s">
        <v>2308</v>
      </c>
      <c r="C142" s="10" t="s">
        <v>48</v>
      </c>
      <c r="D142" s="10" t="s">
        <v>48</v>
      </c>
      <c r="E142" s="10" t="s">
        <v>48</v>
      </c>
      <c r="F142" s="10" t="s">
        <v>48</v>
      </c>
      <c r="G142" s="10" t="s">
        <v>48</v>
      </c>
      <c r="H142" s="10">
        <v>32</v>
      </c>
      <c r="I142" s="10" t="s">
        <v>1800</v>
      </c>
      <c r="J142" s="554" t="s">
        <v>2055</v>
      </c>
      <c r="K142" s="1591"/>
      <c r="L142" s="1513"/>
    </row>
    <row r="143" spans="1:12" ht="72">
      <c r="A143" s="883" t="s">
        <v>2312</v>
      </c>
      <c r="B143" s="426" t="s">
        <v>2313</v>
      </c>
      <c r="C143" s="10" t="s">
        <v>48</v>
      </c>
      <c r="D143" s="10" t="s">
        <v>48</v>
      </c>
      <c r="E143" s="10" t="s">
        <v>48</v>
      </c>
      <c r="F143" s="10" t="s">
        <v>48</v>
      </c>
      <c r="G143" s="10" t="s">
        <v>48</v>
      </c>
      <c r="H143" s="10">
        <v>8</v>
      </c>
      <c r="I143" s="10" t="s">
        <v>839</v>
      </c>
      <c r="J143" s="554" t="s">
        <v>2055</v>
      </c>
      <c r="K143" s="1591"/>
      <c r="L143" s="1513"/>
    </row>
    <row r="144" spans="1:12" ht="28.8">
      <c r="A144" s="883" t="s">
        <v>2314</v>
      </c>
      <c r="B144" s="426" t="s">
        <v>2308</v>
      </c>
      <c r="C144" s="10" t="s">
        <v>48</v>
      </c>
      <c r="D144" s="10" t="s">
        <v>48</v>
      </c>
      <c r="E144" s="10" t="s">
        <v>48</v>
      </c>
      <c r="F144" s="10" t="s">
        <v>48</v>
      </c>
      <c r="G144" s="10" t="s">
        <v>48</v>
      </c>
      <c r="H144" s="10">
        <v>32</v>
      </c>
      <c r="I144" s="10" t="s">
        <v>1800</v>
      </c>
      <c r="J144" s="554" t="s">
        <v>2055</v>
      </c>
      <c r="K144" s="1591"/>
      <c r="L144" s="1513"/>
    </row>
    <row r="145" spans="1:12" ht="72">
      <c r="A145" s="883" t="s">
        <v>2315</v>
      </c>
      <c r="B145" s="426" t="s">
        <v>2316</v>
      </c>
      <c r="C145" s="10" t="s">
        <v>48</v>
      </c>
      <c r="D145" s="10" t="s">
        <v>48</v>
      </c>
      <c r="E145" s="10" t="s">
        <v>48</v>
      </c>
      <c r="F145" s="10" t="s">
        <v>48</v>
      </c>
      <c r="G145" s="10" t="s">
        <v>48</v>
      </c>
      <c r="H145" s="10">
        <v>8</v>
      </c>
      <c r="I145" s="10" t="s">
        <v>839</v>
      </c>
      <c r="J145" s="554" t="s">
        <v>2055</v>
      </c>
      <c r="K145" s="1591"/>
      <c r="L145" s="1513"/>
    </row>
    <row r="146" spans="1:12" ht="28.8">
      <c r="A146" s="883" t="s">
        <v>2317</v>
      </c>
      <c r="B146" s="426" t="s">
        <v>2308</v>
      </c>
      <c r="C146" s="10" t="s">
        <v>48</v>
      </c>
      <c r="D146" s="10" t="s">
        <v>48</v>
      </c>
      <c r="E146" s="10" t="s">
        <v>48</v>
      </c>
      <c r="F146" s="10" t="s">
        <v>48</v>
      </c>
      <c r="G146" s="10" t="s">
        <v>48</v>
      </c>
      <c r="H146" s="10">
        <v>32</v>
      </c>
      <c r="I146" s="10" t="s">
        <v>1800</v>
      </c>
      <c r="J146" s="554" t="s">
        <v>2055</v>
      </c>
      <c r="K146" s="1591"/>
      <c r="L146" s="1513"/>
    </row>
    <row r="147" spans="1:12" ht="72">
      <c r="A147" s="883" t="s">
        <v>2318</v>
      </c>
      <c r="B147" s="426" t="s">
        <v>2319</v>
      </c>
      <c r="C147" s="10" t="s">
        <v>48</v>
      </c>
      <c r="D147" s="10" t="s">
        <v>48</v>
      </c>
      <c r="E147" s="10" t="s">
        <v>48</v>
      </c>
      <c r="F147" s="10" t="s">
        <v>48</v>
      </c>
      <c r="G147" s="10" t="s">
        <v>48</v>
      </c>
      <c r="H147" s="10">
        <v>8</v>
      </c>
      <c r="I147" s="10" t="s">
        <v>839</v>
      </c>
      <c r="J147" s="554" t="s">
        <v>2055</v>
      </c>
      <c r="K147" s="1591"/>
      <c r="L147" s="1513"/>
    </row>
    <row r="148" spans="1:12" ht="28.8">
      <c r="A148" s="883" t="s">
        <v>2320</v>
      </c>
      <c r="B148" s="426" t="s">
        <v>2308</v>
      </c>
      <c r="C148" s="10" t="s">
        <v>48</v>
      </c>
      <c r="D148" s="10" t="s">
        <v>48</v>
      </c>
      <c r="E148" s="10" t="s">
        <v>48</v>
      </c>
      <c r="F148" s="10" t="s">
        <v>48</v>
      </c>
      <c r="G148" s="10" t="s">
        <v>48</v>
      </c>
      <c r="H148" s="10">
        <v>32</v>
      </c>
      <c r="I148" s="10" t="s">
        <v>1800</v>
      </c>
      <c r="J148" s="554" t="s">
        <v>2055</v>
      </c>
      <c r="K148" s="1591"/>
      <c r="L148" s="1513"/>
    </row>
    <row r="149" spans="1:12" ht="72">
      <c r="A149" s="883" t="s">
        <v>2321</v>
      </c>
      <c r="B149" s="426" t="s">
        <v>2322</v>
      </c>
      <c r="C149" s="10" t="s">
        <v>48</v>
      </c>
      <c r="D149" s="10" t="s">
        <v>48</v>
      </c>
      <c r="E149" s="10" t="s">
        <v>48</v>
      </c>
      <c r="F149" s="10" t="s">
        <v>48</v>
      </c>
      <c r="G149" s="10" t="s">
        <v>48</v>
      </c>
      <c r="H149" s="10">
        <v>8</v>
      </c>
      <c r="I149" s="10" t="s">
        <v>839</v>
      </c>
      <c r="J149" s="554" t="s">
        <v>2055</v>
      </c>
      <c r="K149" s="1591"/>
      <c r="L149" s="1513"/>
    </row>
    <row r="150" spans="1:12" ht="28.8">
      <c r="A150" s="883" t="s">
        <v>2323</v>
      </c>
      <c r="B150" s="426" t="s">
        <v>2308</v>
      </c>
      <c r="C150" s="10" t="s">
        <v>48</v>
      </c>
      <c r="D150" s="10" t="s">
        <v>48</v>
      </c>
      <c r="E150" s="10" t="s">
        <v>48</v>
      </c>
      <c r="F150" s="10" t="s">
        <v>48</v>
      </c>
      <c r="G150" s="10" t="s">
        <v>48</v>
      </c>
      <c r="H150" s="10">
        <v>32</v>
      </c>
      <c r="I150" s="10" t="s">
        <v>1800</v>
      </c>
      <c r="J150" s="554" t="s">
        <v>2055</v>
      </c>
      <c r="K150" s="1591"/>
      <c r="L150" s="1513"/>
    </row>
    <row r="151" spans="1:12" ht="72">
      <c r="A151" s="883" t="s">
        <v>2324</v>
      </c>
      <c r="B151" s="426" t="s">
        <v>2325</v>
      </c>
      <c r="C151" s="10" t="s">
        <v>48</v>
      </c>
      <c r="D151" s="10" t="s">
        <v>48</v>
      </c>
      <c r="E151" s="10" t="s">
        <v>48</v>
      </c>
      <c r="F151" s="10" t="s">
        <v>48</v>
      </c>
      <c r="G151" s="10" t="s">
        <v>48</v>
      </c>
      <c r="H151" s="10">
        <v>8</v>
      </c>
      <c r="I151" s="10" t="s">
        <v>839</v>
      </c>
      <c r="J151" s="554" t="s">
        <v>2055</v>
      </c>
      <c r="K151" s="1591"/>
      <c r="L151" s="1513"/>
    </row>
    <row r="152" spans="1:12" ht="28.8">
      <c r="A152" s="883" t="s">
        <v>2326</v>
      </c>
      <c r="B152" s="426" t="s">
        <v>2308</v>
      </c>
      <c r="C152" s="10" t="s">
        <v>48</v>
      </c>
      <c r="D152" s="10" t="s">
        <v>48</v>
      </c>
      <c r="E152" s="10" t="s">
        <v>48</v>
      </c>
      <c r="F152" s="10" t="s">
        <v>48</v>
      </c>
      <c r="G152" s="10" t="s">
        <v>48</v>
      </c>
      <c r="H152" s="10">
        <v>32</v>
      </c>
      <c r="I152" s="10" t="s">
        <v>1800</v>
      </c>
      <c r="J152" s="554" t="s">
        <v>2055</v>
      </c>
      <c r="K152" s="1591"/>
      <c r="L152" s="1513"/>
    </row>
    <row r="153" spans="1:12" ht="72">
      <c r="A153" s="883" t="s">
        <v>2327</v>
      </c>
      <c r="B153" s="426" t="s">
        <v>2328</v>
      </c>
      <c r="C153" s="10" t="s">
        <v>48</v>
      </c>
      <c r="D153" s="10" t="s">
        <v>48</v>
      </c>
      <c r="E153" s="10" t="s">
        <v>48</v>
      </c>
      <c r="F153" s="10" t="s">
        <v>48</v>
      </c>
      <c r="G153" s="10" t="s">
        <v>48</v>
      </c>
      <c r="H153" s="10">
        <v>8</v>
      </c>
      <c r="I153" s="10" t="s">
        <v>839</v>
      </c>
      <c r="J153" s="554" t="s">
        <v>2055</v>
      </c>
      <c r="K153" s="1591"/>
      <c r="L153" s="1513"/>
    </row>
    <row r="154" spans="1:12" ht="28.8">
      <c r="A154" s="883" t="s">
        <v>2329</v>
      </c>
      <c r="B154" s="426" t="s">
        <v>2308</v>
      </c>
      <c r="C154" s="10" t="s">
        <v>48</v>
      </c>
      <c r="D154" s="10" t="s">
        <v>48</v>
      </c>
      <c r="E154" s="10" t="s">
        <v>48</v>
      </c>
      <c r="F154" s="10" t="s">
        <v>48</v>
      </c>
      <c r="G154" s="10" t="s">
        <v>48</v>
      </c>
      <c r="H154" s="10">
        <v>32</v>
      </c>
      <c r="I154" s="10" t="s">
        <v>1800</v>
      </c>
      <c r="J154" s="554" t="s">
        <v>2055</v>
      </c>
      <c r="K154" s="1591"/>
      <c r="L154" s="1513"/>
    </row>
    <row r="155" spans="1:12" ht="72">
      <c r="A155" s="883" t="s">
        <v>2330</v>
      </c>
      <c r="B155" s="426" t="s">
        <v>2331</v>
      </c>
      <c r="C155" s="10" t="s">
        <v>48</v>
      </c>
      <c r="D155" s="10" t="s">
        <v>48</v>
      </c>
      <c r="E155" s="10" t="s">
        <v>48</v>
      </c>
      <c r="F155" s="10" t="s">
        <v>48</v>
      </c>
      <c r="G155" s="10" t="s">
        <v>48</v>
      </c>
      <c r="H155" s="10">
        <v>8</v>
      </c>
      <c r="I155" s="10" t="s">
        <v>839</v>
      </c>
      <c r="J155" s="554" t="s">
        <v>2055</v>
      </c>
      <c r="K155" s="1591"/>
      <c r="L155" s="1513"/>
    </row>
    <row r="156" spans="1:12">
      <c r="A156" s="883" t="s">
        <v>2332</v>
      </c>
      <c r="B156" s="426" t="s">
        <v>2333</v>
      </c>
      <c r="C156" s="10" t="s">
        <v>48</v>
      </c>
      <c r="D156" s="10" t="s">
        <v>48</v>
      </c>
      <c r="E156" s="10" t="s">
        <v>48</v>
      </c>
      <c r="F156" s="10" t="s">
        <v>48</v>
      </c>
      <c r="G156" s="10" t="s">
        <v>48</v>
      </c>
      <c r="H156" s="10">
        <v>32</v>
      </c>
      <c r="I156" s="425" t="s">
        <v>2137</v>
      </c>
      <c r="J156" s="554" t="s">
        <v>2055</v>
      </c>
      <c r="K156" s="1591"/>
      <c r="L156" s="1513"/>
    </row>
    <row r="157" spans="1:12" ht="72">
      <c r="A157" s="883" t="s">
        <v>2334</v>
      </c>
      <c r="B157" s="426" t="s">
        <v>2335</v>
      </c>
      <c r="C157" s="10" t="s">
        <v>48</v>
      </c>
      <c r="D157" s="10" t="s">
        <v>48</v>
      </c>
      <c r="E157" s="10" t="s">
        <v>48</v>
      </c>
      <c r="F157" s="10" t="s">
        <v>48</v>
      </c>
      <c r="G157" s="10" t="s">
        <v>48</v>
      </c>
      <c r="H157" s="10">
        <v>8</v>
      </c>
      <c r="I157" s="10" t="s">
        <v>839</v>
      </c>
      <c r="J157" s="554" t="s">
        <v>2055</v>
      </c>
      <c r="K157" s="1591"/>
      <c r="L157" s="1513"/>
    </row>
    <row r="158" spans="1:12">
      <c r="A158" s="883" t="s">
        <v>2336</v>
      </c>
      <c r="B158" s="426" t="s">
        <v>2333</v>
      </c>
      <c r="C158" s="10" t="s">
        <v>48</v>
      </c>
      <c r="D158" s="10" t="s">
        <v>48</v>
      </c>
      <c r="E158" s="10" t="s">
        <v>48</v>
      </c>
      <c r="F158" s="10" t="s">
        <v>48</v>
      </c>
      <c r="G158" s="10" t="s">
        <v>48</v>
      </c>
      <c r="H158" s="10">
        <v>32</v>
      </c>
      <c r="I158" s="425" t="s">
        <v>2137</v>
      </c>
      <c r="J158" s="554" t="s">
        <v>2055</v>
      </c>
      <c r="K158" s="1591"/>
      <c r="L158" s="1513"/>
    </row>
    <row r="159" spans="1:12" ht="72">
      <c r="A159" s="883" t="s">
        <v>2337</v>
      </c>
      <c r="B159" s="426" t="s">
        <v>2338</v>
      </c>
      <c r="C159" s="10" t="s">
        <v>48</v>
      </c>
      <c r="D159" s="10" t="s">
        <v>48</v>
      </c>
      <c r="E159" s="10" t="s">
        <v>48</v>
      </c>
      <c r="F159" s="10" t="s">
        <v>48</v>
      </c>
      <c r="G159" s="10" t="s">
        <v>48</v>
      </c>
      <c r="H159" s="10">
        <v>8</v>
      </c>
      <c r="I159" s="10" t="s">
        <v>839</v>
      </c>
      <c r="J159" s="554" t="s">
        <v>2055</v>
      </c>
      <c r="K159" s="1591"/>
      <c r="L159" s="1513"/>
    </row>
    <row r="160" spans="1:12">
      <c r="A160" s="883" t="s">
        <v>2339</v>
      </c>
      <c r="B160" s="426" t="s">
        <v>2333</v>
      </c>
      <c r="C160" s="10" t="s">
        <v>48</v>
      </c>
      <c r="D160" s="10" t="s">
        <v>48</v>
      </c>
      <c r="E160" s="10" t="s">
        <v>48</v>
      </c>
      <c r="F160" s="10" t="s">
        <v>48</v>
      </c>
      <c r="G160" s="10" t="s">
        <v>48</v>
      </c>
      <c r="H160" s="10">
        <v>32</v>
      </c>
      <c r="I160" s="425" t="s">
        <v>2137</v>
      </c>
      <c r="J160" s="554" t="s">
        <v>2055</v>
      </c>
      <c r="K160" s="1591"/>
      <c r="L160" s="1513"/>
    </row>
    <row r="161" spans="1:12" ht="72">
      <c r="A161" s="883" t="s">
        <v>2340</v>
      </c>
      <c r="B161" s="426" t="s">
        <v>2341</v>
      </c>
      <c r="C161" s="10" t="s">
        <v>48</v>
      </c>
      <c r="D161" s="10" t="s">
        <v>48</v>
      </c>
      <c r="E161" s="10" t="s">
        <v>48</v>
      </c>
      <c r="F161" s="10" t="s">
        <v>48</v>
      </c>
      <c r="G161" s="10" t="s">
        <v>48</v>
      </c>
      <c r="H161" s="10">
        <v>8</v>
      </c>
      <c r="I161" s="10" t="s">
        <v>839</v>
      </c>
      <c r="J161" s="554" t="s">
        <v>2055</v>
      </c>
      <c r="K161" s="1591"/>
      <c r="L161" s="1513"/>
    </row>
    <row r="162" spans="1:12">
      <c r="A162" s="883" t="s">
        <v>2342</v>
      </c>
      <c r="B162" s="426" t="s">
        <v>2333</v>
      </c>
      <c r="C162" s="10" t="s">
        <v>48</v>
      </c>
      <c r="D162" s="10" t="s">
        <v>48</v>
      </c>
      <c r="E162" s="10" t="s">
        <v>48</v>
      </c>
      <c r="F162" s="10" t="s">
        <v>48</v>
      </c>
      <c r="G162" s="10" t="s">
        <v>48</v>
      </c>
      <c r="H162" s="10">
        <v>32</v>
      </c>
      <c r="I162" s="425" t="s">
        <v>2137</v>
      </c>
      <c r="J162" s="554" t="s">
        <v>2055</v>
      </c>
      <c r="K162" s="1591"/>
      <c r="L162" s="1513"/>
    </row>
    <row r="163" spans="1:12" ht="72">
      <c r="A163" s="883" t="s">
        <v>2343</v>
      </c>
      <c r="B163" s="426" t="s">
        <v>2344</v>
      </c>
      <c r="C163" s="10" t="s">
        <v>48</v>
      </c>
      <c r="D163" s="10" t="s">
        <v>48</v>
      </c>
      <c r="E163" s="10" t="s">
        <v>48</v>
      </c>
      <c r="F163" s="10" t="s">
        <v>48</v>
      </c>
      <c r="G163" s="10" t="s">
        <v>48</v>
      </c>
      <c r="H163" s="10">
        <v>8</v>
      </c>
      <c r="I163" s="10" t="s">
        <v>839</v>
      </c>
      <c r="J163" s="554" t="s">
        <v>2055</v>
      </c>
      <c r="K163" s="1591"/>
      <c r="L163" s="1513"/>
    </row>
    <row r="164" spans="1:12" ht="28.8">
      <c r="A164" s="883" t="s">
        <v>2345</v>
      </c>
      <c r="B164" s="426" t="s">
        <v>2346</v>
      </c>
      <c r="C164" s="10" t="s">
        <v>48</v>
      </c>
      <c r="D164" s="10" t="s">
        <v>48</v>
      </c>
      <c r="E164" s="10" t="s">
        <v>48</v>
      </c>
      <c r="F164" s="10" t="s">
        <v>48</v>
      </c>
      <c r="G164" s="10" t="s">
        <v>48</v>
      </c>
      <c r="H164" s="10">
        <v>32</v>
      </c>
      <c r="I164" s="10" t="s">
        <v>1800</v>
      </c>
      <c r="J164" s="554" t="s">
        <v>2055</v>
      </c>
      <c r="K164" s="1591"/>
      <c r="L164" s="1513"/>
    </row>
    <row r="165" spans="1:12" ht="72">
      <c r="A165" s="883" t="s">
        <v>2347</v>
      </c>
      <c r="B165" s="426" t="s">
        <v>2348</v>
      </c>
      <c r="C165" s="10" t="s">
        <v>48</v>
      </c>
      <c r="D165" s="10" t="s">
        <v>48</v>
      </c>
      <c r="E165" s="10" t="s">
        <v>48</v>
      </c>
      <c r="F165" s="10" t="s">
        <v>48</v>
      </c>
      <c r="G165" s="10" t="s">
        <v>48</v>
      </c>
      <c r="H165" s="10">
        <v>8</v>
      </c>
      <c r="I165" s="10" t="s">
        <v>839</v>
      </c>
      <c r="J165" s="554" t="s">
        <v>2055</v>
      </c>
      <c r="K165" s="1591"/>
      <c r="L165" s="1513"/>
    </row>
    <row r="166" spans="1:12" ht="28.8">
      <c r="A166" s="883" t="s">
        <v>2349</v>
      </c>
      <c r="B166" s="426" t="s">
        <v>2346</v>
      </c>
      <c r="C166" s="10" t="s">
        <v>48</v>
      </c>
      <c r="D166" s="10" t="s">
        <v>48</v>
      </c>
      <c r="E166" s="10" t="s">
        <v>48</v>
      </c>
      <c r="F166" s="10" t="s">
        <v>48</v>
      </c>
      <c r="G166" s="10" t="s">
        <v>48</v>
      </c>
      <c r="H166" s="10">
        <v>32</v>
      </c>
      <c r="I166" s="10" t="s">
        <v>1800</v>
      </c>
      <c r="J166" s="554" t="s">
        <v>2055</v>
      </c>
      <c r="K166" s="1591"/>
      <c r="L166" s="1513"/>
    </row>
    <row r="167" spans="1:12" ht="72">
      <c r="A167" s="883" t="s">
        <v>2350</v>
      </c>
      <c r="B167" s="426" t="s">
        <v>2351</v>
      </c>
      <c r="C167" s="10" t="s">
        <v>48</v>
      </c>
      <c r="D167" s="10" t="s">
        <v>48</v>
      </c>
      <c r="E167" s="10" t="s">
        <v>48</v>
      </c>
      <c r="F167" s="10" t="s">
        <v>48</v>
      </c>
      <c r="G167" s="10" t="s">
        <v>48</v>
      </c>
      <c r="H167" s="10">
        <v>8</v>
      </c>
      <c r="I167" s="10" t="s">
        <v>839</v>
      </c>
      <c r="J167" s="554" t="s">
        <v>2055</v>
      </c>
      <c r="K167" s="1591"/>
      <c r="L167" s="1513"/>
    </row>
    <row r="168" spans="1:12" ht="28.8">
      <c r="A168" s="883" t="s">
        <v>2352</v>
      </c>
      <c r="B168" s="426" t="s">
        <v>2346</v>
      </c>
      <c r="C168" s="10" t="s">
        <v>48</v>
      </c>
      <c r="D168" s="10" t="s">
        <v>48</v>
      </c>
      <c r="E168" s="10" t="s">
        <v>48</v>
      </c>
      <c r="F168" s="10" t="s">
        <v>48</v>
      </c>
      <c r="G168" s="10" t="s">
        <v>48</v>
      </c>
      <c r="H168" s="10">
        <v>32</v>
      </c>
      <c r="I168" s="10" t="s">
        <v>1800</v>
      </c>
      <c r="J168" s="554" t="s">
        <v>2055</v>
      </c>
      <c r="K168" s="1591"/>
      <c r="L168" s="1513"/>
    </row>
    <row r="169" spans="1:12" ht="72">
      <c r="A169" s="883" t="s">
        <v>2353</v>
      </c>
      <c r="B169" s="426" t="s">
        <v>2354</v>
      </c>
      <c r="C169" s="10" t="s">
        <v>48</v>
      </c>
      <c r="D169" s="10" t="s">
        <v>48</v>
      </c>
      <c r="E169" s="10" t="s">
        <v>48</v>
      </c>
      <c r="F169" s="10" t="s">
        <v>48</v>
      </c>
      <c r="G169" s="10" t="s">
        <v>48</v>
      </c>
      <c r="H169" s="10">
        <v>8</v>
      </c>
      <c r="I169" s="10" t="s">
        <v>839</v>
      </c>
      <c r="J169" s="554" t="s">
        <v>2055</v>
      </c>
      <c r="K169" s="1591"/>
      <c r="L169" s="1513"/>
    </row>
    <row r="170" spans="1:12" ht="28.8">
      <c r="A170" s="883" t="s">
        <v>2355</v>
      </c>
      <c r="B170" s="426" t="s">
        <v>2346</v>
      </c>
      <c r="C170" s="10" t="s">
        <v>48</v>
      </c>
      <c r="D170" s="10" t="s">
        <v>48</v>
      </c>
      <c r="E170" s="10" t="s">
        <v>48</v>
      </c>
      <c r="F170" s="10" t="s">
        <v>48</v>
      </c>
      <c r="G170" s="10" t="s">
        <v>48</v>
      </c>
      <c r="H170" s="10">
        <v>32</v>
      </c>
      <c r="I170" s="10" t="s">
        <v>1800</v>
      </c>
      <c r="J170" s="554" t="s">
        <v>2055</v>
      </c>
      <c r="K170" s="1591"/>
      <c r="L170" s="1513"/>
    </row>
    <row r="171" spans="1:12" ht="72">
      <c r="A171" s="883" t="s">
        <v>2356</v>
      </c>
      <c r="B171" s="426" t="s">
        <v>2357</v>
      </c>
      <c r="C171" s="10" t="s">
        <v>48</v>
      </c>
      <c r="D171" s="10" t="s">
        <v>48</v>
      </c>
      <c r="E171" s="10" t="s">
        <v>48</v>
      </c>
      <c r="F171" s="10" t="s">
        <v>48</v>
      </c>
      <c r="G171" s="10" t="s">
        <v>48</v>
      </c>
      <c r="H171" s="10">
        <v>8</v>
      </c>
      <c r="I171" s="10" t="s">
        <v>839</v>
      </c>
      <c r="J171" s="554" t="s">
        <v>2055</v>
      </c>
      <c r="K171" s="1591"/>
      <c r="L171" s="1513"/>
    </row>
    <row r="172" spans="1:12" ht="28.8">
      <c r="A172" s="883" t="s">
        <v>2358</v>
      </c>
      <c r="B172" s="426" t="s">
        <v>2346</v>
      </c>
      <c r="C172" s="10" t="s">
        <v>48</v>
      </c>
      <c r="D172" s="10" t="s">
        <v>48</v>
      </c>
      <c r="E172" s="10" t="s">
        <v>48</v>
      </c>
      <c r="F172" s="10" t="s">
        <v>48</v>
      </c>
      <c r="G172" s="10" t="s">
        <v>48</v>
      </c>
      <c r="H172" s="10">
        <v>32</v>
      </c>
      <c r="I172" s="10" t="s">
        <v>1800</v>
      </c>
      <c r="J172" s="554" t="s">
        <v>2055</v>
      </c>
      <c r="K172" s="1591"/>
      <c r="L172" s="1513"/>
    </row>
    <row r="173" spans="1:12" ht="72">
      <c r="A173" s="883" t="s">
        <v>2359</v>
      </c>
      <c r="B173" s="426" t="s">
        <v>2360</v>
      </c>
      <c r="C173" s="10" t="s">
        <v>48</v>
      </c>
      <c r="D173" s="10" t="s">
        <v>48</v>
      </c>
      <c r="E173" s="10" t="s">
        <v>48</v>
      </c>
      <c r="F173" s="10" t="s">
        <v>48</v>
      </c>
      <c r="G173" s="10" t="s">
        <v>48</v>
      </c>
      <c r="H173" s="10">
        <v>8</v>
      </c>
      <c r="I173" s="10" t="s">
        <v>839</v>
      </c>
      <c r="J173" s="554" t="s">
        <v>2055</v>
      </c>
      <c r="K173" s="1591"/>
      <c r="L173" s="1513"/>
    </row>
    <row r="174" spans="1:12" ht="28.8">
      <c r="A174" s="883" t="s">
        <v>2361</v>
      </c>
      <c r="B174" s="426" t="s">
        <v>2346</v>
      </c>
      <c r="C174" s="10" t="s">
        <v>48</v>
      </c>
      <c r="D174" s="10" t="s">
        <v>48</v>
      </c>
      <c r="E174" s="10" t="s">
        <v>48</v>
      </c>
      <c r="F174" s="10" t="s">
        <v>48</v>
      </c>
      <c r="G174" s="10" t="s">
        <v>48</v>
      </c>
      <c r="H174" s="10">
        <v>32</v>
      </c>
      <c r="I174" s="10" t="s">
        <v>1800</v>
      </c>
      <c r="J174" s="554" t="s">
        <v>2055</v>
      </c>
      <c r="K174" s="1591"/>
      <c r="L174" s="1513"/>
    </row>
    <row r="175" spans="1:12" ht="72">
      <c r="A175" s="883" t="s">
        <v>2362</v>
      </c>
      <c r="B175" s="426" t="s">
        <v>2363</v>
      </c>
      <c r="C175" s="10" t="s">
        <v>48</v>
      </c>
      <c r="D175" s="10" t="s">
        <v>48</v>
      </c>
      <c r="E175" s="10" t="s">
        <v>48</v>
      </c>
      <c r="F175" s="10" t="s">
        <v>48</v>
      </c>
      <c r="G175" s="10" t="s">
        <v>48</v>
      </c>
      <c r="H175" s="10">
        <v>8</v>
      </c>
      <c r="I175" s="10" t="s">
        <v>839</v>
      </c>
      <c r="J175" s="554" t="s">
        <v>2055</v>
      </c>
      <c r="K175" s="1591"/>
      <c r="L175" s="1513"/>
    </row>
    <row r="176" spans="1:12" ht="28.8">
      <c r="A176" s="883" t="s">
        <v>2364</v>
      </c>
      <c r="B176" s="426" t="s">
        <v>2346</v>
      </c>
      <c r="C176" s="10" t="s">
        <v>48</v>
      </c>
      <c r="D176" s="10" t="s">
        <v>48</v>
      </c>
      <c r="E176" s="10" t="s">
        <v>48</v>
      </c>
      <c r="F176" s="10" t="s">
        <v>48</v>
      </c>
      <c r="G176" s="10" t="s">
        <v>48</v>
      </c>
      <c r="H176" s="10">
        <v>32</v>
      </c>
      <c r="I176" s="10" t="s">
        <v>1800</v>
      </c>
      <c r="J176" s="554" t="s">
        <v>2055</v>
      </c>
      <c r="K176" s="1591"/>
      <c r="L176" s="1513"/>
    </row>
    <row r="177" spans="1:12" ht="72">
      <c r="A177" s="883" t="s">
        <v>2365</v>
      </c>
      <c r="B177" s="426" t="s">
        <v>2366</v>
      </c>
      <c r="C177" s="10" t="s">
        <v>48</v>
      </c>
      <c r="D177" s="10" t="s">
        <v>48</v>
      </c>
      <c r="E177" s="10" t="s">
        <v>48</v>
      </c>
      <c r="F177" s="10" t="s">
        <v>48</v>
      </c>
      <c r="G177" s="10" t="s">
        <v>48</v>
      </c>
      <c r="H177" s="10">
        <v>8</v>
      </c>
      <c r="I177" s="10" t="s">
        <v>839</v>
      </c>
      <c r="J177" s="554" t="s">
        <v>2055</v>
      </c>
      <c r="K177" s="1591"/>
      <c r="L177" s="1513"/>
    </row>
    <row r="178" spans="1:12" ht="28.8">
      <c r="A178" s="883" t="s">
        <v>2367</v>
      </c>
      <c r="B178" s="426" t="s">
        <v>2346</v>
      </c>
      <c r="C178" s="10" t="s">
        <v>48</v>
      </c>
      <c r="D178" s="10" t="s">
        <v>48</v>
      </c>
      <c r="E178" s="10" t="s">
        <v>48</v>
      </c>
      <c r="F178" s="10" t="s">
        <v>48</v>
      </c>
      <c r="G178" s="10" t="s">
        <v>48</v>
      </c>
      <c r="H178" s="10">
        <v>32</v>
      </c>
      <c r="I178" s="10" t="s">
        <v>1800</v>
      </c>
      <c r="J178" s="554" t="s">
        <v>2055</v>
      </c>
      <c r="K178" s="1591"/>
      <c r="L178" s="1513"/>
    </row>
    <row r="179" spans="1:12" ht="72">
      <c r="A179" s="883" t="s">
        <v>2368</v>
      </c>
      <c r="B179" s="426" t="s">
        <v>2369</v>
      </c>
      <c r="C179" s="10" t="s">
        <v>48</v>
      </c>
      <c r="D179" s="10" t="s">
        <v>48</v>
      </c>
      <c r="E179" s="10" t="s">
        <v>48</v>
      </c>
      <c r="F179" s="10" t="s">
        <v>48</v>
      </c>
      <c r="G179" s="10" t="s">
        <v>48</v>
      </c>
      <c r="H179" s="10">
        <v>8</v>
      </c>
      <c r="I179" s="10" t="s">
        <v>839</v>
      </c>
      <c r="J179" s="554" t="s">
        <v>2055</v>
      </c>
      <c r="K179" s="1591"/>
      <c r="L179" s="1513"/>
    </row>
    <row r="180" spans="1:12" ht="28.8">
      <c r="A180" s="883" t="s">
        <v>2370</v>
      </c>
      <c r="B180" s="426" t="s">
        <v>2371</v>
      </c>
      <c r="C180" s="10" t="s">
        <v>2106</v>
      </c>
      <c r="D180" s="10">
        <v>0</v>
      </c>
      <c r="E180" s="10">
        <v>65535</v>
      </c>
      <c r="F180" s="9" t="s">
        <v>2372</v>
      </c>
      <c r="G180" s="702">
        <v>65535</v>
      </c>
      <c r="H180" s="10">
        <v>16</v>
      </c>
      <c r="I180" s="10" t="s">
        <v>991</v>
      </c>
      <c r="J180" s="554" t="s">
        <v>2055</v>
      </c>
      <c r="K180" s="1591"/>
      <c r="L180" s="1513"/>
    </row>
    <row r="181" spans="1:12" ht="72">
      <c r="A181" s="883" t="s">
        <v>2373</v>
      </c>
      <c r="B181" s="426" t="s">
        <v>2374</v>
      </c>
      <c r="C181" s="10" t="s">
        <v>48</v>
      </c>
      <c r="D181" s="10" t="s">
        <v>48</v>
      </c>
      <c r="E181" s="10" t="s">
        <v>48</v>
      </c>
      <c r="F181" s="10" t="s">
        <v>48</v>
      </c>
      <c r="G181" s="10" t="s">
        <v>48</v>
      </c>
      <c r="H181" s="10">
        <v>8</v>
      </c>
      <c r="I181" s="10" t="s">
        <v>839</v>
      </c>
      <c r="J181" s="554" t="s">
        <v>2055</v>
      </c>
      <c r="K181" s="1591"/>
      <c r="L181" s="1513"/>
    </row>
    <row r="182" spans="1:12" ht="28.8">
      <c r="A182" s="883" t="s">
        <v>2375</v>
      </c>
      <c r="B182" s="426" t="s">
        <v>2371</v>
      </c>
      <c r="C182" s="10" t="s">
        <v>2106</v>
      </c>
      <c r="D182" s="10">
        <v>0</v>
      </c>
      <c r="E182" s="10">
        <v>65535</v>
      </c>
      <c r="F182" s="9" t="s">
        <v>2372</v>
      </c>
      <c r="G182" s="702">
        <v>65535</v>
      </c>
      <c r="H182" s="10">
        <v>16</v>
      </c>
      <c r="I182" s="10" t="s">
        <v>991</v>
      </c>
      <c r="J182" s="554" t="s">
        <v>2055</v>
      </c>
      <c r="K182" s="1591"/>
      <c r="L182" s="1513"/>
    </row>
    <row r="183" spans="1:12" ht="72">
      <c r="A183" s="883" t="s">
        <v>2376</v>
      </c>
      <c r="B183" s="426" t="s">
        <v>2377</v>
      </c>
      <c r="C183" s="10" t="s">
        <v>48</v>
      </c>
      <c r="D183" s="10" t="s">
        <v>48</v>
      </c>
      <c r="E183" s="10" t="s">
        <v>48</v>
      </c>
      <c r="F183" s="10" t="s">
        <v>48</v>
      </c>
      <c r="G183" s="10" t="s">
        <v>48</v>
      </c>
      <c r="H183" s="10">
        <v>8</v>
      </c>
      <c r="I183" s="10" t="s">
        <v>839</v>
      </c>
      <c r="J183" s="554" t="s">
        <v>2055</v>
      </c>
      <c r="K183" s="1591"/>
      <c r="L183" s="1513"/>
    </row>
    <row r="184" spans="1:12" ht="28.8">
      <c r="A184" s="883" t="s">
        <v>2378</v>
      </c>
      <c r="B184" s="426" t="s">
        <v>2371</v>
      </c>
      <c r="C184" s="10" t="s">
        <v>2106</v>
      </c>
      <c r="D184" s="10">
        <v>0</v>
      </c>
      <c r="E184" s="10">
        <v>65535</v>
      </c>
      <c r="F184" s="9" t="s">
        <v>2372</v>
      </c>
      <c r="G184" s="702">
        <v>65535</v>
      </c>
      <c r="H184" s="10">
        <v>16</v>
      </c>
      <c r="I184" s="10" t="s">
        <v>991</v>
      </c>
      <c r="J184" s="554" t="s">
        <v>2055</v>
      </c>
      <c r="K184" s="1591"/>
      <c r="L184" s="1513"/>
    </row>
    <row r="185" spans="1:12" ht="72">
      <c r="A185" s="883" t="s">
        <v>2379</v>
      </c>
      <c r="B185" s="426" t="s">
        <v>2380</v>
      </c>
      <c r="C185" s="10" t="s">
        <v>48</v>
      </c>
      <c r="D185" s="10" t="s">
        <v>48</v>
      </c>
      <c r="E185" s="10" t="s">
        <v>48</v>
      </c>
      <c r="F185" s="10" t="s">
        <v>48</v>
      </c>
      <c r="G185" s="10" t="s">
        <v>48</v>
      </c>
      <c r="H185" s="10">
        <v>8</v>
      </c>
      <c r="I185" s="10" t="s">
        <v>839</v>
      </c>
      <c r="J185" s="554" t="s">
        <v>2055</v>
      </c>
      <c r="K185" s="1591"/>
      <c r="L185" s="1513"/>
    </row>
    <row r="186" spans="1:12" ht="43.2">
      <c r="A186" s="883" t="s">
        <v>2381</v>
      </c>
      <c r="B186" s="426" t="s">
        <v>2382</v>
      </c>
      <c r="C186" s="10" t="s">
        <v>48</v>
      </c>
      <c r="D186" s="10" t="s">
        <v>48</v>
      </c>
      <c r="E186" s="10" t="s">
        <v>48</v>
      </c>
      <c r="F186" s="10" t="s">
        <v>48</v>
      </c>
      <c r="G186" s="10" t="s">
        <v>48</v>
      </c>
      <c r="H186" s="10">
        <v>32</v>
      </c>
      <c r="I186" s="425" t="s">
        <v>2383</v>
      </c>
      <c r="J186" s="554" t="s">
        <v>2055</v>
      </c>
      <c r="K186" s="1591"/>
      <c r="L186" s="1513"/>
    </row>
    <row r="187" spans="1:12" ht="72">
      <c r="A187" s="883" t="s">
        <v>2384</v>
      </c>
      <c r="B187" s="426" t="s">
        <v>2385</v>
      </c>
      <c r="C187" s="10" t="s">
        <v>48</v>
      </c>
      <c r="D187" s="10" t="s">
        <v>48</v>
      </c>
      <c r="E187" s="10" t="s">
        <v>48</v>
      </c>
      <c r="F187" s="10" t="s">
        <v>48</v>
      </c>
      <c r="G187" s="10" t="s">
        <v>48</v>
      </c>
      <c r="H187" s="10">
        <v>8</v>
      </c>
      <c r="I187" s="10" t="s">
        <v>839</v>
      </c>
      <c r="J187" s="554" t="s">
        <v>2055</v>
      </c>
      <c r="K187" s="1591"/>
      <c r="L187" s="1513"/>
    </row>
    <row r="188" spans="1:12" ht="43.2">
      <c r="A188" s="883" t="s">
        <v>2386</v>
      </c>
      <c r="B188" s="426" t="s">
        <v>2382</v>
      </c>
      <c r="C188" s="10" t="s">
        <v>48</v>
      </c>
      <c r="D188" s="10" t="s">
        <v>48</v>
      </c>
      <c r="E188" s="10" t="s">
        <v>48</v>
      </c>
      <c r="F188" s="10" t="s">
        <v>48</v>
      </c>
      <c r="G188" s="10" t="s">
        <v>48</v>
      </c>
      <c r="H188" s="10">
        <v>32</v>
      </c>
      <c r="I188" s="425" t="s">
        <v>2383</v>
      </c>
      <c r="J188" s="554" t="s">
        <v>2055</v>
      </c>
      <c r="K188" s="1591"/>
      <c r="L188" s="1513"/>
    </row>
    <row r="189" spans="1:12" ht="72">
      <c r="A189" s="883" t="s">
        <v>2387</v>
      </c>
      <c r="B189" s="426" t="s">
        <v>2388</v>
      </c>
      <c r="C189" s="10" t="s">
        <v>48</v>
      </c>
      <c r="D189" s="10" t="s">
        <v>48</v>
      </c>
      <c r="E189" s="10" t="s">
        <v>48</v>
      </c>
      <c r="F189" s="10" t="s">
        <v>48</v>
      </c>
      <c r="G189" s="10" t="s">
        <v>48</v>
      </c>
      <c r="H189" s="10">
        <v>8</v>
      </c>
      <c r="I189" s="10" t="s">
        <v>839</v>
      </c>
      <c r="J189" s="554" t="s">
        <v>2055</v>
      </c>
      <c r="K189" s="1591"/>
      <c r="L189" s="1513"/>
    </row>
    <row r="190" spans="1:12" ht="43.2">
      <c r="A190" s="883" t="s">
        <v>2389</v>
      </c>
      <c r="B190" s="426" t="s">
        <v>2382</v>
      </c>
      <c r="C190" s="10" t="s">
        <v>48</v>
      </c>
      <c r="D190" s="10" t="s">
        <v>48</v>
      </c>
      <c r="E190" s="10" t="s">
        <v>48</v>
      </c>
      <c r="F190" s="10" t="s">
        <v>48</v>
      </c>
      <c r="G190" s="10" t="s">
        <v>48</v>
      </c>
      <c r="H190" s="10">
        <v>32</v>
      </c>
      <c r="I190" s="425" t="s">
        <v>2383</v>
      </c>
      <c r="J190" s="554" t="s">
        <v>2055</v>
      </c>
      <c r="K190" s="1591"/>
      <c r="L190" s="1513"/>
    </row>
    <row r="191" spans="1:12" ht="72">
      <c r="A191" s="883" t="s">
        <v>2390</v>
      </c>
      <c r="B191" s="426" t="s">
        <v>2391</v>
      </c>
      <c r="C191" s="10" t="s">
        <v>48</v>
      </c>
      <c r="D191" s="10" t="s">
        <v>48</v>
      </c>
      <c r="E191" s="10" t="s">
        <v>48</v>
      </c>
      <c r="F191" s="10" t="s">
        <v>48</v>
      </c>
      <c r="G191" s="10" t="s">
        <v>48</v>
      </c>
      <c r="H191" s="10">
        <v>8</v>
      </c>
      <c r="I191" s="10" t="s">
        <v>839</v>
      </c>
      <c r="J191" s="554" t="s">
        <v>2055</v>
      </c>
      <c r="K191" s="1591"/>
      <c r="L191" s="1513"/>
    </row>
    <row r="192" spans="1:12" ht="43.2">
      <c r="A192" s="883" t="s">
        <v>2392</v>
      </c>
      <c r="B192" s="426" t="s">
        <v>2382</v>
      </c>
      <c r="C192" s="10" t="s">
        <v>48</v>
      </c>
      <c r="D192" s="10" t="s">
        <v>48</v>
      </c>
      <c r="E192" s="10" t="s">
        <v>48</v>
      </c>
      <c r="F192" s="10" t="s">
        <v>48</v>
      </c>
      <c r="G192" s="10" t="s">
        <v>48</v>
      </c>
      <c r="H192" s="10">
        <v>32</v>
      </c>
      <c r="I192" s="425" t="s">
        <v>2383</v>
      </c>
      <c r="J192" s="554" t="s">
        <v>2055</v>
      </c>
      <c r="K192" s="1591"/>
      <c r="L192" s="1513"/>
    </row>
    <row r="193" spans="1:12" ht="72">
      <c r="A193" s="883" t="s">
        <v>2393</v>
      </c>
      <c r="B193" s="426" t="s">
        <v>2394</v>
      </c>
      <c r="C193" s="10" t="s">
        <v>48</v>
      </c>
      <c r="D193" s="10" t="s">
        <v>48</v>
      </c>
      <c r="E193" s="10" t="s">
        <v>48</v>
      </c>
      <c r="F193" s="10" t="s">
        <v>48</v>
      </c>
      <c r="G193" s="10" t="s">
        <v>48</v>
      </c>
      <c r="H193" s="10">
        <v>8</v>
      </c>
      <c r="I193" s="10" t="s">
        <v>839</v>
      </c>
      <c r="J193" s="554" t="s">
        <v>2055</v>
      </c>
      <c r="K193" s="1591"/>
      <c r="L193" s="1513"/>
    </row>
    <row r="194" spans="1:12" ht="43.2">
      <c r="A194" s="883" t="s">
        <v>2395</v>
      </c>
      <c r="B194" s="426" t="s">
        <v>2382</v>
      </c>
      <c r="C194" s="10" t="s">
        <v>48</v>
      </c>
      <c r="D194" s="10" t="s">
        <v>48</v>
      </c>
      <c r="E194" s="10" t="s">
        <v>48</v>
      </c>
      <c r="F194" s="10" t="s">
        <v>48</v>
      </c>
      <c r="G194" s="10" t="s">
        <v>48</v>
      </c>
      <c r="H194" s="10">
        <v>32</v>
      </c>
      <c r="I194" s="425" t="s">
        <v>2383</v>
      </c>
      <c r="J194" s="554" t="s">
        <v>2055</v>
      </c>
      <c r="K194" s="1591"/>
      <c r="L194" s="1513"/>
    </row>
    <row r="195" spans="1:12" ht="72">
      <c r="A195" s="883" t="s">
        <v>2396</v>
      </c>
      <c r="B195" s="426" t="s">
        <v>2397</v>
      </c>
      <c r="C195" s="10" t="s">
        <v>48</v>
      </c>
      <c r="D195" s="10" t="s">
        <v>48</v>
      </c>
      <c r="E195" s="10" t="s">
        <v>48</v>
      </c>
      <c r="F195" s="10" t="s">
        <v>48</v>
      </c>
      <c r="G195" s="10" t="s">
        <v>48</v>
      </c>
      <c r="H195" s="10">
        <v>8</v>
      </c>
      <c r="I195" s="10" t="s">
        <v>839</v>
      </c>
      <c r="J195" s="554" t="s">
        <v>2055</v>
      </c>
      <c r="K195" s="1591"/>
      <c r="L195" s="1513"/>
    </row>
    <row r="196" spans="1:12" ht="43.2">
      <c r="A196" s="883" t="s">
        <v>2398</v>
      </c>
      <c r="B196" s="426" t="s">
        <v>2382</v>
      </c>
      <c r="C196" s="10" t="s">
        <v>48</v>
      </c>
      <c r="D196" s="10" t="s">
        <v>48</v>
      </c>
      <c r="E196" s="10" t="s">
        <v>48</v>
      </c>
      <c r="F196" s="10" t="s">
        <v>48</v>
      </c>
      <c r="G196" s="10" t="s">
        <v>48</v>
      </c>
      <c r="H196" s="10">
        <v>32</v>
      </c>
      <c r="I196" s="425" t="s">
        <v>2383</v>
      </c>
      <c r="J196" s="554" t="s">
        <v>2055</v>
      </c>
      <c r="K196" s="1591"/>
      <c r="L196" s="1513"/>
    </row>
    <row r="197" spans="1:12" ht="72">
      <c r="A197" s="883" t="s">
        <v>2399</v>
      </c>
      <c r="B197" s="426" t="s">
        <v>2400</v>
      </c>
      <c r="C197" s="10" t="s">
        <v>48</v>
      </c>
      <c r="D197" s="10" t="s">
        <v>48</v>
      </c>
      <c r="E197" s="10" t="s">
        <v>48</v>
      </c>
      <c r="F197" s="10" t="s">
        <v>48</v>
      </c>
      <c r="G197" s="10" t="s">
        <v>48</v>
      </c>
      <c r="H197" s="10">
        <v>8</v>
      </c>
      <c r="I197" s="10" t="s">
        <v>839</v>
      </c>
      <c r="J197" s="554" t="s">
        <v>2055</v>
      </c>
      <c r="K197" s="1591"/>
      <c r="L197" s="1513"/>
    </row>
    <row r="198" spans="1:12" ht="43.2">
      <c r="A198" s="883" t="s">
        <v>2401</v>
      </c>
      <c r="B198" s="426" t="s">
        <v>2382</v>
      </c>
      <c r="C198" s="10" t="s">
        <v>48</v>
      </c>
      <c r="D198" s="10" t="s">
        <v>48</v>
      </c>
      <c r="E198" s="10" t="s">
        <v>48</v>
      </c>
      <c r="F198" s="10" t="s">
        <v>48</v>
      </c>
      <c r="G198" s="10" t="s">
        <v>48</v>
      </c>
      <c r="H198" s="10">
        <v>32</v>
      </c>
      <c r="I198" s="425" t="s">
        <v>2383</v>
      </c>
      <c r="J198" s="554" t="s">
        <v>2055</v>
      </c>
      <c r="K198" s="1591"/>
      <c r="L198" s="1513"/>
    </row>
    <row r="199" spans="1:12" ht="72">
      <c r="A199" s="883" t="s">
        <v>2402</v>
      </c>
      <c r="B199" s="426" t="s">
        <v>2403</v>
      </c>
      <c r="C199" s="10" t="s">
        <v>48</v>
      </c>
      <c r="D199" s="10" t="s">
        <v>48</v>
      </c>
      <c r="E199" s="10" t="s">
        <v>48</v>
      </c>
      <c r="F199" s="10" t="s">
        <v>48</v>
      </c>
      <c r="G199" s="10" t="s">
        <v>48</v>
      </c>
      <c r="H199" s="10">
        <v>8</v>
      </c>
      <c r="I199" s="10" t="s">
        <v>839</v>
      </c>
      <c r="J199" s="554" t="s">
        <v>2055</v>
      </c>
      <c r="K199" s="1591"/>
      <c r="L199" s="1513"/>
    </row>
    <row r="200" spans="1:12" ht="43.2">
      <c r="A200" s="883" t="s">
        <v>2404</v>
      </c>
      <c r="B200" s="426" t="s">
        <v>2382</v>
      </c>
      <c r="C200" s="10" t="s">
        <v>48</v>
      </c>
      <c r="D200" s="10" t="s">
        <v>48</v>
      </c>
      <c r="E200" s="10" t="s">
        <v>48</v>
      </c>
      <c r="F200" s="10" t="s">
        <v>48</v>
      </c>
      <c r="G200" s="10" t="s">
        <v>48</v>
      </c>
      <c r="H200" s="10">
        <v>32</v>
      </c>
      <c r="I200" s="425" t="s">
        <v>2383</v>
      </c>
      <c r="J200" s="554" t="s">
        <v>2055</v>
      </c>
      <c r="K200" s="1591"/>
      <c r="L200" s="1513"/>
    </row>
    <row r="201" spans="1:12" ht="72">
      <c r="A201" s="883" t="s">
        <v>2405</v>
      </c>
      <c r="B201" s="426" t="s">
        <v>2406</v>
      </c>
      <c r="C201" s="10" t="s">
        <v>48</v>
      </c>
      <c r="D201" s="10" t="s">
        <v>48</v>
      </c>
      <c r="E201" s="10" t="s">
        <v>48</v>
      </c>
      <c r="F201" s="10" t="s">
        <v>48</v>
      </c>
      <c r="G201" s="10" t="s">
        <v>48</v>
      </c>
      <c r="H201" s="10">
        <v>8</v>
      </c>
      <c r="I201" s="10" t="s">
        <v>839</v>
      </c>
      <c r="J201" s="554" t="s">
        <v>2055</v>
      </c>
      <c r="K201" s="1591"/>
      <c r="L201" s="1513"/>
    </row>
    <row r="202" spans="1:12" ht="43.2">
      <c r="A202" s="883" t="s">
        <v>2407</v>
      </c>
      <c r="B202" s="426" t="s">
        <v>2382</v>
      </c>
      <c r="C202" s="10" t="s">
        <v>48</v>
      </c>
      <c r="D202" s="10" t="s">
        <v>48</v>
      </c>
      <c r="E202" s="10" t="s">
        <v>48</v>
      </c>
      <c r="F202" s="10" t="s">
        <v>48</v>
      </c>
      <c r="G202" s="10" t="s">
        <v>48</v>
      </c>
      <c r="H202" s="10">
        <v>32</v>
      </c>
      <c r="I202" s="425" t="s">
        <v>2383</v>
      </c>
      <c r="J202" s="554" t="s">
        <v>2055</v>
      </c>
      <c r="K202" s="1591"/>
      <c r="L202" s="1513"/>
    </row>
    <row r="203" spans="1:12" ht="72">
      <c r="A203" s="883" t="s">
        <v>2408</v>
      </c>
      <c r="B203" s="426" t="s">
        <v>2409</v>
      </c>
      <c r="C203" s="10" t="s">
        <v>48</v>
      </c>
      <c r="D203" s="10" t="s">
        <v>48</v>
      </c>
      <c r="E203" s="10" t="s">
        <v>48</v>
      </c>
      <c r="F203" s="10" t="s">
        <v>48</v>
      </c>
      <c r="G203" s="10" t="s">
        <v>48</v>
      </c>
      <c r="H203" s="10">
        <v>8</v>
      </c>
      <c r="I203" s="10" t="s">
        <v>839</v>
      </c>
      <c r="J203" s="554" t="s">
        <v>2055</v>
      </c>
      <c r="K203" s="1591"/>
      <c r="L203" s="1513"/>
    </row>
    <row r="204" spans="1:12" ht="43.2">
      <c r="A204" s="883" t="s">
        <v>2410</v>
      </c>
      <c r="B204" s="426" t="s">
        <v>2382</v>
      </c>
      <c r="C204" s="10" t="s">
        <v>48</v>
      </c>
      <c r="D204" s="10" t="s">
        <v>48</v>
      </c>
      <c r="E204" s="10" t="s">
        <v>48</v>
      </c>
      <c r="F204" s="10" t="s">
        <v>48</v>
      </c>
      <c r="G204" s="10" t="s">
        <v>48</v>
      </c>
      <c r="H204" s="10">
        <v>32</v>
      </c>
      <c r="I204" s="425" t="s">
        <v>2383</v>
      </c>
      <c r="J204" s="554" t="s">
        <v>2055</v>
      </c>
      <c r="K204" s="1591"/>
      <c r="L204" s="1513"/>
    </row>
    <row r="205" spans="1:12" ht="72">
      <c r="A205" s="883" t="s">
        <v>2411</v>
      </c>
      <c r="B205" s="426" t="s">
        <v>2412</v>
      </c>
      <c r="C205" s="10" t="s">
        <v>48</v>
      </c>
      <c r="D205" s="10" t="s">
        <v>48</v>
      </c>
      <c r="E205" s="10" t="s">
        <v>48</v>
      </c>
      <c r="F205" s="10" t="s">
        <v>48</v>
      </c>
      <c r="G205" s="10" t="s">
        <v>48</v>
      </c>
      <c r="H205" s="10">
        <v>8</v>
      </c>
      <c r="I205" s="10" t="s">
        <v>839</v>
      </c>
      <c r="J205" s="554" t="s">
        <v>2055</v>
      </c>
      <c r="K205" s="1591"/>
      <c r="L205" s="1513"/>
    </row>
    <row r="206" spans="1:12" ht="43.2">
      <c r="A206" s="883" t="s">
        <v>2413</v>
      </c>
      <c r="B206" s="426" t="s">
        <v>2382</v>
      </c>
      <c r="C206" s="10" t="s">
        <v>48</v>
      </c>
      <c r="D206" s="10" t="s">
        <v>48</v>
      </c>
      <c r="E206" s="10" t="s">
        <v>48</v>
      </c>
      <c r="F206" s="10" t="s">
        <v>48</v>
      </c>
      <c r="G206" s="10" t="s">
        <v>48</v>
      </c>
      <c r="H206" s="10">
        <v>32</v>
      </c>
      <c r="I206" s="425" t="s">
        <v>2383</v>
      </c>
      <c r="J206" s="554" t="s">
        <v>2055</v>
      </c>
      <c r="K206" s="1591"/>
      <c r="L206" s="1513"/>
    </row>
    <row r="207" spans="1:12" ht="72">
      <c r="A207" s="883" t="s">
        <v>2414</v>
      </c>
      <c r="B207" s="426" t="s">
        <v>2415</v>
      </c>
      <c r="C207" s="10" t="s">
        <v>48</v>
      </c>
      <c r="D207" s="10" t="s">
        <v>48</v>
      </c>
      <c r="E207" s="10" t="s">
        <v>48</v>
      </c>
      <c r="F207" s="10" t="s">
        <v>48</v>
      </c>
      <c r="G207" s="10" t="s">
        <v>48</v>
      </c>
      <c r="H207" s="10">
        <v>8</v>
      </c>
      <c r="I207" s="10" t="s">
        <v>839</v>
      </c>
      <c r="J207" s="554" t="s">
        <v>2055</v>
      </c>
      <c r="K207" s="1591"/>
      <c r="L207" s="1513"/>
    </row>
    <row r="208" spans="1:12" ht="43.2">
      <c r="A208" s="883" t="s">
        <v>2416</v>
      </c>
      <c r="B208" s="426" t="s">
        <v>2382</v>
      </c>
      <c r="C208" s="10" t="s">
        <v>48</v>
      </c>
      <c r="D208" s="10" t="s">
        <v>48</v>
      </c>
      <c r="E208" s="10" t="s">
        <v>48</v>
      </c>
      <c r="F208" s="10" t="s">
        <v>48</v>
      </c>
      <c r="G208" s="10" t="s">
        <v>48</v>
      </c>
      <c r="H208" s="10">
        <v>32</v>
      </c>
      <c r="I208" s="425" t="s">
        <v>2383</v>
      </c>
      <c r="J208" s="554" t="s">
        <v>2055</v>
      </c>
      <c r="K208" s="1591"/>
      <c r="L208" s="1513"/>
    </row>
    <row r="209" spans="1:12" ht="72">
      <c r="A209" s="883" t="s">
        <v>2417</v>
      </c>
      <c r="B209" s="426" t="s">
        <v>2418</v>
      </c>
      <c r="C209" s="10" t="s">
        <v>48</v>
      </c>
      <c r="D209" s="10" t="s">
        <v>48</v>
      </c>
      <c r="E209" s="10" t="s">
        <v>48</v>
      </c>
      <c r="F209" s="10" t="s">
        <v>48</v>
      </c>
      <c r="G209" s="10" t="s">
        <v>48</v>
      </c>
      <c r="H209" s="10">
        <v>8</v>
      </c>
      <c r="I209" s="10" t="s">
        <v>839</v>
      </c>
      <c r="J209" s="554" t="s">
        <v>2055</v>
      </c>
      <c r="K209" s="1591"/>
      <c r="L209" s="1513"/>
    </row>
    <row r="210" spans="1:12" ht="43.2">
      <c r="A210" s="883" t="s">
        <v>2419</v>
      </c>
      <c r="B210" s="426" t="s">
        <v>2382</v>
      </c>
      <c r="C210" s="10" t="s">
        <v>48</v>
      </c>
      <c r="D210" s="10" t="s">
        <v>48</v>
      </c>
      <c r="E210" s="10" t="s">
        <v>48</v>
      </c>
      <c r="F210" s="10" t="s">
        <v>48</v>
      </c>
      <c r="G210" s="10" t="s">
        <v>48</v>
      </c>
      <c r="H210" s="10">
        <v>32</v>
      </c>
      <c r="I210" s="425" t="s">
        <v>2383</v>
      </c>
      <c r="J210" s="554" t="s">
        <v>2055</v>
      </c>
      <c r="K210" s="1591"/>
      <c r="L210" s="1513"/>
    </row>
    <row r="211" spans="1:12" ht="72">
      <c r="A211" s="883" t="s">
        <v>2420</v>
      </c>
      <c r="B211" s="426" t="s">
        <v>2421</v>
      </c>
      <c r="C211" s="10" t="s">
        <v>48</v>
      </c>
      <c r="D211" s="10" t="s">
        <v>48</v>
      </c>
      <c r="E211" s="10" t="s">
        <v>48</v>
      </c>
      <c r="F211" s="10" t="s">
        <v>48</v>
      </c>
      <c r="G211" s="10" t="s">
        <v>48</v>
      </c>
      <c r="H211" s="10">
        <v>8</v>
      </c>
      <c r="I211" s="10" t="s">
        <v>839</v>
      </c>
      <c r="J211" s="554" t="s">
        <v>2055</v>
      </c>
      <c r="K211" s="1591"/>
      <c r="L211" s="1513"/>
    </row>
    <row r="212" spans="1:12" ht="43.2">
      <c r="A212" s="883" t="s">
        <v>2422</v>
      </c>
      <c r="B212" s="426" t="s">
        <v>2382</v>
      </c>
      <c r="C212" s="10" t="s">
        <v>48</v>
      </c>
      <c r="D212" s="10" t="s">
        <v>48</v>
      </c>
      <c r="E212" s="10" t="s">
        <v>48</v>
      </c>
      <c r="F212" s="10" t="s">
        <v>48</v>
      </c>
      <c r="G212" s="10" t="s">
        <v>48</v>
      </c>
      <c r="H212" s="10">
        <v>32</v>
      </c>
      <c r="I212" s="425" t="s">
        <v>2383</v>
      </c>
      <c r="J212" s="554" t="s">
        <v>2055</v>
      </c>
      <c r="K212" s="1591"/>
      <c r="L212" s="1513"/>
    </row>
    <row r="213" spans="1:12" ht="72">
      <c r="A213" s="883" t="s">
        <v>2423</v>
      </c>
      <c r="B213" s="426" t="s">
        <v>2424</v>
      </c>
      <c r="C213" s="10" t="s">
        <v>48</v>
      </c>
      <c r="D213" s="10" t="s">
        <v>48</v>
      </c>
      <c r="E213" s="10" t="s">
        <v>48</v>
      </c>
      <c r="F213" s="10" t="s">
        <v>48</v>
      </c>
      <c r="G213" s="10" t="s">
        <v>48</v>
      </c>
      <c r="H213" s="10">
        <v>8</v>
      </c>
      <c r="I213" s="10" t="s">
        <v>839</v>
      </c>
      <c r="J213" s="554" t="s">
        <v>2055</v>
      </c>
      <c r="K213" s="1591"/>
      <c r="L213" s="1513"/>
    </row>
    <row r="214" spans="1:12" ht="43.2">
      <c r="A214" s="883" t="s">
        <v>2425</v>
      </c>
      <c r="B214" s="426" t="s">
        <v>2382</v>
      </c>
      <c r="C214" s="10" t="s">
        <v>48</v>
      </c>
      <c r="D214" s="10" t="s">
        <v>48</v>
      </c>
      <c r="E214" s="10" t="s">
        <v>48</v>
      </c>
      <c r="F214" s="10" t="s">
        <v>48</v>
      </c>
      <c r="G214" s="10" t="s">
        <v>48</v>
      </c>
      <c r="H214" s="10">
        <v>32</v>
      </c>
      <c r="I214" s="425" t="s">
        <v>2383</v>
      </c>
      <c r="J214" s="554" t="s">
        <v>2055</v>
      </c>
      <c r="K214" s="1591"/>
      <c r="L214" s="1513"/>
    </row>
    <row r="215" spans="1:12" ht="72">
      <c r="A215" s="883" t="s">
        <v>2426</v>
      </c>
      <c r="B215" s="426" t="s">
        <v>2427</v>
      </c>
      <c r="C215" s="10" t="s">
        <v>48</v>
      </c>
      <c r="D215" s="10" t="s">
        <v>48</v>
      </c>
      <c r="E215" s="10" t="s">
        <v>48</v>
      </c>
      <c r="F215" s="10" t="s">
        <v>48</v>
      </c>
      <c r="G215" s="10" t="s">
        <v>48</v>
      </c>
      <c r="H215" s="10">
        <v>8</v>
      </c>
      <c r="I215" s="10" t="s">
        <v>839</v>
      </c>
      <c r="J215" s="554" t="s">
        <v>2055</v>
      </c>
      <c r="K215" s="1591"/>
      <c r="L215" s="1513"/>
    </row>
    <row r="216" spans="1:12" ht="43.2">
      <c r="A216" s="883" t="s">
        <v>2428</v>
      </c>
      <c r="B216" s="426" t="s">
        <v>2382</v>
      </c>
      <c r="C216" s="10" t="s">
        <v>48</v>
      </c>
      <c r="D216" s="10" t="s">
        <v>48</v>
      </c>
      <c r="E216" s="10" t="s">
        <v>48</v>
      </c>
      <c r="F216" s="10" t="s">
        <v>48</v>
      </c>
      <c r="G216" s="10" t="s">
        <v>48</v>
      </c>
      <c r="H216" s="10">
        <v>32</v>
      </c>
      <c r="I216" s="425" t="s">
        <v>2383</v>
      </c>
      <c r="J216" s="554" t="s">
        <v>2055</v>
      </c>
      <c r="K216" s="1591"/>
      <c r="L216" s="1513"/>
    </row>
    <row r="217" spans="1:12" ht="72">
      <c r="A217" s="883" t="s">
        <v>2429</v>
      </c>
      <c r="B217" s="426" t="s">
        <v>2430</v>
      </c>
      <c r="C217" s="10" t="s">
        <v>48</v>
      </c>
      <c r="D217" s="10" t="s">
        <v>48</v>
      </c>
      <c r="E217" s="10" t="s">
        <v>48</v>
      </c>
      <c r="F217" s="10" t="s">
        <v>48</v>
      </c>
      <c r="G217" s="10" t="s">
        <v>48</v>
      </c>
      <c r="H217" s="10">
        <v>8</v>
      </c>
      <c r="I217" s="10" t="s">
        <v>839</v>
      </c>
      <c r="J217" s="554" t="s">
        <v>2055</v>
      </c>
      <c r="K217" s="1591"/>
      <c r="L217" s="1513"/>
    </row>
    <row r="218" spans="1:12" ht="43.2">
      <c r="A218" s="883" t="s">
        <v>2431</v>
      </c>
      <c r="B218" s="426" t="s">
        <v>2382</v>
      </c>
      <c r="C218" s="10" t="s">
        <v>48</v>
      </c>
      <c r="D218" s="10" t="s">
        <v>48</v>
      </c>
      <c r="E218" s="10" t="s">
        <v>48</v>
      </c>
      <c r="F218" s="10" t="s">
        <v>48</v>
      </c>
      <c r="G218" s="10" t="s">
        <v>48</v>
      </c>
      <c r="H218" s="10">
        <v>32</v>
      </c>
      <c r="I218" s="425" t="s">
        <v>2383</v>
      </c>
      <c r="J218" s="554" t="s">
        <v>2055</v>
      </c>
      <c r="K218" s="1591"/>
      <c r="L218" s="1513"/>
    </row>
    <row r="219" spans="1:12" ht="72">
      <c r="A219" s="883" t="s">
        <v>2432</v>
      </c>
      <c r="B219" s="426" t="s">
        <v>2433</v>
      </c>
      <c r="C219" s="10" t="s">
        <v>48</v>
      </c>
      <c r="D219" s="10" t="s">
        <v>48</v>
      </c>
      <c r="E219" s="10" t="s">
        <v>48</v>
      </c>
      <c r="F219" s="10" t="s">
        <v>48</v>
      </c>
      <c r="G219" s="10" t="s">
        <v>48</v>
      </c>
      <c r="H219" s="10">
        <v>8</v>
      </c>
      <c r="I219" s="10" t="s">
        <v>839</v>
      </c>
      <c r="J219" s="554" t="s">
        <v>2055</v>
      </c>
      <c r="K219" s="1591"/>
      <c r="L219" s="1513"/>
    </row>
    <row r="220" spans="1:12" ht="43.2">
      <c r="A220" s="883" t="s">
        <v>2434</v>
      </c>
      <c r="B220" s="426" t="s">
        <v>2382</v>
      </c>
      <c r="C220" s="10" t="s">
        <v>48</v>
      </c>
      <c r="D220" s="10" t="s">
        <v>48</v>
      </c>
      <c r="E220" s="10" t="s">
        <v>48</v>
      </c>
      <c r="F220" s="10" t="s">
        <v>48</v>
      </c>
      <c r="G220" s="10" t="s">
        <v>48</v>
      </c>
      <c r="H220" s="10">
        <v>32</v>
      </c>
      <c r="I220" s="425" t="s">
        <v>2383</v>
      </c>
      <c r="J220" s="554" t="s">
        <v>2055</v>
      </c>
      <c r="K220" s="1591"/>
      <c r="L220" s="1513"/>
    </row>
    <row r="221" spans="1:12" ht="72">
      <c r="A221" s="883" t="s">
        <v>2435</v>
      </c>
      <c r="B221" s="426" t="s">
        <v>2436</v>
      </c>
      <c r="C221" s="10" t="s">
        <v>48</v>
      </c>
      <c r="D221" s="10" t="s">
        <v>48</v>
      </c>
      <c r="E221" s="10" t="s">
        <v>48</v>
      </c>
      <c r="F221" s="10" t="s">
        <v>48</v>
      </c>
      <c r="G221" s="10" t="s">
        <v>48</v>
      </c>
      <c r="H221" s="10">
        <v>8</v>
      </c>
      <c r="I221" s="10" t="s">
        <v>839</v>
      </c>
      <c r="J221" s="554" t="s">
        <v>2055</v>
      </c>
      <c r="K221" s="1591"/>
      <c r="L221" s="1513"/>
    </row>
    <row r="222" spans="1:12" ht="43.2">
      <c r="A222" s="883" t="s">
        <v>2437</v>
      </c>
      <c r="B222" s="426" t="s">
        <v>2382</v>
      </c>
      <c r="C222" s="10" t="s">
        <v>48</v>
      </c>
      <c r="D222" s="10" t="s">
        <v>48</v>
      </c>
      <c r="E222" s="10" t="s">
        <v>48</v>
      </c>
      <c r="F222" s="10" t="s">
        <v>48</v>
      </c>
      <c r="G222" s="10" t="s">
        <v>48</v>
      </c>
      <c r="H222" s="10">
        <v>32</v>
      </c>
      <c r="I222" s="425" t="s">
        <v>2383</v>
      </c>
      <c r="J222" s="554" t="s">
        <v>2055</v>
      </c>
      <c r="K222" s="1591"/>
      <c r="L222" s="1513"/>
    </row>
    <row r="223" spans="1:12" ht="72">
      <c r="A223" s="883" t="s">
        <v>2438</v>
      </c>
      <c r="B223" s="426" t="s">
        <v>2439</v>
      </c>
      <c r="C223" s="10" t="s">
        <v>48</v>
      </c>
      <c r="D223" s="10" t="s">
        <v>48</v>
      </c>
      <c r="E223" s="10" t="s">
        <v>48</v>
      </c>
      <c r="F223" s="10" t="s">
        <v>48</v>
      </c>
      <c r="G223" s="10" t="s">
        <v>48</v>
      </c>
      <c r="H223" s="10">
        <v>8</v>
      </c>
      <c r="I223" s="10" t="s">
        <v>839</v>
      </c>
      <c r="J223" s="554" t="s">
        <v>2055</v>
      </c>
      <c r="K223" s="1591"/>
      <c r="L223" s="1513"/>
    </row>
    <row r="224" spans="1:12" ht="43.2">
      <c r="A224" s="883" t="s">
        <v>2440</v>
      </c>
      <c r="B224" s="426" t="s">
        <v>2382</v>
      </c>
      <c r="C224" s="10" t="s">
        <v>48</v>
      </c>
      <c r="D224" s="10" t="s">
        <v>48</v>
      </c>
      <c r="E224" s="10" t="s">
        <v>48</v>
      </c>
      <c r="F224" s="10" t="s">
        <v>48</v>
      </c>
      <c r="G224" s="10" t="s">
        <v>48</v>
      </c>
      <c r="H224" s="10">
        <v>32</v>
      </c>
      <c r="I224" s="425" t="s">
        <v>2383</v>
      </c>
      <c r="J224" s="554" t="s">
        <v>2055</v>
      </c>
      <c r="K224" s="1591"/>
      <c r="L224" s="1513"/>
    </row>
    <row r="225" spans="1:12" ht="72">
      <c r="A225" s="883" t="s">
        <v>2441</v>
      </c>
      <c r="B225" s="426" t="s">
        <v>2442</v>
      </c>
      <c r="C225" s="10" t="s">
        <v>48</v>
      </c>
      <c r="D225" s="10" t="s">
        <v>48</v>
      </c>
      <c r="E225" s="10" t="s">
        <v>48</v>
      </c>
      <c r="F225" s="10" t="s">
        <v>48</v>
      </c>
      <c r="G225" s="10" t="s">
        <v>48</v>
      </c>
      <c r="H225" s="10">
        <v>8</v>
      </c>
      <c r="I225" s="10" t="s">
        <v>839</v>
      </c>
      <c r="J225" s="554" t="s">
        <v>2055</v>
      </c>
      <c r="K225" s="1591"/>
      <c r="L225" s="1513"/>
    </row>
    <row r="226" spans="1:12" ht="43.2">
      <c r="A226" s="883" t="s">
        <v>2443</v>
      </c>
      <c r="B226" s="426" t="s">
        <v>2382</v>
      </c>
      <c r="C226" s="10" t="s">
        <v>48</v>
      </c>
      <c r="D226" s="10" t="s">
        <v>48</v>
      </c>
      <c r="E226" s="10" t="s">
        <v>48</v>
      </c>
      <c r="F226" s="10" t="s">
        <v>48</v>
      </c>
      <c r="G226" s="10" t="s">
        <v>48</v>
      </c>
      <c r="H226" s="10">
        <v>32</v>
      </c>
      <c r="I226" s="425" t="s">
        <v>2383</v>
      </c>
      <c r="J226" s="554" t="s">
        <v>2055</v>
      </c>
      <c r="K226" s="1591"/>
      <c r="L226" s="1513"/>
    </row>
    <row r="227" spans="1:12" ht="72">
      <c r="A227" s="883" t="s">
        <v>2444</v>
      </c>
      <c r="B227" s="426" t="s">
        <v>2445</v>
      </c>
      <c r="C227" s="10" t="s">
        <v>48</v>
      </c>
      <c r="D227" s="10" t="s">
        <v>48</v>
      </c>
      <c r="E227" s="10" t="s">
        <v>48</v>
      </c>
      <c r="F227" s="10" t="s">
        <v>48</v>
      </c>
      <c r="G227" s="10" t="s">
        <v>48</v>
      </c>
      <c r="H227" s="10">
        <v>8</v>
      </c>
      <c r="I227" s="10" t="s">
        <v>839</v>
      </c>
      <c r="J227" s="554" t="s">
        <v>2055</v>
      </c>
      <c r="K227" s="1591"/>
      <c r="L227" s="1513"/>
    </row>
    <row r="228" spans="1:12" ht="43.2">
      <c r="A228" s="883" t="s">
        <v>2446</v>
      </c>
      <c r="B228" s="426" t="s">
        <v>2382</v>
      </c>
      <c r="C228" s="10" t="s">
        <v>48</v>
      </c>
      <c r="D228" s="10" t="s">
        <v>48</v>
      </c>
      <c r="E228" s="10" t="s">
        <v>48</v>
      </c>
      <c r="F228" s="10" t="s">
        <v>48</v>
      </c>
      <c r="G228" s="10" t="s">
        <v>48</v>
      </c>
      <c r="H228" s="10">
        <v>32</v>
      </c>
      <c r="I228" s="425" t="s">
        <v>2383</v>
      </c>
      <c r="J228" s="554" t="s">
        <v>2055</v>
      </c>
      <c r="K228" s="1591"/>
      <c r="L228" s="1513"/>
    </row>
    <row r="229" spans="1:12" ht="72">
      <c r="A229" s="883" t="s">
        <v>2447</v>
      </c>
      <c r="B229" s="426" t="s">
        <v>2448</v>
      </c>
      <c r="C229" s="10" t="s">
        <v>48</v>
      </c>
      <c r="D229" s="10" t="s">
        <v>48</v>
      </c>
      <c r="E229" s="10" t="s">
        <v>48</v>
      </c>
      <c r="F229" s="10" t="s">
        <v>48</v>
      </c>
      <c r="G229" s="10" t="s">
        <v>48</v>
      </c>
      <c r="H229" s="10">
        <v>8</v>
      </c>
      <c r="I229" s="10" t="s">
        <v>839</v>
      </c>
      <c r="J229" s="554" t="s">
        <v>2055</v>
      </c>
      <c r="K229" s="1591"/>
      <c r="L229" s="1513"/>
    </row>
    <row r="230" spans="1:12" ht="43.2">
      <c r="A230" s="883" t="s">
        <v>2449</v>
      </c>
      <c r="B230" s="426" t="s">
        <v>2382</v>
      </c>
      <c r="C230" s="10" t="s">
        <v>48</v>
      </c>
      <c r="D230" s="10" t="s">
        <v>48</v>
      </c>
      <c r="E230" s="10" t="s">
        <v>48</v>
      </c>
      <c r="F230" s="10" t="s">
        <v>48</v>
      </c>
      <c r="G230" s="10" t="s">
        <v>48</v>
      </c>
      <c r="H230" s="10">
        <v>32</v>
      </c>
      <c r="I230" s="425" t="s">
        <v>2383</v>
      </c>
      <c r="J230" s="554" t="s">
        <v>2055</v>
      </c>
      <c r="K230" s="1591"/>
      <c r="L230" s="1513"/>
    </row>
    <row r="231" spans="1:12" ht="72">
      <c r="A231" s="883" t="s">
        <v>2450</v>
      </c>
      <c r="B231" s="426" t="s">
        <v>2451</v>
      </c>
      <c r="C231" s="10" t="s">
        <v>48</v>
      </c>
      <c r="D231" s="10" t="s">
        <v>48</v>
      </c>
      <c r="E231" s="10" t="s">
        <v>48</v>
      </c>
      <c r="F231" s="10" t="s">
        <v>48</v>
      </c>
      <c r="G231" s="10" t="s">
        <v>48</v>
      </c>
      <c r="H231" s="10">
        <v>8</v>
      </c>
      <c r="I231" s="10" t="s">
        <v>839</v>
      </c>
      <c r="J231" s="554" t="s">
        <v>2055</v>
      </c>
      <c r="K231" s="1591"/>
      <c r="L231" s="1513"/>
    </row>
    <row r="232" spans="1:12" ht="43.2">
      <c r="A232" s="883" t="s">
        <v>2452</v>
      </c>
      <c r="B232" s="426" t="s">
        <v>2382</v>
      </c>
      <c r="C232" s="10" t="s">
        <v>48</v>
      </c>
      <c r="D232" s="10" t="s">
        <v>48</v>
      </c>
      <c r="E232" s="10" t="s">
        <v>48</v>
      </c>
      <c r="F232" s="10" t="s">
        <v>48</v>
      </c>
      <c r="G232" s="10" t="s">
        <v>48</v>
      </c>
      <c r="H232" s="10">
        <v>32</v>
      </c>
      <c r="I232" s="425" t="s">
        <v>2383</v>
      </c>
      <c r="J232" s="554" t="s">
        <v>2055</v>
      </c>
      <c r="K232" s="1591"/>
      <c r="L232" s="1513"/>
    </row>
    <row r="233" spans="1:12" ht="72">
      <c r="A233" s="883" t="s">
        <v>2453</v>
      </c>
      <c r="B233" s="426" t="s">
        <v>2454</v>
      </c>
      <c r="C233" s="10" t="s">
        <v>48</v>
      </c>
      <c r="D233" s="10" t="s">
        <v>48</v>
      </c>
      <c r="E233" s="10" t="s">
        <v>48</v>
      </c>
      <c r="F233" s="10" t="s">
        <v>48</v>
      </c>
      <c r="G233" s="10" t="s">
        <v>48</v>
      </c>
      <c r="H233" s="10">
        <v>8</v>
      </c>
      <c r="I233" s="10" t="s">
        <v>839</v>
      </c>
      <c r="J233" s="554" t="s">
        <v>2055</v>
      </c>
      <c r="K233" s="1591"/>
      <c r="L233" s="1513"/>
    </row>
    <row r="234" spans="1:12" ht="43.2">
      <c r="A234" s="883" t="s">
        <v>2455</v>
      </c>
      <c r="B234" s="426" t="s">
        <v>2382</v>
      </c>
      <c r="C234" s="10" t="s">
        <v>48</v>
      </c>
      <c r="D234" s="10" t="s">
        <v>48</v>
      </c>
      <c r="E234" s="10" t="s">
        <v>48</v>
      </c>
      <c r="F234" s="10" t="s">
        <v>48</v>
      </c>
      <c r="G234" s="10" t="s">
        <v>48</v>
      </c>
      <c r="H234" s="10">
        <v>32</v>
      </c>
      <c r="I234" s="425" t="s">
        <v>2383</v>
      </c>
      <c r="J234" s="554" t="s">
        <v>2055</v>
      </c>
      <c r="K234" s="1591"/>
      <c r="L234" s="1513"/>
    </row>
    <row r="235" spans="1:12" ht="72">
      <c r="A235" s="883" t="s">
        <v>2456</v>
      </c>
      <c r="B235" s="426" t="s">
        <v>2457</v>
      </c>
      <c r="C235" s="10" t="s">
        <v>48</v>
      </c>
      <c r="D235" s="10" t="s">
        <v>48</v>
      </c>
      <c r="E235" s="10" t="s">
        <v>48</v>
      </c>
      <c r="F235" s="10" t="s">
        <v>48</v>
      </c>
      <c r="G235" s="10" t="s">
        <v>48</v>
      </c>
      <c r="H235" s="10">
        <v>8</v>
      </c>
      <c r="I235" s="10" t="s">
        <v>839</v>
      </c>
      <c r="J235" s="554" t="s">
        <v>2055</v>
      </c>
      <c r="K235" s="1591"/>
      <c r="L235" s="1513"/>
    </row>
    <row r="236" spans="1:12">
      <c r="A236" s="883" t="s">
        <v>2458</v>
      </c>
      <c r="B236" s="426" t="s">
        <v>2459</v>
      </c>
      <c r="C236" s="10" t="s">
        <v>48</v>
      </c>
      <c r="D236" s="10" t="s">
        <v>48</v>
      </c>
      <c r="E236" s="10" t="s">
        <v>48</v>
      </c>
      <c r="F236" s="10" t="s">
        <v>48</v>
      </c>
      <c r="G236" s="10" t="s">
        <v>48</v>
      </c>
      <c r="H236" s="10">
        <v>32</v>
      </c>
      <c r="I236" s="425" t="s">
        <v>2460</v>
      </c>
      <c r="J236" s="554" t="s">
        <v>2055</v>
      </c>
      <c r="K236" s="1591"/>
      <c r="L236" s="1513"/>
    </row>
    <row r="237" spans="1:12" ht="72">
      <c r="A237" s="883" t="s">
        <v>2461</v>
      </c>
      <c r="B237" s="426" t="s">
        <v>2462</v>
      </c>
      <c r="C237" s="10" t="s">
        <v>48</v>
      </c>
      <c r="D237" s="10" t="s">
        <v>48</v>
      </c>
      <c r="E237" s="10" t="s">
        <v>48</v>
      </c>
      <c r="F237" s="10" t="s">
        <v>48</v>
      </c>
      <c r="G237" s="10" t="s">
        <v>48</v>
      </c>
      <c r="H237" s="10">
        <v>8</v>
      </c>
      <c r="I237" s="10" t="s">
        <v>839</v>
      </c>
      <c r="J237" s="554" t="s">
        <v>2055</v>
      </c>
      <c r="K237" s="1591"/>
      <c r="L237" s="1513"/>
    </row>
    <row r="238" spans="1:12">
      <c r="A238" s="883" t="s">
        <v>2463</v>
      </c>
      <c r="B238" s="426" t="s">
        <v>2459</v>
      </c>
      <c r="C238" s="10" t="s">
        <v>48</v>
      </c>
      <c r="D238" s="10" t="s">
        <v>48</v>
      </c>
      <c r="E238" s="10" t="s">
        <v>48</v>
      </c>
      <c r="F238" s="10" t="s">
        <v>48</v>
      </c>
      <c r="G238" s="10" t="s">
        <v>48</v>
      </c>
      <c r="H238" s="10">
        <v>32</v>
      </c>
      <c r="I238" s="425" t="s">
        <v>2460</v>
      </c>
      <c r="J238" s="554" t="s">
        <v>2055</v>
      </c>
      <c r="K238" s="1591"/>
      <c r="L238" s="1513"/>
    </row>
    <row r="239" spans="1:12" ht="72">
      <c r="A239" s="883" t="s">
        <v>2464</v>
      </c>
      <c r="B239" s="426" t="s">
        <v>2465</v>
      </c>
      <c r="C239" s="10" t="s">
        <v>48</v>
      </c>
      <c r="D239" s="10" t="s">
        <v>48</v>
      </c>
      <c r="E239" s="10" t="s">
        <v>48</v>
      </c>
      <c r="F239" s="10" t="s">
        <v>48</v>
      </c>
      <c r="G239" s="10" t="s">
        <v>48</v>
      </c>
      <c r="H239" s="10">
        <v>8</v>
      </c>
      <c r="I239" s="10" t="s">
        <v>839</v>
      </c>
      <c r="J239" s="554" t="s">
        <v>2055</v>
      </c>
      <c r="K239" s="1591"/>
      <c r="L239" s="1513"/>
    </row>
    <row r="240" spans="1:12">
      <c r="A240" s="883" t="s">
        <v>2466</v>
      </c>
      <c r="B240" s="426" t="s">
        <v>2459</v>
      </c>
      <c r="C240" s="10" t="s">
        <v>48</v>
      </c>
      <c r="D240" s="10" t="s">
        <v>48</v>
      </c>
      <c r="E240" s="10" t="s">
        <v>48</v>
      </c>
      <c r="F240" s="10" t="s">
        <v>48</v>
      </c>
      <c r="G240" s="10" t="s">
        <v>48</v>
      </c>
      <c r="H240" s="10">
        <v>32</v>
      </c>
      <c r="I240" s="425" t="s">
        <v>2460</v>
      </c>
      <c r="J240" s="554" t="s">
        <v>2055</v>
      </c>
      <c r="K240" s="1591"/>
      <c r="L240" s="1513"/>
    </row>
    <row r="241" spans="1:12" ht="72">
      <c r="A241" s="883" t="s">
        <v>2467</v>
      </c>
      <c r="B241" s="426" t="s">
        <v>2468</v>
      </c>
      <c r="C241" s="10" t="s">
        <v>48</v>
      </c>
      <c r="D241" s="10" t="s">
        <v>48</v>
      </c>
      <c r="E241" s="10" t="s">
        <v>48</v>
      </c>
      <c r="F241" s="10" t="s">
        <v>48</v>
      </c>
      <c r="G241" s="10" t="s">
        <v>48</v>
      </c>
      <c r="H241" s="10">
        <v>8</v>
      </c>
      <c r="I241" s="10" t="s">
        <v>839</v>
      </c>
      <c r="J241" s="554" t="s">
        <v>2055</v>
      </c>
      <c r="K241" s="1591"/>
      <c r="L241" s="1513"/>
    </row>
    <row r="242" spans="1:12">
      <c r="A242" s="883" t="s">
        <v>2469</v>
      </c>
      <c r="B242" s="426" t="s">
        <v>2459</v>
      </c>
      <c r="C242" s="10" t="s">
        <v>48</v>
      </c>
      <c r="D242" s="10" t="s">
        <v>48</v>
      </c>
      <c r="E242" s="10" t="s">
        <v>48</v>
      </c>
      <c r="F242" s="10" t="s">
        <v>48</v>
      </c>
      <c r="G242" s="10" t="s">
        <v>48</v>
      </c>
      <c r="H242" s="10">
        <v>32</v>
      </c>
      <c r="I242" s="425" t="s">
        <v>2460</v>
      </c>
      <c r="J242" s="554" t="s">
        <v>2055</v>
      </c>
      <c r="K242" s="1591"/>
      <c r="L242" s="1513"/>
    </row>
    <row r="243" spans="1:12" ht="72">
      <c r="A243" s="883" t="s">
        <v>2470</v>
      </c>
      <c r="B243" s="426" t="s">
        <v>2471</v>
      </c>
      <c r="C243" s="10" t="s">
        <v>48</v>
      </c>
      <c r="D243" s="10" t="s">
        <v>48</v>
      </c>
      <c r="E243" s="10" t="s">
        <v>48</v>
      </c>
      <c r="F243" s="10" t="s">
        <v>48</v>
      </c>
      <c r="G243" s="10" t="s">
        <v>48</v>
      </c>
      <c r="H243" s="10">
        <v>8</v>
      </c>
      <c r="I243" s="10" t="s">
        <v>839</v>
      </c>
      <c r="J243" s="554" t="s">
        <v>2055</v>
      </c>
      <c r="K243" s="1591"/>
      <c r="L243" s="1513"/>
    </row>
    <row r="244" spans="1:12">
      <c r="A244" s="883" t="s">
        <v>2472</v>
      </c>
      <c r="B244" s="426" t="s">
        <v>2459</v>
      </c>
      <c r="C244" s="10" t="s">
        <v>48</v>
      </c>
      <c r="D244" s="10" t="s">
        <v>48</v>
      </c>
      <c r="E244" s="10" t="s">
        <v>48</v>
      </c>
      <c r="F244" s="10" t="s">
        <v>48</v>
      </c>
      <c r="G244" s="10" t="s">
        <v>48</v>
      </c>
      <c r="H244" s="10">
        <v>32</v>
      </c>
      <c r="I244" s="425" t="s">
        <v>2460</v>
      </c>
      <c r="J244" s="554" t="s">
        <v>2055</v>
      </c>
      <c r="K244" s="1591"/>
      <c r="L244" s="1513"/>
    </row>
    <row r="245" spans="1:12" ht="72">
      <c r="A245" s="883" t="s">
        <v>2473</v>
      </c>
      <c r="B245" s="426" t="s">
        <v>2474</v>
      </c>
      <c r="C245" s="10" t="s">
        <v>48</v>
      </c>
      <c r="D245" s="10" t="s">
        <v>48</v>
      </c>
      <c r="E245" s="10" t="s">
        <v>48</v>
      </c>
      <c r="F245" s="10" t="s">
        <v>48</v>
      </c>
      <c r="G245" s="10" t="s">
        <v>48</v>
      </c>
      <c r="H245" s="10">
        <v>8</v>
      </c>
      <c r="I245" s="10" t="s">
        <v>839</v>
      </c>
      <c r="J245" s="554" t="s">
        <v>2055</v>
      </c>
      <c r="K245" s="1591"/>
      <c r="L245" s="1513"/>
    </row>
    <row r="246" spans="1:12" ht="28.8">
      <c r="A246" s="883" t="s">
        <v>2475</v>
      </c>
      <c r="B246" s="426" t="s">
        <v>2476</v>
      </c>
      <c r="C246" s="10" t="s">
        <v>48</v>
      </c>
      <c r="D246" s="10" t="s">
        <v>48</v>
      </c>
      <c r="E246" s="10" t="s">
        <v>48</v>
      </c>
      <c r="F246" s="10" t="s">
        <v>48</v>
      </c>
      <c r="G246" s="10" t="s">
        <v>48</v>
      </c>
      <c r="H246" s="10">
        <v>32</v>
      </c>
      <c r="I246" s="425" t="s">
        <v>2460</v>
      </c>
      <c r="J246" s="554" t="s">
        <v>2055</v>
      </c>
      <c r="K246" s="1591"/>
      <c r="L246" s="1513"/>
    </row>
    <row r="247" spans="1:12" ht="72">
      <c r="A247" s="883" t="s">
        <v>2477</v>
      </c>
      <c r="B247" s="426" t="s">
        <v>2478</v>
      </c>
      <c r="C247" s="10" t="s">
        <v>48</v>
      </c>
      <c r="D247" s="10" t="s">
        <v>48</v>
      </c>
      <c r="E247" s="10" t="s">
        <v>48</v>
      </c>
      <c r="F247" s="10" t="s">
        <v>48</v>
      </c>
      <c r="G247" s="10" t="s">
        <v>48</v>
      </c>
      <c r="H247" s="10">
        <v>8</v>
      </c>
      <c r="I247" s="10" t="s">
        <v>839</v>
      </c>
      <c r="J247" s="554" t="s">
        <v>2055</v>
      </c>
      <c r="K247" s="1591"/>
      <c r="L247" s="1513"/>
    </row>
    <row r="248" spans="1:12" ht="28.8">
      <c r="A248" s="883" t="s">
        <v>2479</v>
      </c>
      <c r="B248" s="426" t="s">
        <v>2476</v>
      </c>
      <c r="C248" s="10" t="s">
        <v>48</v>
      </c>
      <c r="D248" s="10" t="s">
        <v>48</v>
      </c>
      <c r="E248" s="10" t="s">
        <v>48</v>
      </c>
      <c r="F248" s="10" t="s">
        <v>48</v>
      </c>
      <c r="G248" s="10" t="s">
        <v>48</v>
      </c>
      <c r="H248" s="10">
        <v>32</v>
      </c>
      <c r="I248" s="425" t="s">
        <v>2460</v>
      </c>
      <c r="J248" s="554" t="s">
        <v>2055</v>
      </c>
      <c r="K248" s="1591"/>
      <c r="L248" s="1513"/>
    </row>
    <row r="249" spans="1:12" ht="72">
      <c r="A249" s="883" t="s">
        <v>2480</v>
      </c>
      <c r="B249" s="426" t="s">
        <v>2481</v>
      </c>
      <c r="C249" s="10" t="s">
        <v>48</v>
      </c>
      <c r="D249" s="10" t="s">
        <v>48</v>
      </c>
      <c r="E249" s="10" t="s">
        <v>48</v>
      </c>
      <c r="F249" s="10" t="s">
        <v>48</v>
      </c>
      <c r="G249" s="10" t="s">
        <v>48</v>
      </c>
      <c r="H249" s="10">
        <v>8</v>
      </c>
      <c r="I249" s="10" t="s">
        <v>839</v>
      </c>
      <c r="J249" s="554" t="s">
        <v>2055</v>
      </c>
      <c r="K249" s="1591"/>
      <c r="L249" s="1513"/>
    </row>
    <row r="250" spans="1:12" ht="28.8">
      <c r="A250" s="883" t="s">
        <v>2482</v>
      </c>
      <c r="B250" s="426" t="s">
        <v>2476</v>
      </c>
      <c r="C250" s="10" t="s">
        <v>48</v>
      </c>
      <c r="D250" s="10" t="s">
        <v>48</v>
      </c>
      <c r="E250" s="10" t="s">
        <v>48</v>
      </c>
      <c r="F250" s="10" t="s">
        <v>48</v>
      </c>
      <c r="G250" s="10" t="s">
        <v>48</v>
      </c>
      <c r="H250" s="10">
        <v>32</v>
      </c>
      <c r="I250" s="425" t="s">
        <v>2460</v>
      </c>
      <c r="J250" s="554" t="s">
        <v>2055</v>
      </c>
      <c r="K250" s="1591"/>
      <c r="L250" s="1513"/>
    </row>
    <row r="251" spans="1:12" ht="72">
      <c r="A251" s="883" t="s">
        <v>2483</v>
      </c>
      <c r="B251" s="426" t="s">
        <v>2484</v>
      </c>
      <c r="C251" s="10" t="s">
        <v>48</v>
      </c>
      <c r="D251" s="10" t="s">
        <v>48</v>
      </c>
      <c r="E251" s="10" t="s">
        <v>48</v>
      </c>
      <c r="F251" s="10" t="s">
        <v>48</v>
      </c>
      <c r="G251" s="10" t="s">
        <v>48</v>
      </c>
      <c r="H251" s="10">
        <v>8</v>
      </c>
      <c r="I251" s="10" t="s">
        <v>839</v>
      </c>
      <c r="J251" s="554" t="s">
        <v>2055</v>
      </c>
      <c r="K251" s="1591"/>
      <c r="L251" s="1513"/>
    </row>
    <row r="252" spans="1:12" ht="28.8">
      <c r="A252" s="883" t="s">
        <v>2485</v>
      </c>
      <c r="B252" s="426" t="s">
        <v>2476</v>
      </c>
      <c r="C252" s="10" t="s">
        <v>48</v>
      </c>
      <c r="D252" s="10" t="s">
        <v>48</v>
      </c>
      <c r="E252" s="10" t="s">
        <v>48</v>
      </c>
      <c r="F252" s="10" t="s">
        <v>48</v>
      </c>
      <c r="G252" s="10" t="s">
        <v>48</v>
      </c>
      <c r="H252" s="10">
        <v>32</v>
      </c>
      <c r="I252" s="425" t="s">
        <v>2460</v>
      </c>
      <c r="J252" s="554" t="s">
        <v>2055</v>
      </c>
      <c r="K252" s="1591"/>
      <c r="L252" s="1513"/>
    </row>
    <row r="253" spans="1:12" ht="72">
      <c r="A253" s="883" t="s">
        <v>2486</v>
      </c>
      <c r="B253" s="426" t="s">
        <v>2487</v>
      </c>
      <c r="C253" s="10" t="s">
        <v>48</v>
      </c>
      <c r="D253" s="10" t="s">
        <v>48</v>
      </c>
      <c r="E253" s="10" t="s">
        <v>48</v>
      </c>
      <c r="F253" s="10" t="s">
        <v>48</v>
      </c>
      <c r="G253" s="10" t="s">
        <v>48</v>
      </c>
      <c r="H253" s="10">
        <v>8</v>
      </c>
      <c r="I253" s="10" t="s">
        <v>839</v>
      </c>
      <c r="J253" s="554" t="s">
        <v>2055</v>
      </c>
      <c r="K253" s="1591"/>
      <c r="L253" s="1513"/>
    </row>
    <row r="254" spans="1:12" ht="28.8">
      <c r="A254" s="883" t="s">
        <v>2488</v>
      </c>
      <c r="B254" s="426" t="s">
        <v>2476</v>
      </c>
      <c r="C254" s="10" t="s">
        <v>48</v>
      </c>
      <c r="D254" s="10" t="s">
        <v>48</v>
      </c>
      <c r="E254" s="10" t="s">
        <v>48</v>
      </c>
      <c r="F254" s="10" t="s">
        <v>48</v>
      </c>
      <c r="G254" s="10" t="s">
        <v>48</v>
      </c>
      <c r="H254" s="10">
        <v>32</v>
      </c>
      <c r="I254" s="425" t="s">
        <v>2460</v>
      </c>
      <c r="J254" s="554" t="s">
        <v>2055</v>
      </c>
      <c r="K254" s="1591"/>
      <c r="L254" s="1513"/>
    </row>
    <row r="255" spans="1:12" ht="72">
      <c r="A255" s="883" t="s">
        <v>2489</v>
      </c>
      <c r="B255" s="426" t="s">
        <v>2490</v>
      </c>
      <c r="C255" s="10" t="s">
        <v>48</v>
      </c>
      <c r="D255" s="10" t="s">
        <v>48</v>
      </c>
      <c r="E255" s="10" t="s">
        <v>48</v>
      </c>
      <c r="F255" s="10" t="s">
        <v>48</v>
      </c>
      <c r="G255" s="10" t="s">
        <v>48</v>
      </c>
      <c r="H255" s="10">
        <v>8</v>
      </c>
      <c r="I255" s="10" t="s">
        <v>839</v>
      </c>
      <c r="J255" s="554" t="s">
        <v>2055</v>
      </c>
      <c r="K255" s="1591"/>
      <c r="L255" s="1513"/>
    </row>
    <row r="256" spans="1:12" ht="43.2">
      <c r="A256" s="883" t="s">
        <v>2491</v>
      </c>
      <c r="B256" s="426" t="s">
        <v>2492</v>
      </c>
      <c r="C256" s="10" t="s">
        <v>919</v>
      </c>
      <c r="D256" s="424">
        <v>0</v>
      </c>
      <c r="E256" s="10" t="s">
        <v>920</v>
      </c>
      <c r="F256" s="9" t="s">
        <v>2082</v>
      </c>
      <c r="G256" s="10" t="s">
        <v>920</v>
      </c>
      <c r="H256" s="425">
        <v>32</v>
      </c>
      <c r="I256" s="10" t="s">
        <v>922</v>
      </c>
      <c r="J256" s="554" t="s">
        <v>2055</v>
      </c>
      <c r="K256" s="1591"/>
      <c r="L256" s="1513"/>
    </row>
    <row r="257" spans="1:12" ht="72">
      <c r="A257" s="883" t="s">
        <v>2493</v>
      </c>
      <c r="B257" s="426" t="s">
        <v>2494</v>
      </c>
      <c r="C257" s="10" t="s">
        <v>48</v>
      </c>
      <c r="D257" s="10" t="s">
        <v>48</v>
      </c>
      <c r="E257" s="10" t="s">
        <v>48</v>
      </c>
      <c r="F257" s="10" t="s">
        <v>48</v>
      </c>
      <c r="G257" s="10" t="s">
        <v>48</v>
      </c>
      <c r="H257" s="10">
        <v>8</v>
      </c>
      <c r="I257" s="10" t="s">
        <v>839</v>
      </c>
      <c r="J257" s="554" t="s">
        <v>2055</v>
      </c>
      <c r="K257" s="1591"/>
      <c r="L257" s="1513"/>
    </row>
    <row r="258" spans="1:12" ht="43.2">
      <c r="A258" s="883" t="s">
        <v>2495</v>
      </c>
      <c r="B258" s="426" t="s">
        <v>2492</v>
      </c>
      <c r="C258" s="10" t="s">
        <v>919</v>
      </c>
      <c r="D258" s="424">
        <v>0</v>
      </c>
      <c r="E258" s="10" t="s">
        <v>920</v>
      </c>
      <c r="F258" s="9" t="s">
        <v>2082</v>
      </c>
      <c r="G258" s="10" t="s">
        <v>920</v>
      </c>
      <c r="H258" s="425">
        <v>32</v>
      </c>
      <c r="I258" s="10" t="s">
        <v>922</v>
      </c>
      <c r="J258" s="554" t="s">
        <v>2055</v>
      </c>
      <c r="K258" s="1591"/>
      <c r="L258" s="1513"/>
    </row>
    <row r="259" spans="1:12" ht="72">
      <c r="A259" s="883" t="s">
        <v>2496</v>
      </c>
      <c r="B259" s="426" t="s">
        <v>2497</v>
      </c>
      <c r="C259" s="10" t="s">
        <v>48</v>
      </c>
      <c r="D259" s="10" t="s">
        <v>48</v>
      </c>
      <c r="E259" s="10" t="s">
        <v>48</v>
      </c>
      <c r="F259" s="10" t="s">
        <v>48</v>
      </c>
      <c r="G259" s="10" t="s">
        <v>48</v>
      </c>
      <c r="H259" s="10">
        <v>8</v>
      </c>
      <c r="I259" s="10" t="s">
        <v>839</v>
      </c>
      <c r="J259" s="554" t="s">
        <v>2055</v>
      </c>
      <c r="K259" s="1591"/>
      <c r="L259" s="1513"/>
    </row>
    <row r="260" spans="1:12" ht="43.2">
      <c r="A260" s="883" t="s">
        <v>2498</v>
      </c>
      <c r="B260" s="426" t="s">
        <v>2492</v>
      </c>
      <c r="C260" s="10" t="s">
        <v>919</v>
      </c>
      <c r="D260" s="424">
        <v>0</v>
      </c>
      <c r="E260" s="10" t="s">
        <v>920</v>
      </c>
      <c r="F260" s="9" t="s">
        <v>2082</v>
      </c>
      <c r="G260" s="10" t="s">
        <v>920</v>
      </c>
      <c r="H260" s="425">
        <v>32</v>
      </c>
      <c r="I260" s="10" t="s">
        <v>922</v>
      </c>
      <c r="J260" s="554" t="s">
        <v>2055</v>
      </c>
      <c r="K260" s="1591"/>
      <c r="L260" s="1513"/>
    </row>
    <row r="261" spans="1:12" ht="72">
      <c r="A261" s="883" t="s">
        <v>2499</v>
      </c>
      <c r="B261" s="426" t="s">
        <v>2500</v>
      </c>
      <c r="C261" s="10" t="s">
        <v>48</v>
      </c>
      <c r="D261" s="10" t="s">
        <v>48</v>
      </c>
      <c r="E261" s="10" t="s">
        <v>48</v>
      </c>
      <c r="F261" s="10" t="s">
        <v>48</v>
      </c>
      <c r="G261" s="10" t="s">
        <v>48</v>
      </c>
      <c r="H261" s="10">
        <v>8</v>
      </c>
      <c r="I261" s="10" t="s">
        <v>839</v>
      </c>
      <c r="J261" s="554" t="s">
        <v>2055</v>
      </c>
      <c r="K261" s="1591"/>
      <c r="L261" s="1513"/>
    </row>
    <row r="262" spans="1:12" ht="43.2">
      <c r="A262" s="883" t="s">
        <v>2501</v>
      </c>
      <c r="B262" s="426" t="s">
        <v>2492</v>
      </c>
      <c r="C262" s="10" t="s">
        <v>919</v>
      </c>
      <c r="D262" s="424">
        <v>0</v>
      </c>
      <c r="E262" s="10" t="s">
        <v>920</v>
      </c>
      <c r="F262" s="9" t="s">
        <v>2082</v>
      </c>
      <c r="G262" s="10" t="s">
        <v>920</v>
      </c>
      <c r="H262" s="425">
        <v>32</v>
      </c>
      <c r="I262" s="10" t="s">
        <v>922</v>
      </c>
      <c r="J262" s="554" t="s">
        <v>2055</v>
      </c>
      <c r="K262" s="1591"/>
      <c r="L262" s="1513"/>
    </row>
    <row r="263" spans="1:12" ht="72">
      <c r="A263" s="883" t="s">
        <v>2502</v>
      </c>
      <c r="B263" s="426" t="s">
        <v>2503</v>
      </c>
      <c r="C263" s="10" t="s">
        <v>48</v>
      </c>
      <c r="D263" s="10" t="s">
        <v>48</v>
      </c>
      <c r="E263" s="10" t="s">
        <v>48</v>
      </c>
      <c r="F263" s="10" t="s">
        <v>48</v>
      </c>
      <c r="G263" s="10" t="s">
        <v>48</v>
      </c>
      <c r="H263" s="10">
        <v>8</v>
      </c>
      <c r="I263" s="10" t="s">
        <v>839</v>
      </c>
      <c r="J263" s="554" t="s">
        <v>2055</v>
      </c>
      <c r="K263" s="1591"/>
      <c r="L263" s="1513"/>
    </row>
    <row r="264" spans="1:12" ht="43.2">
      <c r="A264" s="883" t="s">
        <v>2504</v>
      </c>
      <c r="B264" s="426" t="s">
        <v>2492</v>
      </c>
      <c r="C264" s="10" t="s">
        <v>919</v>
      </c>
      <c r="D264" s="424">
        <v>0</v>
      </c>
      <c r="E264" s="10" t="s">
        <v>920</v>
      </c>
      <c r="F264" s="9" t="s">
        <v>2082</v>
      </c>
      <c r="G264" s="10" t="s">
        <v>920</v>
      </c>
      <c r="H264" s="425">
        <v>32</v>
      </c>
      <c r="I264" s="10" t="s">
        <v>922</v>
      </c>
      <c r="J264" s="554" t="s">
        <v>2055</v>
      </c>
      <c r="K264" s="1591"/>
      <c r="L264" s="1513"/>
    </row>
    <row r="265" spans="1:12" ht="72">
      <c r="A265" s="883" t="s">
        <v>2505</v>
      </c>
      <c r="B265" s="426" t="s">
        <v>2506</v>
      </c>
      <c r="C265" s="10" t="s">
        <v>48</v>
      </c>
      <c r="D265" s="10" t="s">
        <v>48</v>
      </c>
      <c r="E265" s="10" t="s">
        <v>48</v>
      </c>
      <c r="F265" s="10" t="s">
        <v>48</v>
      </c>
      <c r="G265" s="10" t="s">
        <v>48</v>
      </c>
      <c r="H265" s="10">
        <v>8</v>
      </c>
      <c r="I265" s="10" t="s">
        <v>839</v>
      </c>
      <c r="J265" s="554" t="s">
        <v>2055</v>
      </c>
      <c r="K265" s="1591"/>
      <c r="L265" s="1513"/>
    </row>
    <row r="266" spans="1:12" ht="28.8">
      <c r="A266" s="883" t="s">
        <v>2507</v>
      </c>
      <c r="B266" s="426" t="s">
        <v>2508</v>
      </c>
      <c r="C266" s="10" t="s">
        <v>48</v>
      </c>
      <c r="D266" s="10" t="s">
        <v>48</v>
      </c>
      <c r="E266" s="10" t="s">
        <v>48</v>
      </c>
      <c r="F266" s="10" t="s">
        <v>48</v>
      </c>
      <c r="G266" s="10" t="s">
        <v>48</v>
      </c>
      <c r="H266" s="10">
        <v>32</v>
      </c>
      <c r="I266" s="425" t="s">
        <v>1998</v>
      </c>
      <c r="J266" s="554" t="s">
        <v>2055</v>
      </c>
      <c r="K266" s="1591"/>
      <c r="L266" s="1513"/>
    </row>
    <row r="267" spans="1:12" ht="72">
      <c r="A267" s="883" t="s">
        <v>2509</v>
      </c>
      <c r="B267" s="426" t="s">
        <v>2510</v>
      </c>
      <c r="C267" s="10" t="s">
        <v>48</v>
      </c>
      <c r="D267" s="10" t="s">
        <v>48</v>
      </c>
      <c r="E267" s="10" t="s">
        <v>48</v>
      </c>
      <c r="F267" s="10" t="s">
        <v>48</v>
      </c>
      <c r="G267" s="10" t="s">
        <v>48</v>
      </c>
      <c r="H267" s="10">
        <v>8</v>
      </c>
      <c r="I267" s="10" t="s">
        <v>839</v>
      </c>
      <c r="J267" s="554" t="s">
        <v>2055</v>
      </c>
      <c r="K267" s="1591"/>
      <c r="L267" s="1513"/>
    </row>
    <row r="268" spans="1:12" ht="28.8">
      <c r="A268" s="883" t="s">
        <v>2511</v>
      </c>
      <c r="B268" s="426" t="s">
        <v>2508</v>
      </c>
      <c r="C268" s="10" t="s">
        <v>48</v>
      </c>
      <c r="D268" s="10" t="s">
        <v>48</v>
      </c>
      <c r="E268" s="10" t="s">
        <v>48</v>
      </c>
      <c r="F268" s="10" t="s">
        <v>48</v>
      </c>
      <c r="G268" s="10" t="s">
        <v>48</v>
      </c>
      <c r="H268" s="10">
        <v>32</v>
      </c>
      <c r="I268" s="425" t="s">
        <v>1998</v>
      </c>
      <c r="J268" s="554" t="s">
        <v>2055</v>
      </c>
      <c r="K268" s="1591"/>
      <c r="L268" s="1513"/>
    </row>
    <row r="269" spans="1:12" ht="72">
      <c r="A269" s="883" t="s">
        <v>2512</v>
      </c>
      <c r="B269" s="426" t="s">
        <v>2513</v>
      </c>
      <c r="C269" s="10" t="s">
        <v>48</v>
      </c>
      <c r="D269" s="10" t="s">
        <v>48</v>
      </c>
      <c r="E269" s="10" t="s">
        <v>48</v>
      </c>
      <c r="F269" s="10" t="s">
        <v>48</v>
      </c>
      <c r="G269" s="10" t="s">
        <v>48</v>
      </c>
      <c r="H269" s="10">
        <v>8</v>
      </c>
      <c r="I269" s="10" t="s">
        <v>839</v>
      </c>
      <c r="J269" s="554" t="s">
        <v>2055</v>
      </c>
      <c r="K269" s="1591"/>
      <c r="L269" s="1513"/>
    </row>
    <row r="270" spans="1:12" ht="28.8">
      <c r="A270" s="883" t="s">
        <v>2514</v>
      </c>
      <c r="B270" s="426" t="s">
        <v>2508</v>
      </c>
      <c r="C270" s="10" t="s">
        <v>48</v>
      </c>
      <c r="D270" s="10" t="s">
        <v>48</v>
      </c>
      <c r="E270" s="10" t="s">
        <v>48</v>
      </c>
      <c r="F270" s="10" t="s">
        <v>48</v>
      </c>
      <c r="G270" s="10" t="s">
        <v>48</v>
      </c>
      <c r="H270" s="10">
        <v>32</v>
      </c>
      <c r="I270" s="425" t="s">
        <v>1998</v>
      </c>
      <c r="J270" s="554" t="s">
        <v>2055</v>
      </c>
      <c r="K270" s="1591"/>
      <c r="L270" s="1513"/>
    </row>
    <row r="271" spans="1:12" ht="72">
      <c r="A271" s="883" t="s">
        <v>2515</v>
      </c>
      <c r="B271" s="426" t="s">
        <v>2516</v>
      </c>
      <c r="C271" s="10" t="s">
        <v>48</v>
      </c>
      <c r="D271" s="10" t="s">
        <v>48</v>
      </c>
      <c r="E271" s="10" t="s">
        <v>48</v>
      </c>
      <c r="F271" s="10" t="s">
        <v>48</v>
      </c>
      <c r="G271" s="10" t="s">
        <v>48</v>
      </c>
      <c r="H271" s="10">
        <v>8</v>
      </c>
      <c r="I271" s="10" t="s">
        <v>839</v>
      </c>
      <c r="J271" s="554" t="s">
        <v>2055</v>
      </c>
      <c r="K271" s="1591"/>
      <c r="L271" s="1513"/>
    </row>
    <row r="272" spans="1:12" ht="28.8">
      <c r="A272" s="883" t="s">
        <v>2517</v>
      </c>
      <c r="B272" s="426" t="s">
        <v>2508</v>
      </c>
      <c r="C272" s="10" t="s">
        <v>48</v>
      </c>
      <c r="D272" s="10" t="s">
        <v>48</v>
      </c>
      <c r="E272" s="10" t="s">
        <v>48</v>
      </c>
      <c r="F272" s="10" t="s">
        <v>48</v>
      </c>
      <c r="G272" s="10" t="s">
        <v>48</v>
      </c>
      <c r="H272" s="10">
        <v>32</v>
      </c>
      <c r="I272" s="425" t="s">
        <v>1998</v>
      </c>
      <c r="J272" s="554" t="s">
        <v>2055</v>
      </c>
      <c r="K272" s="1591"/>
      <c r="L272" s="1513"/>
    </row>
    <row r="273" spans="1:12" ht="72">
      <c r="A273" s="883" t="s">
        <v>2518</v>
      </c>
      <c r="B273" s="426" t="s">
        <v>2519</v>
      </c>
      <c r="C273" s="10" t="s">
        <v>48</v>
      </c>
      <c r="D273" s="10" t="s">
        <v>48</v>
      </c>
      <c r="E273" s="10" t="s">
        <v>48</v>
      </c>
      <c r="F273" s="10" t="s">
        <v>48</v>
      </c>
      <c r="G273" s="10" t="s">
        <v>48</v>
      </c>
      <c r="H273" s="10">
        <v>8</v>
      </c>
      <c r="I273" s="10" t="s">
        <v>839</v>
      </c>
      <c r="J273" s="554" t="s">
        <v>2055</v>
      </c>
      <c r="K273" s="1591"/>
      <c r="L273" s="1513"/>
    </row>
    <row r="274" spans="1:12" ht="28.8">
      <c r="A274" s="883" t="s">
        <v>2520</v>
      </c>
      <c r="B274" s="426" t="s">
        <v>2508</v>
      </c>
      <c r="C274" s="10" t="s">
        <v>48</v>
      </c>
      <c r="D274" s="10" t="s">
        <v>48</v>
      </c>
      <c r="E274" s="10" t="s">
        <v>48</v>
      </c>
      <c r="F274" s="10" t="s">
        <v>48</v>
      </c>
      <c r="G274" s="10" t="s">
        <v>48</v>
      </c>
      <c r="H274" s="10">
        <v>32</v>
      </c>
      <c r="I274" s="425" t="s">
        <v>1998</v>
      </c>
      <c r="J274" s="554" t="s">
        <v>2055</v>
      </c>
      <c r="K274" s="1591"/>
      <c r="L274" s="1513"/>
    </row>
    <row r="275" spans="1:12" ht="72">
      <c r="A275" s="883" t="s">
        <v>2521</v>
      </c>
      <c r="B275" s="426" t="s">
        <v>2522</v>
      </c>
      <c r="C275" s="10" t="s">
        <v>48</v>
      </c>
      <c r="D275" s="10" t="s">
        <v>48</v>
      </c>
      <c r="E275" s="10" t="s">
        <v>48</v>
      </c>
      <c r="F275" s="10" t="s">
        <v>48</v>
      </c>
      <c r="G275" s="10" t="s">
        <v>48</v>
      </c>
      <c r="H275" s="10">
        <v>8</v>
      </c>
      <c r="I275" s="10" t="s">
        <v>839</v>
      </c>
      <c r="J275" s="554" t="s">
        <v>2055</v>
      </c>
      <c r="K275" s="1591"/>
      <c r="L275" s="1513"/>
    </row>
    <row r="276" spans="1:12" ht="28.8">
      <c r="A276" s="883" t="s">
        <v>2523</v>
      </c>
      <c r="B276" s="426" t="s">
        <v>2508</v>
      </c>
      <c r="C276" s="10" t="s">
        <v>48</v>
      </c>
      <c r="D276" s="10" t="s">
        <v>48</v>
      </c>
      <c r="E276" s="10" t="s">
        <v>48</v>
      </c>
      <c r="F276" s="10" t="s">
        <v>48</v>
      </c>
      <c r="G276" s="10" t="s">
        <v>48</v>
      </c>
      <c r="H276" s="10">
        <v>32</v>
      </c>
      <c r="I276" s="425" t="s">
        <v>1998</v>
      </c>
      <c r="J276" s="554" t="s">
        <v>2055</v>
      </c>
      <c r="K276" s="1591"/>
      <c r="L276" s="1513"/>
    </row>
    <row r="277" spans="1:12" ht="72">
      <c r="A277" s="883" t="s">
        <v>2524</v>
      </c>
      <c r="B277" s="426" t="s">
        <v>2525</v>
      </c>
      <c r="C277" s="10" t="s">
        <v>48</v>
      </c>
      <c r="D277" s="10" t="s">
        <v>48</v>
      </c>
      <c r="E277" s="10" t="s">
        <v>48</v>
      </c>
      <c r="F277" s="10" t="s">
        <v>48</v>
      </c>
      <c r="G277" s="10" t="s">
        <v>48</v>
      </c>
      <c r="H277" s="10">
        <v>8</v>
      </c>
      <c r="I277" s="10" t="s">
        <v>839</v>
      </c>
      <c r="J277" s="554" t="s">
        <v>2055</v>
      </c>
      <c r="K277" s="1591"/>
      <c r="L277" s="1513"/>
    </row>
    <row r="278" spans="1:12" ht="28.8">
      <c r="A278" s="883" t="s">
        <v>2526</v>
      </c>
      <c r="B278" s="426" t="s">
        <v>2508</v>
      </c>
      <c r="C278" s="10" t="s">
        <v>48</v>
      </c>
      <c r="D278" s="10" t="s">
        <v>48</v>
      </c>
      <c r="E278" s="10" t="s">
        <v>48</v>
      </c>
      <c r="F278" s="10" t="s">
        <v>48</v>
      </c>
      <c r="G278" s="10" t="s">
        <v>48</v>
      </c>
      <c r="H278" s="10">
        <v>32</v>
      </c>
      <c r="I278" s="425" t="s">
        <v>1998</v>
      </c>
      <c r="J278" s="554" t="s">
        <v>2055</v>
      </c>
      <c r="K278" s="1591"/>
      <c r="L278" s="1513"/>
    </row>
    <row r="279" spans="1:12" ht="72">
      <c r="A279" s="883" t="s">
        <v>2527</v>
      </c>
      <c r="B279" s="426" t="s">
        <v>2528</v>
      </c>
      <c r="C279" s="10" t="s">
        <v>48</v>
      </c>
      <c r="D279" s="10" t="s">
        <v>48</v>
      </c>
      <c r="E279" s="10" t="s">
        <v>48</v>
      </c>
      <c r="F279" s="10" t="s">
        <v>48</v>
      </c>
      <c r="G279" s="10" t="s">
        <v>48</v>
      </c>
      <c r="H279" s="10">
        <v>8</v>
      </c>
      <c r="I279" s="10" t="s">
        <v>839</v>
      </c>
      <c r="J279" s="554" t="s">
        <v>2055</v>
      </c>
      <c r="K279" s="1591"/>
      <c r="L279" s="1513"/>
    </row>
    <row r="280" spans="1:12" ht="28.8">
      <c r="A280" s="883" t="s">
        <v>2529</v>
      </c>
      <c r="B280" s="426" t="s">
        <v>2508</v>
      </c>
      <c r="C280" s="10" t="s">
        <v>48</v>
      </c>
      <c r="D280" s="10" t="s">
        <v>48</v>
      </c>
      <c r="E280" s="10" t="s">
        <v>48</v>
      </c>
      <c r="F280" s="10" t="s">
        <v>48</v>
      </c>
      <c r="G280" s="10" t="s">
        <v>48</v>
      </c>
      <c r="H280" s="10">
        <v>32</v>
      </c>
      <c r="I280" s="425" t="s">
        <v>1998</v>
      </c>
      <c r="J280" s="554" t="s">
        <v>2055</v>
      </c>
      <c r="K280" s="1591"/>
      <c r="L280" s="1513"/>
    </row>
    <row r="281" spans="1:12" ht="72">
      <c r="A281" s="883" t="s">
        <v>2530</v>
      </c>
      <c r="B281" s="426" t="s">
        <v>2531</v>
      </c>
      <c r="C281" s="10" t="s">
        <v>48</v>
      </c>
      <c r="D281" s="10" t="s">
        <v>48</v>
      </c>
      <c r="E281" s="10" t="s">
        <v>48</v>
      </c>
      <c r="F281" s="10" t="s">
        <v>48</v>
      </c>
      <c r="G281" s="10" t="s">
        <v>48</v>
      </c>
      <c r="H281" s="10">
        <v>8</v>
      </c>
      <c r="I281" s="10" t="s">
        <v>839</v>
      </c>
      <c r="J281" s="554" t="s">
        <v>2055</v>
      </c>
      <c r="K281" s="1591"/>
      <c r="L281" s="1513"/>
    </row>
    <row r="282" spans="1:12" ht="28.8">
      <c r="A282" s="883" t="s">
        <v>2532</v>
      </c>
      <c r="B282" s="426" t="s">
        <v>2508</v>
      </c>
      <c r="C282" s="10" t="s">
        <v>48</v>
      </c>
      <c r="D282" s="10" t="s">
        <v>48</v>
      </c>
      <c r="E282" s="10" t="s">
        <v>48</v>
      </c>
      <c r="F282" s="10" t="s">
        <v>48</v>
      </c>
      <c r="G282" s="10" t="s">
        <v>48</v>
      </c>
      <c r="H282" s="10">
        <v>32</v>
      </c>
      <c r="I282" s="425" t="s">
        <v>1998</v>
      </c>
      <c r="J282" s="554" t="s">
        <v>2055</v>
      </c>
      <c r="K282" s="1591"/>
      <c r="L282" s="1513"/>
    </row>
    <row r="283" spans="1:12" ht="72">
      <c r="A283" s="883" t="s">
        <v>2533</v>
      </c>
      <c r="B283" s="426" t="s">
        <v>2534</v>
      </c>
      <c r="C283" s="10" t="s">
        <v>48</v>
      </c>
      <c r="D283" s="10" t="s">
        <v>48</v>
      </c>
      <c r="E283" s="10" t="s">
        <v>48</v>
      </c>
      <c r="F283" s="10" t="s">
        <v>48</v>
      </c>
      <c r="G283" s="10" t="s">
        <v>48</v>
      </c>
      <c r="H283" s="10">
        <v>8</v>
      </c>
      <c r="I283" s="10" t="s">
        <v>839</v>
      </c>
      <c r="J283" s="554" t="s">
        <v>2055</v>
      </c>
      <c r="K283" s="1591"/>
      <c r="L283" s="1513"/>
    </row>
    <row r="284" spans="1:12" ht="28.8">
      <c r="A284" s="883" t="s">
        <v>2535</v>
      </c>
      <c r="B284" s="426" t="s">
        <v>2508</v>
      </c>
      <c r="C284" s="10" t="s">
        <v>48</v>
      </c>
      <c r="D284" s="10" t="s">
        <v>48</v>
      </c>
      <c r="E284" s="10" t="s">
        <v>48</v>
      </c>
      <c r="F284" s="10" t="s">
        <v>48</v>
      </c>
      <c r="G284" s="10" t="s">
        <v>48</v>
      </c>
      <c r="H284" s="10">
        <v>32</v>
      </c>
      <c r="I284" s="425" t="s">
        <v>1998</v>
      </c>
      <c r="J284" s="554" t="s">
        <v>2055</v>
      </c>
      <c r="K284" s="1591"/>
      <c r="L284" s="1513"/>
    </row>
    <row r="285" spans="1:12" ht="72">
      <c r="A285" s="883" t="s">
        <v>2536</v>
      </c>
      <c r="B285" s="426" t="s">
        <v>2537</v>
      </c>
      <c r="C285" s="10" t="s">
        <v>48</v>
      </c>
      <c r="D285" s="10" t="s">
        <v>48</v>
      </c>
      <c r="E285" s="10" t="s">
        <v>48</v>
      </c>
      <c r="F285" s="10" t="s">
        <v>48</v>
      </c>
      <c r="G285" s="10" t="s">
        <v>48</v>
      </c>
      <c r="H285" s="10">
        <v>8</v>
      </c>
      <c r="I285" s="10" t="s">
        <v>839</v>
      </c>
      <c r="J285" s="554" t="s">
        <v>2055</v>
      </c>
      <c r="K285" s="1591"/>
      <c r="L285" s="1513"/>
    </row>
    <row r="286" spans="1:12" ht="28.8">
      <c r="A286" s="883" t="s">
        <v>2538</v>
      </c>
      <c r="B286" s="426" t="s">
        <v>2508</v>
      </c>
      <c r="C286" s="10" t="s">
        <v>48</v>
      </c>
      <c r="D286" s="10" t="s">
        <v>48</v>
      </c>
      <c r="E286" s="10" t="s">
        <v>48</v>
      </c>
      <c r="F286" s="10" t="s">
        <v>48</v>
      </c>
      <c r="G286" s="10" t="s">
        <v>48</v>
      </c>
      <c r="H286" s="10">
        <v>32</v>
      </c>
      <c r="I286" s="425" t="s">
        <v>1998</v>
      </c>
      <c r="J286" s="554" t="s">
        <v>2055</v>
      </c>
      <c r="K286" s="1591"/>
      <c r="L286" s="1513"/>
    </row>
    <row r="287" spans="1:12" ht="72">
      <c r="A287" s="883" t="s">
        <v>2539</v>
      </c>
      <c r="B287" s="426" t="s">
        <v>2540</v>
      </c>
      <c r="C287" s="10" t="s">
        <v>48</v>
      </c>
      <c r="D287" s="10" t="s">
        <v>48</v>
      </c>
      <c r="E287" s="10" t="s">
        <v>48</v>
      </c>
      <c r="F287" s="10" t="s">
        <v>48</v>
      </c>
      <c r="G287" s="10" t="s">
        <v>48</v>
      </c>
      <c r="H287" s="10">
        <v>8</v>
      </c>
      <c r="I287" s="10" t="s">
        <v>839</v>
      </c>
      <c r="J287" s="554" t="s">
        <v>2055</v>
      </c>
      <c r="K287" s="1591"/>
      <c r="L287" s="1513"/>
    </row>
    <row r="288" spans="1:12" ht="28.8">
      <c r="A288" s="883" t="s">
        <v>2541</v>
      </c>
      <c r="B288" s="426" t="s">
        <v>2508</v>
      </c>
      <c r="C288" s="10" t="s">
        <v>48</v>
      </c>
      <c r="D288" s="10" t="s">
        <v>48</v>
      </c>
      <c r="E288" s="10" t="s">
        <v>48</v>
      </c>
      <c r="F288" s="10" t="s">
        <v>48</v>
      </c>
      <c r="G288" s="10" t="s">
        <v>48</v>
      </c>
      <c r="H288" s="10">
        <v>32</v>
      </c>
      <c r="I288" s="425" t="s">
        <v>1998</v>
      </c>
      <c r="J288" s="554" t="s">
        <v>2055</v>
      </c>
      <c r="K288" s="1591"/>
      <c r="L288" s="1513"/>
    </row>
    <row r="289" spans="1:12" ht="72">
      <c r="A289" s="883" t="s">
        <v>2542</v>
      </c>
      <c r="B289" s="426" t="s">
        <v>2543</v>
      </c>
      <c r="C289" s="10" t="s">
        <v>48</v>
      </c>
      <c r="D289" s="10" t="s">
        <v>48</v>
      </c>
      <c r="E289" s="10" t="s">
        <v>48</v>
      </c>
      <c r="F289" s="10" t="s">
        <v>48</v>
      </c>
      <c r="G289" s="10" t="s">
        <v>48</v>
      </c>
      <c r="H289" s="10">
        <v>8</v>
      </c>
      <c r="I289" s="10" t="s">
        <v>839</v>
      </c>
      <c r="J289" s="554" t="s">
        <v>2055</v>
      </c>
      <c r="K289" s="1591"/>
      <c r="L289" s="1513"/>
    </row>
    <row r="290" spans="1:12" ht="28.8">
      <c r="A290" s="883" t="s">
        <v>2544</v>
      </c>
      <c r="B290" s="426" t="s">
        <v>2508</v>
      </c>
      <c r="C290" s="10" t="s">
        <v>48</v>
      </c>
      <c r="D290" s="10" t="s">
        <v>48</v>
      </c>
      <c r="E290" s="10" t="s">
        <v>48</v>
      </c>
      <c r="F290" s="10" t="s">
        <v>48</v>
      </c>
      <c r="G290" s="10" t="s">
        <v>48</v>
      </c>
      <c r="H290" s="10">
        <v>32</v>
      </c>
      <c r="I290" s="425" t="s">
        <v>1998</v>
      </c>
      <c r="J290" s="554" t="s">
        <v>2055</v>
      </c>
      <c r="K290" s="1591"/>
      <c r="L290" s="1513"/>
    </row>
    <row r="291" spans="1:12" ht="72">
      <c r="A291" s="883" t="s">
        <v>2545</v>
      </c>
      <c r="B291" s="426" t="s">
        <v>2546</v>
      </c>
      <c r="C291" s="10" t="s">
        <v>48</v>
      </c>
      <c r="D291" s="10" t="s">
        <v>48</v>
      </c>
      <c r="E291" s="10" t="s">
        <v>48</v>
      </c>
      <c r="F291" s="10" t="s">
        <v>48</v>
      </c>
      <c r="G291" s="10" t="s">
        <v>48</v>
      </c>
      <c r="H291" s="10">
        <v>8</v>
      </c>
      <c r="I291" s="10" t="s">
        <v>839</v>
      </c>
      <c r="J291" s="554" t="s">
        <v>2055</v>
      </c>
      <c r="K291" s="1591"/>
      <c r="L291" s="1513"/>
    </row>
    <row r="292" spans="1:12" ht="28.8">
      <c r="A292" s="883" t="s">
        <v>2547</v>
      </c>
      <c r="B292" s="426" t="s">
        <v>2508</v>
      </c>
      <c r="C292" s="10" t="s">
        <v>48</v>
      </c>
      <c r="D292" s="10" t="s">
        <v>48</v>
      </c>
      <c r="E292" s="10" t="s">
        <v>48</v>
      </c>
      <c r="F292" s="10" t="s">
        <v>48</v>
      </c>
      <c r="G292" s="10" t="s">
        <v>48</v>
      </c>
      <c r="H292" s="10">
        <v>32</v>
      </c>
      <c r="I292" s="425" t="s">
        <v>1998</v>
      </c>
      <c r="J292" s="554" t="s">
        <v>2055</v>
      </c>
      <c r="K292" s="1591"/>
      <c r="L292" s="1513"/>
    </row>
    <row r="293" spans="1:12" ht="72">
      <c r="A293" s="883" t="s">
        <v>2548</v>
      </c>
      <c r="B293" s="426" t="s">
        <v>2549</v>
      </c>
      <c r="C293" s="10" t="s">
        <v>48</v>
      </c>
      <c r="D293" s="10" t="s">
        <v>48</v>
      </c>
      <c r="E293" s="10" t="s">
        <v>48</v>
      </c>
      <c r="F293" s="10" t="s">
        <v>48</v>
      </c>
      <c r="G293" s="10" t="s">
        <v>48</v>
      </c>
      <c r="H293" s="10">
        <v>8</v>
      </c>
      <c r="I293" s="10" t="s">
        <v>839</v>
      </c>
      <c r="J293" s="554" t="s">
        <v>2055</v>
      </c>
      <c r="K293" s="1591"/>
      <c r="L293" s="1513"/>
    </row>
    <row r="294" spans="1:12" ht="28.8">
      <c r="A294" s="883" t="s">
        <v>2550</v>
      </c>
      <c r="B294" s="426" t="s">
        <v>2508</v>
      </c>
      <c r="C294" s="10" t="s">
        <v>48</v>
      </c>
      <c r="D294" s="10" t="s">
        <v>48</v>
      </c>
      <c r="E294" s="10" t="s">
        <v>48</v>
      </c>
      <c r="F294" s="10" t="s">
        <v>48</v>
      </c>
      <c r="G294" s="10" t="s">
        <v>48</v>
      </c>
      <c r="H294" s="10">
        <v>32</v>
      </c>
      <c r="I294" s="425" t="s">
        <v>1998</v>
      </c>
      <c r="J294" s="554" t="s">
        <v>2055</v>
      </c>
      <c r="K294" s="1591"/>
      <c r="L294" s="1513"/>
    </row>
    <row r="295" spans="1:12" ht="72">
      <c r="A295" s="883" t="s">
        <v>2551</v>
      </c>
      <c r="B295" s="426" t="s">
        <v>2552</v>
      </c>
      <c r="C295" s="10" t="s">
        <v>48</v>
      </c>
      <c r="D295" s="10" t="s">
        <v>48</v>
      </c>
      <c r="E295" s="10" t="s">
        <v>48</v>
      </c>
      <c r="F295" s="10" t="s">
        <v>48</v>
      </c>
      <c r="G295" s="10" t="s">
        <v>48</v>
      </c>
      <c r="H295" s="10">
        <v>8</v>
      </c>
      <c r="I295" s="10" t="s">
        <v>839</v>
      </c>
      <c r="J295" s="554" t="s">
        <v>2055</v>
      </c>
      <c r="K295" s="1591"/>
      <c r="L295" s="1513"/>
    </row>
    <row r="296" spans="1:12" ht="28.8">
      <c r="A296" s="883" t="s">
        <v>2553</v>
      </c>
      <c r="B296" s="426" t="s">
        <v>2508</v>
      </c>
      <c r="C296" s="10" t="s">
        <v>48</v>
      </c>
      <c r="D296" s="10" t="s">
        <v>48</v>
      </c>
      <c r="E296" s="10" t="s">
        <v>48</v>
      </c>
      <c r="F296" s="10" t="s">
        <v>48</v>
      </c>
      <c r="G296" s="10" t="s">
        <v>48</v>
      </c>
      <c r="H296" s="10">
        <v>32</v>
      </c>
      <c r="I296" s="425" t="s">
        <v>1998</v>
      </c>
      <c r="J296" s="554" t="s">
        <v>2055</v>
      </c>
      <c r="K296" s="1591"/>
      <c r="L296" s="1513"/>
    </row>
    <row r="297" spans="1:12" ht="72">
      <c r="A297" s="883" t="s">
        <v>2554</v>
      </c>
      <c r="B297" s="426" t="s">
        <v>2555</v>
      </c>
      <c r="C297" s="10" t="s">
        <v>48</v>
      </c>
      <c r="D297" s="10" t="s">
        <v>48</v>
      </c>
      <c r="E297" s="10" t="s">
        <v>48</v>
      </c>
      <c r="F297" s="10" t="s">
        <v>48</v>
      </c>
      <c r="G297" s="10" t="s">
        <v>48</v>
      </c>
      <c r="H297" s="10">
        <v>8</v>
      </c>
      <c r="I297" s="10" t="s">
        <v>839</v>
      </c>
      <c r="J297" s="554" t="s">
        <v>2055</v>
      </c>
      <c r="K297" s="1591"/>
      <c r="L297" s="1513"/>
    </row>
    <row r="298" spans="1:12" ht="28.8">
      <c r="A298" s="883" t="s">
        <v>2556</v>
      </c>
      <c r="B298" s="426" t="s">
        <v>2508</v>
      </c>
      <c r="C298" s="10" t="s">
        <v>48</v>
      </c>
      <c r="D298" s="10" t="s">
        <v>48</v>
      </c>
      <c r="E298" s="10" t="s">
        <v>48</v>
      </c>
      <c r="F298" s="10" t="s">
        <v>48</v>
      </c>
      <c r="G298" s="10" t="s">
        <v>48</v>
      </c>
      <c r="H298" s="10">
        <v>32</v>
      </c>
      <c r="I298" s="425" t="s">
        <v>1998</v>
      </c>
      <c r="J298" s="554" t="s">
        <v>2055</v>
      </c>
      <c r="K298" s="1591"/>
      <c r="L298" s="1513"/>
    </row>
    <row r="299" spans="1:12" ht="72">
      <c r="A299" s="883" t="s">
        <v>2557</v>
      </c>
      <c r="B299" s="426" t="s">
        <v>2558</v>
      </c>
      <c r="C299" s="10" t="s">
        <v>48</v>
      </c>
      <c r="D299" s="10" t="s">
        <v>48</v>
      </c>
      <c r="E299" s="10" t="s">
        <v>48</v>
      </c>
      <c r="F299" s="10" t="s">
        <v>48</v>
      </c>
      <c r="G299" s="10" t="s">
        <v>48</v>
      </c>
      <c r="H299" s="10">
        <v>8</v>
      </c>
      <c r="I299" s="10" t="s">
        <v>839</v>
      </c>
      <c r="J299" s="554" t="s">
        <v>2055</v>
      </c>
      <c r="K299" s="1591"/>
      <c r="L299" s="1513"/>
    </row>
    <row r="300" spans="1:12" ht="28.8">
      <c r="A300" s="883" t="s">
        <v>2559</v>
      </c>
      <c r="B300" s="426" t="s">
        <v>2508</v>
      </c>
      <c r="C300" s="10" t="s">
        <v>48</v>
      </c>
      <c r="D300" s="10" t="s">
        <v>48</v>
      </c>
      <c r="E300" s="10" t="s">
        <v>48</v>
      </c>
      <c r="F300" s="10" t="s">
        <v>48</v>
      </c>
      <c r="G300" s="10" t="s">
        <v>48</v>
      </c>
      <c r="H300" s="10">
        <v>32</v>
      </c>
      <c r="I300" s="425" t="s">
        <v>1998</v>
      </c>
      <c r="J300" s="554" t="s">
        <v>2055</v>
      </c>
      <c r="K300" s="1591"/>
      <c r="L300" s="1513"/>
    </row>
    <row r="301" spans="1:12" ht="72">
      <c r="A301" s="883" t="s">
        <v>2560</v>
      </c>
      <c r="B301" s="426" t="s">
        <v>2561</v>
      </c>
      <c r="C301" s="10" t="s">
        <v>48</v>
      </c>
      <c r="D301" s="10" t="s">
        <v>48</v>
      </c>
      <c r="E301" s="10" t="s">
        <v>48</v>
      </c>
      <c r="F301" s="10" t="s">
        <v>48</v>
      </c>
      <c r="G301" s="10" t="s">
        <v>48</v>
      </c>
      <c r="H301" s="10">
        <v>8</v>
      </c>
      <c r="I301" s="10" t="s">
        <v>839</v>
      </c>
      <c r="J301" s="554" t="s">
        <v>2055</v>
      </c>
      <c r="K301" s="1591"/>
      <c r="L301" s="1513"/>
    </row>
    <row r="302" spans="1:12" ht="28.8">
      <c r="A302" s="883" t="s">
        <v>2562</v>
      </c>
      <c r="B302" s="426" t="s">
        <v>2508</v>
      </c>
      <c r="C302" s="10" t="s">
        <v>48</v>
      </c>
      <c r="D302" s="10" t="s">
        <v>48</v>
      </c>
      <c r="E302" s="10" t="s">
        <v>48</v>
      </c>
      <c r="F302" s="10" t="s">
        <v>48</v>
      </c>
      <c r="G302" s="10" t="s">
        <v>48</v>
      </c>
      <c r="H302" s="10">
        <v>32</v>
      </c>
      <c r="I302" s="425" t="s">
        <v>1998</v>
      </c>
      <c r="J302" s="554" t="s">
        <v>2055</v>
      </c>
      <c r="K302" s="1591"/>
      <c r="L302" s="1513"/>
    </row>
    <row r="303" spans="1:12" ht="72">
      <c r="A303" s="883" t="s">
        <v>2563</v>
      </c>
      <c r="B303" s="426" t="s">
        <v>2564</v>
      </c>
      <c r="C303" s="10" t="s">
        <v>48</v>
      </c>
      <c r="D303" s="10" t="s">
        <v>48</v>
      </c>
      <c r="E303" s="10" t="s">
        <v>48</v>
      </c>
      <c r="F303" s="10" t="s">
        <v>48</v>
      </c>
      <c r="G303" s="10" t="s">
        <v>48</v>
      </c>
      <c r="H303" s="10">
        <v>8</v>
      </c>
      <c r="I303" s="10" t="s">
        <v>839</v>
      </c>
      <c r="J303" s="554" t="s">
        <v>2055</v>
      </c>
      <c r="K303" s="1591"/>
      <c r="L303" s="1513"/>
    </row>
    <row r="304" spans="1:12" ht="28.8">
      <c r="A304" s="883" t="s">
        <v>2565</v>
      </c>
      <c r="B304" s="426" t="s">
        <v>2508</v>
      </c>
      <c r="C304" s="10" t="s">
        <v>48</v>
      </c>
      <c r="D304" s="10" t="s">
        <v>48</v>
      </c>
      <c r="E304" s="10" t="s">
        <v>48</v>
      </c>
      <c r="F304" s="10" t="s">
        <v>48</v>
      </c>
      <c r="G304" s="10" t="s">
        <v>48</v>
      </c>
      <c r="H304" s="10">
        <v>32</v>
      </c>
      <c r="I304" s="425" t="s">
        <v>1998</v>
      </c>
      <c r="J304" s="554" t="s">
        <v>2055</v>
      </c>
      <c r="K304" s="1591"/>
      <c r="L304" s="1513"/>
    </row>
    <row r="305" spans="1:12" ht="72">
      <c r="A305" s="883" t="s">
        <v>2566</v>
      </c>
      <c r="B305" s="426" t="s">
        <v>2567</v>
      </c>
      <c r="C305" s="10" t="s">
        <v>48</v>
      </c>
      <c r="D305" s="10" t="s">
        <v>48</v>
      </c>
      <c r="E305" s="10" t="s">
        <v>48</v>
      </c>
      <c r="F305" s="10" t="s">
        <v>48</v>
      </c>
      <c r="G305" s="10" t="s">
        <v>48</v>
      </c>
      <c r="H305" s="10">
        <v>8</v>
      </c>
      <c r="I305" s="10" t="s">
        <v>839</v>
      </c>
      <c r="J305" s="554" t="s">
        <v>2055</v>
      </c>
      <c r="K305" s="1591"/>
      <c r="L305" s="1513"/>
    </row>
    <row r="306" spans="1:12" ht="28.8">
      <c r="A306" s="883" t="s">
        <v>2568</v>
      </c>
      <c r="B306" s="426" t="s">
        <v>2508</v>
      </c>
      <c r="C306" s="10" t="s">
        <v>48</v>
      </c>
      <c r="D306" s="10" t="s">
        <v>48</v>
      </c>
      <c r="E306" s="10" t="s">
        <v>48</v>
      </c>
      <c r="F306" s="10" t="s">
        <v>48</v>
      </c>
      <c r="G306" s="10" t="s">
        <v>48</v>
      </c>
      <c r="H306" s="10">
        <v>32</v>
      </c>
      <c r="I306" s="425" t="s">
        <v>1998</v>
      </c>
      <c r="J306" s="554" t="s">
        <v>2055</v>
      </c>
      <c r="K306" s="1591"/>
      <c r="L306" s="1513"/>
    </row>
    <row r="307" spans="1:12" ht="72">
      <c r="A307" s="883" t="s">
        <v>2569</v>
      </c>
      <c r="B307" s="426" t="s">
        <v>2570</v>
      </c>
      <c r="C307" s="10" t="s">
        <v>48</v>
      </c>
      <c r="D307" s="10" t="s">
        <v>48</v>
      </c>
      <c r="E307" s="10" t="s">
        <v>48</v>
      </c>
      <c r="F307" s="10" t="s">
        <v>48</v>
      </c>
      <c r="G307" s="10" t="s">
        <v>48</v>
      </c>
      <c r="H307" s="10">
        <v>8</v>
      </c>
      <c r="I307" s="10" t="s">
        <v>839</v>
      </c>
      <c r="J307" s="554" t="s">
        <v>2055</v>
      </c>
      <c r="K307" s="1591"/>
      <c r="L307" s="1513"/>
    </row>
    <row r="308" spans="1:12" ht="28.8">
      <c r="A308" s="883" t="s">
        <v>2571</v>
      </c>
      <c r="B308" s="426" t="s">
        <v>2508</v>
      </c>
      <c r="C308" s="10" t="s">
        <v>48</v>
      </c>
      <c r="D308" s="10" t="s">
        <v>48</v>
      </c>
      <c r="E308" s="10" t="s">
        <v>48</v>
      </c>
      <c r="F308" s="10" t="s">
        <v>48</v>
      </c>
      <c r="G308" s="10" t="s">
        <v>48</v>
      </c>
      <c r="H308" s="10">
        <v>32</v>
      </c>
      <c r="I308" s="425" t="s">
        <v>1998</v>
      </c>
      <c r="J308" s="554" t="s">
        <v>2055</v>
      </c>
      <c r="K308" s="1591"/>
      <c r="L308" s="1513"/>
    </row>
    <row r="309" spans="1:12" ht="72">
      <c r="A309" s="883" t="s">
        <v>2572</v>
      </c>
      <c r="B309" s="426" t="s">
        <v>2573</v>
      </c>
      <c r="C309" s="10" t="s">
        <v>48</v>
      </c>
      <c r="D309" s="10" t="s">
        <v>48</v>
      </c>
      <c r="E309" s="10" t="s">
        <v>48</v>
      </c>
      <c r="F309" s="10" t="s">
        <v>48</v>
      </c>
      <c r="G309" s="10" t="s">
        <v>48</v>
      </c>
      <c r="H309" s="10">
        <v>8</v>
      </c>
      <c r="I309" s="10" t="s">
        <v>839</v>
      </c>
      <c r="J309" s="554" t="s">
        <v>2055</v>
      </c>
      <c r="K309" s="1591"/>
      <c r="L309" s="1513"/>
    </row>
    <row r="310" spans="1:12" ht="28.8">
      <c r="A310" s="883" t="s">
        <v>2574</v>
      </c>
      <c r="B310" s="426" t="s">
        <v>2508</v>
      </c>
      <c r="C310" s="10" t="s">
        <v>48</v>
      </c>
      <c r="D310" s="10" t="s">
        <v>48</v>
      </c>
      <c r="E310" s="10" t="s">
        <v>48</v>
      </c>
      <c r="F310" s="10" t="s">
        <v>48</v>
      </c>
      <c r="G310" s="10" t="s">
        <v>48</v>
      </c>
      <c r="H310" s="10">
        <v>32</v>
      </c>
      <c r="I310" s="425" t="s">
        <v>1998</v>
      </c>
      <c r="J310" s="554" t="s">
        <v>2055</v>
      </c>
      <c r="K310" s="1591"/>
      <c r="L310" s="1513"/>
    </row>
    <row r="311" spans="1:12" ht="72">
      <c r="A311" s="883" t="s">
        <v>2575</v>
      </c>
      <c r="B311" s="426" t="s">
        <v>2576</v>
      </c>
      <c r="C311" s="10" t="s">
        <v>48</v>
      </c>
      <c r="D311" s="10" t="s">
        <v>48</v>
      </c>
      <c r="E311" s="10" t="s">
        <v>48</v>
      </c>
      <c r="F311" s="10" t="s">
        <v>48</v>
      </c>
      <c r="G311" s="10" t="s">
        <v>48</v>
      </c>
      <c r="H311" s="10">
        <v>8</v>
      </c>
      <c r="I311" s="10" t="s">
        <v>839</v>
      </c>
      <c r="J311" s="554" t="s">
        <v>2055</v>
      </c>
      <c r="K311" s="1591"/>
      <c r="L311" s="1513"/>
    </row>
    <row r="312" spans="1:12" ht="28.8">
      <c r="A312" s="883" t="s">
        <v>2577</v>
      </c>
      <c r="B312" s="426" t="s">
        <v>2508</v>
      </c>
      <c r="C312" s="10" t="s">
        <v>48</v>
      </c>
      <c r="D312" s="10" t="s">
        <v>48</v>
      </c>
      <c r="E312" s="10" t="s">
        <v>48</v>
      </c>
      <c r="F312" s="10" t="s">
        <v>48</v>
      </c>
      <c r="G312" s="10" t="s">
        <v>48</v>
      </c>
      <c r="H312" s="10">
        <v>32</v>
      </c>
      <c r="I312" s="425" t="s">
        <v>1998</v>
      </c>
      <c r="J312" s="554" t="s">
        <v>2055</v>
      </c>
      <c r="K312" s="1591"/>
      <c r="L312" s="1513"/>
    </row>
    <row r="313" spans="1:12" ht="72">
      <c r="A313" s="883" t="s">
        <v>2578</v>
      </c>
      <c r="B313" s="426" t="s">
        <v>2579</v>
      </c>
      <c r="C313" s="10" t="s">
        <v>48</v>
      </c>
      <c r="D313" s="10" t="s">
        <v>48</v>
      </c>
      <c r="E313" s="10" t="s">
        <v>48</v>
      </c>
      <c r="F313" s="10" t="s">
        <v>48</v>
      </c>
      <c r="G313" s="10" t="s">
        <v>48</v>
      </c>
      <c r="H313" s="10">
        <v>8</v>
      </c>
      <c r="I313" s="10" t="s">
        <v>839</v>
      </c>
      <c r="J313" s="554" t="s">
        <v>2055</v>
      </c>
      <c r="K313" s="1591"/>
      <c r="L313" s="1513"/>
    </row>
    <row r="314" spans="1:12" ht="28.8">
      <c r="A314" s="883" t="s">
        <v>2580</v>
      </c>
      <c r="B314" s="426" t="s">
        <v>2508</v>
      </c>
      <c r="C314" s="10" t="s">
        <v>48</v>
      </c>
      <c r="D314" s="10" t="s">
        <v>48</v>
      </c>
      <c r="E314" s="10" t="s">
        <v>48</v>
      </c>
      <c r="F314" s="10" t="s">
        <v>48</v>
      </c>
      <c r="G314" s="10" t="s">
        <v>48</v>
      </c>
      <c r="H314" s="10">
        <v>32</v>
      </c>
      <c r="I314" s="425" t="s">
        <v>1998</v>
      </c>
      <c r="J314" s="554" t="s">
        <v>2055</v>
      </c>
      <c r="K314" s="1591"/>
      <c r="L314" s="1513"/>
    </row>
    <row r="315" spans="1:12" ht="72">
      <c r="A315" s="883" t="s">
        <v>2581</v>
      </c>
      <c r="B315" s="426" t="s">
        <v>2582</v>
      </c>
      <c r="C315" s="10" t="s">
        <v>48</v>
      </c>
      <c r="D315" s="10" t="s">
        <v>48</v>
      </c>
      <c r="E315" s="10" t="s">
        <v>48</v>
      </c>
      <c r="F315" s="10" t="s">
        <v>48</v>
      </c>
      <c r="G315" s="10" t="s">
        <v>48</v>
      </c>
      <c r="H315" s="10">
        <v>8</v>
      </c>
      <c r="I315" s="10" t="s">
        <v>839</v>
      </c>
      <c r="J315" s="554" t="s">
        <v>2055</v>
      </c>
      <c r="K315" s="1591"/>
      <c r="L315" s="1513"/>
    </row>
    <row r="316" spans="1:12" ht="43.2">
      <c r="A316" s="883" t="s">
        <v>2583</v>
      </c>
      <c r="B316" s="426" t="s">
        <v>2584</v>
      </c>
      <c r="C316" s="10" t="s">
        <v>1035</v>
      </c>
      <c r="D316" s="424">
        <v>0</v>
      </c>
      <c r="E316" s="10" t="s">
        <v>920</v>
      </c>
      <c r="F316" s="98" t="s">
        <v>1774</v>
      </c>
      <c r="G316" s="10" t="s">
        <v>920</v>
      </c>
      <c r="H316" s="346">
        <v>32</v>
      </c>
      <c r="I316" s="10" t="s">
        <v>922</v>
      </c>
      <c r="J316" s="554" t="s">
        <v>2055</v>
      </c>
      <c r="K316" s="1591"/>
      <c r="L316" s="1513"/>
    </row>
    <row r="317" spans="1:12" ht="72">
      <c r="A317" s="883" t="s">
        <v>2585</v>
      </c>
      <c r="B317" s="426" t="s">
        <v>2586</v>
      </c>
      <c r="C317" s="10" t="s">
        <v>48</v>
      </c>
      <c r="D317" s="10" t="s">
        <v>48</v>
      </c>
      <c r="E317" s="10" t="s">
        <v>48</v>
      </c>
      <c r="F317" s="10" t="s">
        <v>48</v>
      </c>
      <c r="G317" s="10" t="s">
        <v>48</v>
      </c>
      <c r="H317" s="10">
        <v>8</v>
      </c>
      <c r="I317" s="10" t="s">
        <v>839</v>
      </c>
      <c r="J317" s="554" t="s">
        <v>2055</v>
      </c>
      <c r="K317" s="1591"/>
      <c r="L317" s="1513"/>
    </row>
    <row r="318" spans="1:12" ht="43.2">
      <c r="A318" s="883" t="s">
        <v>2587</v>
      </c>
      <c r="B318" s="426" t="s">
        <v>2584</v>
      </c>
      <c r="C318" s="10" t="s">
        <v>1035</v>
      </c>
      <c r="D318" s="424">
        <v>0</v>
      </c>
      <c r="E318" s="10" t="s">
        <v>920</v>
      </c>
      <c r="F318" s="98" t="s">
        <v>1774</v>
      </c>
      <c r="G318" s="10" t="s">
        <v>920</v>
      </c>
      <c r="H318" s="346">
        <v>32</v>
      </c>
      <c r="I318" s="10" t="s">
        <v>922</v>
      </c>
      <c r="J318" s="554" t="s">
        <v>2055</v>
      </c>
      <c r="K318" s="1591"/>
      <c r="L318" s="1513"/>
    </row>
    <row r="319" spans="1:12" ht="72">
      <c r="A319" s="883" t="s">
        <v>2588</v>
      </c>
      <c r="B319" s="426" t="s">
        <v>2589</v>
      </c>
      <c r="C319" s="10" t="s">
        <v>48</v>
      </c>
      <c r="D319" s="10" t="s">
        <v>48</v>
      </c>
      <c r="E319" s="10" t="s">
        <v>48</v>
      </c>
      <c r="F319" s="10" t="s">
        <v>48</v>
      </c>
      <c r="G319" s="10" t="s">
        <v>48</v>
      </c>
      <c r="H319" s="10">
        <v>8</v>
      </c>
      <c r="I319" s="10" t="s">
        <v>839</v>
      </c>
      <c r="J319" s="554" t="s">
        <v>2055</v>
      </c>
      <c r="K319" s="1591"/>
      <c r="L319" s="1513"/>
    </row>
    <row r="320" spans="1:12" ht="43.2">
      <c r="A320" s="883" t="s">
        <v>2590</v>
      </c>
      <c r="B320" s="426" t="s">
        <v>2584</v>
      </c>
      <c r="C320" s="10" t="s">
        <v>1035</v>
      </c>
      <c r="D320" s="424">
        <v>0</v>
      </c>
      <c r="E320" s="10" t="s">
        <v>920</v>
      </c>
      <c r="F320" s="98" t="s">
        <v>1774</v>
      </c>
      <c r="G320" s="10" t="s">
        <v>920</v>
      </c>
      <c r="H320" s="346">
        <v>32</v>
      </c>
      <c r="I320" s="10" t="s">
        <v>922</v>
      </c>
      <c r="J320" s="554" t="s">
        <v>2055</v>
      </c>
      <c r="K320" s="1591"/>
      <c r="L320" s="1513"/>
    </row>
    <row r="321" spans="1:12" ht="72">
      <c r="A321" s="883" t="s">
        <v>2591</v>
      </c>
      <c r="B321" s="426" t="s">
        <v>2592</v>
      </c>
      <c r="C321" s="10" t="s">
        <v>48</v>
      </c>
      <c r="D321" s="10" t="s">
        <v>48</v>
      </c>
      <c r="E321" s="10" t="s">
        <v>48</v>
      </c>
      <c r="F321" s="10" t="s">
        <v>48</v>
      </c>
      <c r="G321" s="10" t="s">
        <v>48</v>
      </c>
      <c r="H321" s="10">
        <v>8</v>
      </c>
      <c r="I321" s="10" t="s">
        <v>839</v>
      </c>
      <c r="J321" s="554" t="s">
        <v>2055</v>
      </c>
      <c r="K321" s="1591"/>
      <c r="L321" s="1513"/>
    </row>
    <row r="322" spans="1:12" ht="43.2">
      <c r="A322" s="883" t="s">
        <v>2593</v>
      </c>
      <c r="B322" s="426" t="s">
        <v>2584</v>
      </c>
      <c r="C322" s="10" t="s">
        <v>1035</v>
      </c>
      <c r="D322" s="424">
        <v>0</v>
      </c>
      <c r="E322" s="10" t="s">
        <v>920</v>
      </c>
      <c r="F322" s="98" t="s">
        <v>1774</v>
      </c>
      <c r="G322" s="10" t="s">
        <v>920</v>
      </c>
      <c r="H322" s="346">
        <v>32</v>
      </c>
      <c r="I322" s="10" t="s">
        <v>922</v>
      </c>
      <c r="J322" s="554" t="s">
        <v>2055</v>
      </c>
      <c r="K322" s="1591"/>
      <c r="L322" s="1513"/>
    </row>
    <row r="323" spans="1:12" ht="72">
      <c r="A323" s="883" t="s">
        <v>2594</v>
      </c>
      <c r="B323" s="426" t="s">
        <v>2595</v>
      </c>
      <c r="C323" s="10" t="s">
        <v>48</v>
      </c>
      <c r="D323" s="10" t="s">
        <v>48</v>
      </c>
      <c r="E323" s="10" t="s">
        <v>48</v>
      </c>
      <c r="F323" s="10" t="s">
        <v>48</v>
      </c>
      <c r="G323" s="10" t="s">
        <v>48</v>
      </c>
      <c r="H323" s="10">
        <v>8</v>
      </c>
      <c r="I323" s="10" t="s">
        <v>839</v>
      </c>
      <c r="J323" s="554" t="s">
        <v>2055</v>
      </c>
      <c r="K323" s="1591"/>
      <c r="L323" s="1513"/>
    </row>
    <row r="324" spans="1:12" ht="43.2">
      <c r="A324" s="883" t="s">
        <v>2596</v>
      </c>
      <c r="B324" s="426" t="s">
        <v>2584</v>
      </c>
      <c r="C324" s="10" t="s">
        <v>1035</v>
      </c>
      <c r="D324" s="424">
        <v>0</v>
      </c>
      <c r="E324" s="10" t="s">
        <v>920</v>
      </c>
      <c r="F324" s="98" t="s">
        <v>1774</v>
      </c>
      <c r="G324" s="10" t="s">
        <v>920</v>
      </c>
      <c r="H324" s="346">
        <v>32</v>
      </c>
      <c r="I324" s="10" t="s">
        <v>922</v>
      </c>
      <c r="J324" s="554" t="s">
        <v>2055</v>
      </c>
      <c r="K324" s="1591"/>
      <c r="L324" s="1513"/>
    </row>
    <row r="325" spans="1:12" ht="72">
      <c r="A325" s="883" t="s">
        <v>2597</v>
      </c>
      <c r="B325" s="426" t="s">
        <v>2598</v>
      </c>
      <c r="C325" s="10" t="s">
        <v>48</v>
      </c>
      <c r="D325" s="10" t="s">
        <v>48</v>
      </c>
      <c r="E325" s="10" t="s">
        <v>48</v>
      </c>
      <c r="F325" s="10" t="s">
        <v>48</v>
      </c>
      <c r="G325" s="10" t="s">
        <v>48</v>
      </c>
      <c r="H325" s="10">
        <v>8</v>
      </c>
      <c r="I325" s="10" t="s">
        <v>839</v>
      </c>
      <c r="J325" s="554" t="s">
        <v>2055</v>
      </c>
      <c r="K325" s="1591"/>
      <c r="L325" s="1513"/>
    </row>
    <row r="326" spans="1:12" ht="28.8">
      <c r="A326" s="883" t="s">
        <v>2599</v>
      </c>
      <c r="B326" s="426" t="s">
        <v>2600</v>
      </c>
      <c r="C326" s="10" t="s">
        <v>48</v>
      </c>
      <c r="D326" s="10" t="s">
        <v>48</v>
      </c>
      <c r="E326" s="10" t="s">
        <v>48</v>
      </c>
      <c r="F326" s="10" t="s">
        <v>48</v>
      </c>
      <c r="G326" s="10" t="s">
        <v>48</v>
      </c>
      <c r="H326" s="346">
        <v>32</v>
      </c>
      <c r="I326" s="423" t="s">
        <v>2601</v>
      </c>
      <c r="J326" s="554" t="s">
        <v>2055</v>
      </c>
      <c r="K326" s="1591"/>
      <c r="L326" s="1513"/>
    </row>
    <row r="327" spans="1:12" ht="72">
      <c r="A327" s="883" t="s">
        <v>2602</v>
      </c>
      <c r="B327" s="426" t="s">
        <v>2603</v>
      </c>
      <c r="C327" s="10" t="s">
        <v>48</v>
      </c>
      <c r="D327" s="10" t="s">
        <v>48</v>
      </c>
      <c r="E327" s="10" t="s">
        <v>48</v>
      </c>
      <c r="F327" s="10" t="s">
        <v>48</v>
      </c>
      <c r="G327" s="10" t="s">
        <v>48</v>
      </c>
      <c r="H327" s="10">
        <v>8</v>
      </c>
      <c r="I327" s="10" t="s">
        <v>839</v>
      </c>
      <c r="J327" s="554" t="s">
        <v>2055</v>
      </c>
      <c r="K327" s="1591"/>
      <c r="L327" s="1513"/>
    </row>
    <row r="328" spans="1:12" ht="28.8">
      <c r="A328" s="883" t="s">
        <v>2604</v>
      </c>
      <c r="B328" s="426" t="s">
        <v>2600</v>
      </c>
      <c r="C328" s="10" t="s">
        <v>48</v>
      </c>
      <c r="D328" s="10" t="s">
        <v>48</v>
      </c>
      <c r="E328" s="10" t="s">
        <v>48</v>
      </c>
      <c r="F328" s="10" t="s">
        <v>48</v>
      </c>
      <c r="G328" s="10" t="s">
        <v>48</v>
      </c>
      <c r="H328" s="346">
        <v>32</v>
      </c>
      <c r="I328" s="423" t="s">
        <v>2601</v>
      </c>
      <c r="J328" s="554" t="s">
        <v>2055</v>
      </c>
      <c r="K328" s="1591"/>
      <c r="L328" s="1513"/>
    </row>
    <row r="329" spans="1:12" ht="72">
      <c r="A329" s="883" t="s">
        <v>2605</v>
      </c>
      <c r="B329" s="426" t="s">
        <v>2606</v>
      </c>
      <c r="C329" s="10" t="s">
        <v>48</v>
      </c>
      <c r="D329" s="10" t="s">
        <v>48</v>
      </c>
      <c r="E329" s="10" t="s">
        <v>48</v>
      </c>
      <c r="F329" s="10" t="s">
        <v>48</v>
      </c>
      <c r="G329" s="10" t="s">
        <v>48</v>
      </c>
      <c r="H329" s="10">
        <v>8</v>
      </c>
      <c r="I329" s="10" t="s">
        <v>839</v>
      </c>
      <c r="J329" s="554" t="s">
        <v>2055</v>
      </c>
      <c r="K329" s="1591"/>
      <c r="L329" s="1513"/>
    </row>
    <row r="330" spans="1:12" ht="28.8">
      <c r="A330" s="883" t="s">
        <v>2607</v>
      </c>
      <c r="B330" s="426" t="s">
        <v>2600</v>
      </c>
      <c r="C330" s="10" t="s">
        <v>48</v>
      </c>
      <c r="D330" s="10" t="s">
        <v>48</v>
      </c>
      <c r="E330" s="10" t="s">
        <v>48</v>
      </c>
      <c r="F330" s="10" t="s">
        <v>48</v>
      </c>
      <c r="G330" s="10" t="s">
        <v>48</v>
      </c>
      <c r="H330" s="346">
        <v>32</v>
      </c>
      <c r="I330" s="423" t="s">
        <v>2601</v>
      </c>
      <c r="J330" s="554" t="s">
        <v>2055</v>
      </c>
      <c r="K330" s="1591"/>
      <c r="L330" s="1513"/>
    </row>
    <row r="331" spans="1:12" ht="72">
      <c r="A331" s="883" t="s">
        <v>2608</v>
      </c>
      <c r="B331" s="426" t="s">
        <v>2609</v>
      </c>
      <c r="C331" s="10" t="s">
        <v>48</v>
      </c>
      <c r="D331" s="10" t="s">
        <v>48</v>
      </c>
      <c r="E331" s="10" t="s">
        <v>48</v>
      </c>
      <c r="F331" s="10" t="s">
        <v>48</v>
      </c>
      <c r="G331" s="10" t="s">
        <v>48</v>
      </c>
      <c r="H331" s="10">
        <v>8</v>
      </c>
      <c r="I331" s="10" t="s">
        <v>839</v>
      </c>
      <c r="J331" s="554" t="s">
        <v>2055</v>
      </c>
      <c r="K331" s="1591"/>
      <c r="L331" s="1513"/>
    </row>
    <row r="332" spans="1:12" ht="28.8">
      <c r="A332" s="883" t="s">
        <v>2610</v>
      </c>
      <c r="B332" s="426" t="s">
        <v>2600</v>
      </c>
      <c r="C332" s="10" t="s">
        <v>48</v>
      </c>
      <c r="D332" s="10" t="s">
        <v>48</v>
      </c>
      <c r="E332" s="10" t="s">
        <v>48</v>
      </c>
      <c r="F332" s="10" t="s">
        <v>48</v>
      </c>
      <c r="G332" s="10" t="s">
        <v>48</v>
      </c>
      <c r="H332" s="346">
        <v>32</v>
      </c>
      <c r="I332" s="423" t="s">
        <v>2601</v>
      </c>
      <c r="J332" s="554" t="s">
        <v>2055</v>
      </c>
      <c r="K332" s="1591"/>
      <c r="L332" s="1513"/>
    </row>
    <row r="333" spans="1:12" ht="72">
      <c r="A333" s="883" t="s">
        <v>2611</v>
      </c>
      <c r="B333" s="426" t="s">
        <v>2612</v>
      </c>
      <c r="C333" s="10" t="s">
        <v>48</v>
      </c>
      <c r="D333" s="10" t="s">
        <v>48</v>
      </c>
      <c r="E333" s="10" t="s">
        <v>48</v>
      </c>
      <c r="F333" s="10" t="s">
        <v>48</v>
      </c>
      <c r="G333" s="10" t="s">
        <v>48</v>
      </c>
      <c r="H333" s="10">
        <v>8</v>
      </c>
      <c r="I333" s="10" t="s">
        <v>839</v>
      </c>
      <c r="J333" s="554" t="s">
        <v>2055</v>
      </c>
      <c r="K333" s="1591"/>
      <c r="L333" s="1513"/>
    </row>
    <row r="334" spans="1:12" ht="57.6">
      <c r="A334" s="883" t="s">
        <v>2613</v>
      </c>
      <c r="B334" s="426" t="s">
        <v>2614</v>
      </c>
      <c r="C334" s="10" t="s">
        <v>48</v>
      </c>
      <c r="D334" s="10" t="s">
        <v>48</v>
      </c>
      <c r="E334" s="10" t="s">
        <v>48</v>
      </c>
      <c r="F334" s="10" t="s">
        <v>48</v>
      </c>
      <c r="G334" s="10" t="s">
        <v>48</v>
      </c>
      <c r="H334" s="10">
        <v>32</v>
      </c>
      <c r="I334" s="425" t="s">
        <v>1834</v>
      </c>
      <c r="J334" s="554" t="s">
        <v>2055</v>
      </c>
      <c r="K334" s="1591"/>
      <c r="L334" s="1513"/>
    </row>
    <row r="335" spans="1:12" ht="72">
      <c r="A335" s="883" t="s">
        <v>2615</v>
      </c>
      <c r="B335" s="426" t="s">
        <v>2616</v>
      </c>
      <c r="C335" s="10" t="s">
        <v>48</v>
      </c>
      <c r="D335" s="10" t="s">
        <v>48</v>
      </c>
      <c r="E335" s="10" t="s">
        <v>48</v>
      </c>
      <c r="F335" s="10" t="s">
        <v>48</v>
      </c>
      <c r="G335" s="10" t="s">
        <v>48</v>
      </c>
      <c r="H335" s="10">
        <v>8</v>
      </c>
      <c r="I335" s="10" t="s">
        <v>839</v>
      </c>
      <c r="J335" s="554" t="s">
        <v>2055</v>
      </c>
      <c r="K335" s="1591"/>
      <c r="L335" s="1513"/>
    </row>
    <row r="336" spans="1:12" ht="57.6">
      <c r="A336" s="883" t="s">
        <v>2617</v>
      </c>
      <c r="B336" s="426" t="s">
        <v>2618</v>
      </c>
      <c r="C336" s="10" t="s">
        <v>48</v>
      </c>
      <c r="D336" s="10" t="s">
        <v>48</v>
      </c>
      <c r="E336" s="10" t="s">
        <v>48</v>
      </c>
      <c r="F336" s="10" t="s">
        <v>48</v>
      </c>
      <c r="G336" s="10" t="s">
        <v>48</v>
      </c>
      <c r="H336" s="10">
        <v>32</v>
      </c>
      <c r="I336" s="425" t="s">
        <v>1834</v>
      </c>
      <c r="J336" s="554" t="s">
        <v>2055</v>
      </c>
      <c r="K336" s="1591"/>
      <c r="L336" s="1513"/>
    </row>
    <row r="337" spans="1:12" ht="72">
      <c r="A337" s="883" t="s">
        <v>2619</v>
      </c>
      <c r="B337" s="426" t="s">
        <v>2620</v>
      </c>
      <c r="C337" s="10" t="s">
        <v>48</v>
      </c>
      <c r="D337" s="10" t="s">
        <v>48</v>
      </c>
      <c r="E337" s="10" t="s">
        <v>48</v>
      </c>
      <c r="F337" s="10" t="s">
        <v>48</v>
      </c>
      <c r="G337" s="10" t="s">
        <v>48</v>
      </c>
      <c r="H337" s="10">
        <v>8</v>
      </c>
      <c r="I337" s="10" t="s">
        <v>839</v>
      </c>
      <c r="J337" s="554" t="s">
        <v>2055</v>
      </c>
      <c r="K337" s="1591"/>
      <c r="L337" s="1513"/>
    </row>
    <row r="338" spans="1:12" ht="57.6">
      <c r="A338" s="883" t="s">
        <v>2621</v>
      </c>
      <c r="B338" s="426" t="s">
        <v>2618</v>
      </c>
      <c r="C338" s="10" t="s">
        <v>48</v>
      </c>
      <c r="D338" s="10" t="s">
        <v>48</v>
      </c>
      <c r="E338" s="10" t="s">
        <v>48</v>
      </c>
      <c r="F338" s="10" t="s">
        <v>48</v>
      </c>
      <c r="G338" s="10" t="s">
        <v>48</v>
      </c>
      <c r="H338" s="10">
        <v>32</v>
      </c>
      <c r="I338" s="425" t="s">
        <v>1834</v>
      </c>
      <c r="J338" s="554" t="s">
        <v>2055</v>
      </c>
      <c r="K338" s="1591"/>
      <c r="L338" s="1513"/>
    </row>
    <row r="339" spans="1:12" ht="72">
      <c r="A339" s="883" t="s">
        <v>2622</v>
      </c>
      <c r="B339" s="426" t="s">
        <v>2623</v>
      </c>
      <c r="C339" s="10" t="s">
        <v>48</v>
      </c>
      <c r="D339" s="10" t="s">
        <v>48</v>
      </c>
      <c r="E339" s="10" t="s">
        <v>48</v>
      </c>
      <c r="F339" s="10" t="s">
        <v>48</v>
      </c>
      <c r="G339" s="10" t="s">
        <v>48</v>
      </c>
      <c r="H339" s="10">
        <v>8</v>
      </c>
      <c r="I339" s="10" t="s">
        <v>839</v>
      </c>
      <c r="J339" s="554" t="s">
        <v>2055</v>
      </c>
      <c r="K339" s="1591"/>
      <c r="L339" s="1513"/>
    </row>
    <row r="340" spans="1:12" ht="57.6">
      <c r="A340" s="883" t="s">
        <v>2624</v>
      </c>
      <c r="B340" s="426" t="s">
        <v>2618</v>
      </c>
      <c r="C340" s="10" t="s">
        <v>48</v>
      </c>
      <c r="D340" s="10" t="s">
        <v>48</v>
      </c>
      <c r="E340" s="10" t="s">
        <v>48</v>
      </c>
      <c r="F340" s="10" t="s">
        <v>48</v>
      </c>
      <c r="G340" s="10" t="s">
        <v>48</v>
      </c>
      <c r="H340" s="10">
        <v>32</v>
      </c>
      <c r="I340" s="425" t="s">
        <v>1834</v>
      </c>
      <c r="J340" s="554" t="s">
        <v>2055</v>
      </c>
      <c r="K340" s="1591"/>
      <c r="L340" s="1513"/>
    </row>
    <row r="341" spans="1:12" ht="72">
      <c r="A341" s="883" t="s">
        <v>2625</v>
      </c>
      <c r="B341" s="426" t="s">
        <v>2626</v>
      </c>
      <c r="C341" s="10" t="s">
        <v>48</v>
      </c>
      <c r="D341" s="10" t="s">
        <v>48</v>
      </c>
      <c r="E341" s="10" t="s">
        <v>48</v>
      </c>
      <c r="F341" s="10" t="s">
        <v>48</v>
      </c>
      <c r="G341" s="10" t="s">
        <v>48</v>
      </c>
      <c r="H341" s="10">
        <v>8</v>
      </c>
      <c r="I341" s="10" t="s">
        <v>839</v>
      </c>
      <c r="J341" s="554" t="s">
        <v>2055</v>
      </c>
      <c r="K341" s="1591"/>
      <c r="L341" s="1513"/>
    </row>
    <row r="342" spans="1:12" ht="28.8">
      <c r="A342" s="883" t="s">
        <v>2627</v>
      </c>
      <c r="B342" s="426" t="s">
        <v>2628</v>
      </c>
      <c r="C342" s="10" t="s">
        <v>996</v>
      </c>
      <c r="D342" s="10">
        <v>-1</v>
      </c>
      <c r="E342" s="10" t="s">
        <v>920</v>
      </c>
      <c r="F342" s="98" t="s">
        <v>2629</v>
      </c>
      <c r="G342" s="10" t="s">
        <v>920</v>
      </c>
      <c r="H342" s="346">
        <v>32</v>
      </c>
      <c r="I342" s="10" t="s">
        <v>922</v>
      </c>
      <c r="J342" s="554" t="s">
        <v>2055</v>
      </c>
      <c r="K342" s="1591"/>
      <c r="L342" s="1513"/>
    </row>
    <row r="343" spans="1:12" ht="72">
      <c r="A343" s="883" t="s">
        <v>2630</v>
      </c>
      <c r="B343" s="426" t="s">
        <v>2631</v>
      </c>
      <c r="C343" s="10" t="s">
        <v>48</v>
      </c>
      <c r="D343" s="10" t="s">
        <v>48</v>
      </c>
      <c r="E343" s="10" t="s">
        <v>48</v>
      </c>
      <c r="F343" s="10" t="s">
        <v>48</v>
      </c>
      <c r="G343" s="10" t="s">
        <v>48</v>
      </c>
      <c r="H343" s="10">
        <v>8</v>
      </c>
      <c r="I343" s="10" t="s">
        <v>839</v>
      </c>
      <c r="J343" s="554" t="s">
        <v>2055</v>
      </c>
      <c r="K343" s="1591"/>
      <c r="L343" s="1513"/>
    </row>
    <row r="344" spans="1:12" ht="28.8">
      <c r="A344" s="883" t="s">
        <v>2632</v>
      </c>
      <c r="B344" s="426" t="s">
        <v>2128</v>
      </c>
      <c r="C344" s="10" t="s">
        <v>1072</v>
      </c>
      <c r="D344" s="10">
        <v>-20</v>
      </c>
      <c r="E344" s="10" t="s">
        <v>920</v>
      </c>
      <c r="F344" s="98" t="s">
        <v>2633</v>
      </c>
      <c r="G344" s="10" t="s">
        <v>920</v>
      </c>
      <c r="H344" s="346">
        <v>32</v>
      </c>
      <c r="I344" s="10" t="s">
        <v>922</v>
      </c>
      <c r="J344" s="554" t="s">
        <v>2055</v>
      </c>
      <c r="K344" s="1591"/>
      <c r="L344" s="1513"/>
    </row>
    <row r="345" spans="1:12" ht="72">
      <c r="A345" s="883" t="s">
        <v>2634</v>
      </c>
      <c r="B345" s="426" t="s">
        <v>2635</v>
      </c>
      <c r="C345" s="10" t="s">
        <v>48</v>
      </c>
      <c r="D345" s="10" t="s">
        <v>48</v>
      </c>
      <c r="E345" s="10" t="s">
        <v>48</v>
      </c>
      <c r="F345" s="10" t="s">
        <v>48</v>
      </c>
      <c r="G345" s="10" t="s">
        <v>48</v>
      </c>
      <c r="H345" s="10">
        <v>8</v>
      </c>
      <c r="I345" s="10" t="s">
        <v>839</v>
      </c>
      <c r="J345" s="554" t="s">
        <v>2055</v>
      </c>
      <c r="K345" s="1591"/>
      <c r="L345" s="1513"/>
    </row>
    <row r="346" spans="1:12" ht="25.8">
      <c r="A346" s="883" t="s">
        <v>2636</v>
      </c>
      <c r="B346" s="426" t="s">
        <v>2637</v>
      </c>
      <c r="C346" s="10" t="s">
        <v>996</v>
      </c>
      <c r="D346" s="10">
        <v>-2</v>
      </c>
      <c r="E346" s="10" t="s">
        <v>920</v>
      </c>
      <c r="F346" s="98" t="s">
        <v>2638</v>
      </c>
      <c r="G346" s="10" t="s">
        <v>920</v>
      </c>
      <c r="H346" s="346">
        <v>32</v>
      </c>
      <c r="I346" s="10" t="s">
        <v>922</v>
      </c>
      <c r="J346" s="554" t="s">
        <v>2055</v>
      </c>
      <c r="K346" s="1591"/>
      <c r="L346" s="1513"/>
    </row>
    <row r="347" spans="1:12" ht="72">
      <c r="A347" s="883" t="s">
        <v>2639</v>
      </c>
      <c r="B347" s="426" t="s">
        <v>2640</v>
      </c>
      <c r="C347" s="10" t="s">
        <v>48</v>
      </c>
      <c r="D347" s="10" t="s">
        <v>48</v>
      </c>
      <c r="E347" s="10" t="s">
        <v>48</v>
      </c>
      <c r="F347" s="10" t="s">
        <v>48</v>
      </c>
      <c r="G347" s="10" t="s">
        <v>48</v>
      </c>
      <c r="H347" s="10">
        <v>8</v>
      </c>
      <c r="I347" s="10" t="s">
        <v>839</v>
      </c>
      <c r="J347" s="554" t="s">
        <v>2055</v>
      </c>
      <c r="K347" s="1591"/>
      <c r="L347" s="1513"/>
    </row>
    <row r="348" spans="1:12" ht="25.8">
      <c r="A348" s="883" t="s">
        <v>2641</v>
      </c>
      <c r="B348" s="426" t="s">
        <v>2637</v>
      </c>
      <c r="C348" s="10" t="s">
        <v>996</v>
      </c>
      <c r="D348" s="10">
        <v>-2</v>
      </c>
      <c r="E348" s="10" t="s">
        <v>920</v>
      </c>
      <c r="F348" s="98" t="s">
        <v>2638</v>
      </c>
      <c r="G348" s="10" t="s">
        <v>920</v>
      </c>
      <c r="H348" s="346">
        <v>32</v>
      </c>
      <c r="I348" s="10" t="s">
        <v>922</v>
      </c>
      <c r="J348" s="554" t="s">
        <v>2055</v>
      </c>
      <c r="K348" s="1591"/>
      <c r="L348" s="1513"/>
    </row>
    <row r="349" spans="1:12" ht="72">
      <c r="A349" s="883" t="s">
        <v>2642</v>
      </c>
      <c r="B349" s="426" t="s">
        <v>2643</v>
      </c>
      <c r="C349" s="10" t="s">
        <v>48</v>
      </c>
      <c r="D349" s="10" t="s">
        <v>48</v>
      </c>
      <c r="E349" s="10" t="s">
        <v>48</v>
      </c>
      <c r="F349" s="10" t="s">
        <v>48</v>
      </c>
      <c r="G349" s="10" t="s">
        <v>48</v>
      </c>
      <c r="H349" s="10">
        <v>8</v>
      </c>
      <c r="I349" s="10" t="s">
        <v>839</v>
      </c>
      <c r="J349" s="554" t="s">
        <v>2055</v>
      </c>
      <c r="K349" s="1591"/>
      <c r="L349" s="1513"/>
    </row>
    <row r="350" spans="1:12" ht="25.8">
      <c r="A350" s="883" t="s">
        <v>2644</v>
      </c>
      <c r="B350" s="426" t="s">
        <v>2637</v>
      </c>
      <c r="C350" s="10" t="s">
        <v>996</v>
      </c>
      <c r="D350" s="10">
        <v>-2</v>
      </c>
      <c r="E350" s="10" t="s">
        <v>920</v>
      </c>
      <c r="F350" s="98" t="s">
        <v>2638</v>
      </c>
      <c r="G350" s="10" t="s">
        <v>920</v>
      </c>
      <c r="H350" s="346">
        <v>32</v>
      </c>
      <c r="I350" s="10" t="s">
        <v>922</v>
      </c>
      <c r="J350" s="554" t="s">
        <v>2055</v>
      </c>
      <c r="K350" s="1591"/>
      <c r="L350" s="1513"/>
    </row>
    <row r="351" spans="1:12" ht="72">
      <c r="A351" s="883" t="s">
        <v>2645</v>
      </c>
      <c r="B351" s="426" t="s">
        <v>2646</v>
      </c>
      <c r="C351" s="10" t="s">
        <v>48</v>
      </c>
      <c r="D351" s="10" t="s">
        <v>48</v>
      </c>
      <c r="E351" s="10" t="s">
        <v>48</v>
      </c>
      <c r="F351" s="10" t="s">
        <v>48</v>
      </c>
      <c r="G351" s="10" t="s">
        <v>48</v>
      </c>
      <c r="H351" s="10">
        <v>8</v>
      </c>
      <c r="I351" s="10" t="s">
        <v>839</v>
      </c>
      <c r="J351" s="554" t="s">
        <v>2055</v>
      </c>
      <c r="K351" s="1591"/>
      <c r="L351" s="1513"/>
    </row>
    <row r="352" spans="1:12" ht="25.8">
      <c r="A352" s="883" t="s">
        <v>2647</v>
      </c>
      <c r="B352" s="426" t="s">
        <v>2637</v>
      </c>
      <c r="C352" s="10" t="s">
        <v>996</v>
      </c>
      <c r="D352" s="10">
        <v>-2</v>
      </c>
      <c r="E352" s="10" t="s">
        <v>920</v>
      </c>
      <c r="F352" s="98" t="s">
        <v>2638</v>
      </c>
      <c r="G352" s="10" t="s">
        <v>920</v>
      </c>
      <c r="H352" s="346">
        <v>32</v>
      </c>
      <c r="I352" s="10" t="s">
        <v>922</v>
      </c>
      <c r="J352" s="554" t="s">
        <v>2055</v>
      </c>
      <c r="K352" s="1591"/>
      <c r="L352" s="1513"/>
    </row>
    <row r="353" spans="1:12" ht="72">
      <c r="A353" s="883" t="s">
        <v>2648</v>
      </c>
      <c r="B353" s="426" t="s">
        <v>2649</v>
      </c>
      <c r="C353" s="10" t="s">
        <v>48</v>
      </c>
      <c r="D353" s="10" t="s">
        <v>48</v>
      </c>
      <c r="E353" s="10" t="s">
        <v>48</v>
      </c>
      <c r="F353" s="10" t="s">
        <v>48</v>
      </c>
      <c r="G353" s="10" t="s">
        <v>48</v>
      </c>
      <c r="H353" s="10">
        <v>8</v>
      </c>
      <c r="I353" s="10" t="s">
        <v>839</v>
      </c>
      <c r="J353" s="554" t="s">
        <v>2055</v>
      </c>
      <c r="K353" s="1591"/>
      <c r="L353" s="1513"/>
    </row>
    <row r="354" spans="1:12" ht="25.8">
      <c r="A354" s="883" t="s">
        <v>2650</v>
      </c>
      <c r="B354" s="426" t="s">
        <v>2637</v>
      </c>
      <c r="C354" s="10" t="s">
        <v>996</v>
      </c>
      <c r="D354" s="10">
        <v>-2</v>
      </c>
      <c r="E354" s="10" t="s">
        <v>920</v>
      </c>
      <c r="F354" s="98" t="s">
        <v>2638</v>
      </c>
      <c r="G354" s="10" t="s">
        <v>920</v>
      </c>
      <c r="H354" s="346">
        <v>32</v>
      </c>
      <c r="I354" s="10" t="s">
        <v>922</v>
      </c>
      <c r="J354" s="554" t="s">
        <v>2055</v>
      </c>
      <c r="K354" s="1591"/>
      <c r="L354" s="1513"/>
    </row>
    <row r="355" spans="1:12" ht="72">
      <c r="A355" s="883" t="s">
        <v>2651</v>
      </c>
      <c r="B355" s="426" t="s">
        <v>2652</v>
      </c>
      <c r="C355" s="10" t="s">
        <v>48</v>
      </c>
      <c r="D355" s="10" t="s">
        <v>48</v>
      </c>
      <c r="E355" s="10" t="s">
        <v>48</v>
      </c>
      <c r="F355" s="10" t="s">
        <v>48</v>
      </c>
      <c r="G355" s="10" t="s">
        <v>48</v>
      </c>
      <c r="H355" s="10">
        <v>8</v>
      </c>
      <c r="I355" s="10" t="s">
        <v>839</v>
      </c>
      <c r="J355" s="554" t="s">
        <v>2055</v>
      </c>
      <c r="K355" s="1591"/>
      <c r="L355" s="1513"/>
    </row>
    <row r="356" spans="1:12" ht="28.8">
      <c r="A356" s="883" t="s">
        <v>2653</v>
      </c>
      <c r="B356" s="426" t="s">
        <v>2654</v>
      </c>
      <c r="C356" s="10" t="s">
        <v>996</v>
      </c>
      <c r="D356" s="10">
        <v>0</v>
      </c>
      <c r="E356" s="10" t="s">
        <v>920</v>
      </c>
      <c r="F356" s="98" t="s">
        <v>1187</v>
      </c>
      <c r="G356" s="10" t="s">
        <v>920</v>
      </c>
      <c r="H356" s="346">
        <v>32</v>
      </c>
      <c r="I356" s="10" t="s">
        <v>922</v>
      </c>
      <c r="J356" s="554" t="s">
        <v>2055</v>
      </c>
      <c r="K356" s="1591"/>
      <c r="L356" s="1513"/>
    </row>
    <row r="357" spans="1:12" ht="72">
      <c r="A357" s="883" t="s">
        <v>2655</v>
      </c>
      <c r="B357" s="426" t="s">
        <v>2656</v>
      </c>
      <c r="C357" s="10" t="s">
        <v>48</v>
      </c>
      <c r="D357" s="10" t="s">
        <v>48</v>
      </c>
      <c r="E357" s="10" t="s">
        <v>48</v>
      </c>
      <c r="F357" s="10" t="s">
        <v>48</v>
      </c>
      <c r="G357" s="10" t="s">
        <v>48</v>
      </c>
      <c r="H357" s="10">
        <v>8</v>
      </c>
      <c r="I357" s="10" t="s">
        <v>839</v>
      </c>
      <c r="J357" s="554" t="s">
        <v>2055</v>
      </c>
      <c r="K357" s="1591"/>
      <c r="L357" s="1513"/>
    </row>
    <row r="358" spans="1:12" ht="28.8">
      <c r="A358" s="883" t="s">
        <v>2657</v>
      </c>
      <c r="B358" s="426" t="s">
        <v>2654</v>
      </c>
      <c r="C358" s="10" t="s">
        <v>996</v>
      </c>
      <c r="D358" s="10">
        <v>0</v>
      </c>
      <c r="E358" s="10" t="s">
        <v>920</v>
      </c>
      <c r="F358" s="98" t="s">
        <v>1187</v>
      </c>
      <c r="G358" s="10" t="s">
        <v>920</v>
      </c>
      <c r="H358" s="346">
        <v>32</v>
      </c>
      <c r="I358" s="10" t="s">
        <v>922</v>
      </c>
      <c r="J358" s="554" t="s">
        <v>2055</v>
      </c>
      <c r="K358" s="1591"/>
      <c r="L358" s="1513"/>
    </row>
    <row r="359" spans="1:12" ht="72">
      <c r="A359" s="883" t="s">
        <v>2658</v>
      </c>
      <c r="B359" s="426" t="s">
        <v>2659</v>
      </c>
      <c r="C359" s="10" t="s">
        <v>48</v>
      </c>
      <c r="D359" s="10" t="s">
        <v>48</v>
      </c>
      <c r="E359" s="10" t="s">
        <v>48</v>
      </c>
      <c r="F359" s="10" t="s">
        <v>48</v>
      </c>
      <c r="G359" s="10" t="s">
        <v>48</v>
      </c>
      <c r="H359" s="10">
        <v>8</v>
      </c>
      <c r="I359" s="10" t="s">
        <v>839</v>
      </c>
      <c r="J359" s="554" t="s">
        <v>2055</v>
      </c>
      <c r="K359" s="1591"/>
      <c r="L359" s="1513"/>
    </row>
    <row r="360" spans="1:12" ht="28.8">
      <c r="A360" s="883" t="s">
        <v>2660</v>
      </c>
      <c r="B360" s="426" t="s">
        <v>2654</v>
      </c>
      <c r="C360" s="10" t="s">
        <v>996</v>
      </c>
      <c r="D360" s="10">
        <v>0</v>
      </c>
      <c r="E360" s="10" t="s">
        <v>920</v>
      </c>
      <c r="F360" s="98" t="s">
        <v>1187</v>
      </c>
      <c r="G360" s="10" t="s">
        <v>920</v>
      </c>
      <c r="H360" s="346">
        <v>32</v>
      </c>
      <c r="I360" s="10" t="s">
        <v>922</v>
      </c>
      <c r="J360" s="554" t="s">
        <v>2055</v>
      </c>
      <c r="K360" s="1591"/>
      <c r="L360" s="1513"/>
    </row>
    <row r="361" spans="1:12" ht="72">
      <c r="A361" s="883" t="s">
        <v>2661</v>
      </c>
      <c r="B361" s="426" t="s">
        <v>2662</v>
      </c>
      <c r="C361" s="10" t="s">
        <v>48</v>
      </c>
      <c r="D361" s="10" t="s">
        <v>48</v>
      </c>
      <c r="E361" s="10" t="s">
        <v>48</v>
      </c>
      <c r="F361" s="10" t="s">
        <v>48</v>
      </c>
      <c r="G361" s="10" t="s">
        <v>48</v>
      </c>
      <c r="H361" s="10">
        <v>8</v>
      </c>
      <c r="I361" s="10" t="s">
        <v>839</v>
      </c>
      <c r="J361" s="554" t="s">
        <v>2055</v>
      </c>
      <c r="K361" s="1591"/>
      <c r="L361" s="1513"/>
    </row>
    <row r="362" spans="1:12" ht="28.8">
      <c r="A362" s="883" t="s">
        <v>2663</v>
      </c>
      <c r="B362" s="426" t="s">
        <v>2654</v>
      </c>
      <c r="C362" s="10" t="s">
        <v>996</v>
      </c>
      <c r="D362" s="10">
        <v>0</v>
      </c>
      <c r="E362" s="10" t="s">
        <v>920</v>
      </c>
      <c r="F362" s="98" t="s">
        <v>1187</v>
      </c>
      <c r="G362" s="10" t="s">
        <v>920</v>
      </c>
      <c r="H362" s="346">
        <v>32</v>
      </c>
      <c r="I362" s="10" t="s">
        <v>922</v>
      </c>
      <c r="J362" s="554" t="s">
        <v>2055</v>
      </c>
      <c r="K362" s="1591"/>
      <c r="L362" s="1513"/>
    </row>
    <row r="363" spans="1:12" ht="72">
      <c r="A363" s="883" t="s">
        <v>2664</v>
      </c>
      <c r="B363" s="426" t="s">
        <v>2665</v>
      </c>
      <c r="C363" s="10" t="s">
        <v>48</v>
      </c>
      <c r="D363" s="10" t="s">
        <v>48</v>
      </c>
      <c r="E363" s="10" t="s">
        <v>48</v>
      </c>
      <c r="F363" s="10" t="s">
        <v>48</v>
      </c>
      <c r="G363" s="10" t="s">
        <v>48</v>
      </c>
      <c r="H363" s="10">
        <v>8</v>
      </c>
      <c r="I363" s="10" t="s">
        <v>839</v>
      </c>
      <c r="J363" s="554" t="s">
        <v>2055</v>
      </c>
      <c r="K363" s="1591"/>
      <c r="L363" s="1513"/>
    </row>
    <row r="364" spans="1:12" ht="28.8">
      <c r="A364" s="883" t="s">
        <v>2666</v>
      </c>
      <c r="B364" s="426" t="s">
        <v>2654</v>
      </c>
      <c r="C364" s="10" t="s">
        <v>996</v>
      </c>
      <c r="D364" s="10">
        <v>0</v>
      </c>
      <c r="E364" s="10" t="s">
        <v>920</v>
      </c>
      <c r="F364" s="98" t="s">
        <v>1187</v>
      </c>
      <c r="G364" s="10" t="s">
        <v>920</v>
      </c>
      <c r="H364" s="346">
        <v>32</v>
      </c>
      <c r="I364" s="10" t="s">
        <v>922</v>
      </c>
      <c r="J364" s="554" t="s">
        <v>2055</v>
      </c>
      <c r="K364" s="1591"/>
      <c r="L364" s="1513"/>
    </row>
    <row r="365" spans="1:12" ht="72">
      <c r="A365" s="883" t="s">
        <v>2667</v>
      </c>
      <c r="B365" s="426" t="s">
        <v>2668</v>
      </c>
      <c r="C365" s="10" t="s">
        <v>48</v>
      </c>
      <c r="D365" s="10" t="s">
        <v>48</v>
      </c>
      <c r="E365" s="10" t="s">
        <v>48</v>
      </c>
      <c r="F365" s="10" t="s">
        <v>48</v>
      </c>
      <c r="G365" s="10" t="s">
        <v>48</v>
      </c>
      <c r="H365" s="10">
        <v>8</v>
      </c>
      <c r="I365" s="10" t="s">
        <v>839</v>
      </c>
      <c r="J365" s="554" t="s">
        <v>2055</v>
      </c>
      <c r="K365" s="1591"/>
      <c r="L365" s="1513"/>
    </row>
    <row r="366" spans="1:12" ht="28.8">
      <c r="A366" s="883" t="s">
        <v>2669</v>
      </c>
      <c r="B366" s="426" t="s">
        <v>2600</v>
      </c>
      <c r="C366" s="10" t="s">
        <v>48</v>
      </c>
      <c r="D366" s="10" t="s">
        <v>48</v>
      </c>
      <c r="E366" s="10" t="s">
        <v>48</v>
      </c>
      <c r="F366" s="10" t="s">
        <v>48</v>
      </c>
      <c r="G366" s="10" t="s">
        <v>48</v>
      </c>
      <c r="H366" s="346">
        <v>32</v>
      </c>
      <c r="I366" s="423" t="s">
        <v>2601</v>
      </c>
      <c r="J366" s="554" t="s">
        <v>2055</v>
      </c>
      <c r="K366" s="1591"/>
      <c r="L366" s="1513"/>
    </row>
    <row r="367" spans="1:12" ht="72">
      <c r="A367" s="883" t="s">
        <v>2670</v>
      </c>
      <c r="B367" s="426" t="s">
        <v>2671</v>
      </c>
      <c r="C367" s="10" t="s">
        <v>48</v>
      </c>
      <c r="D367" s="10" t="s">
        <v>48</v>
      </c>
      <c r="E367" s="10" t="s">
        <v>48</v>
      </c>
      <c r="F367" s="10" t="s">
        <v>48</v>
      </c>
      <c r="G367" s="10" t="s">
        <v>48</v>
      </c>
      <c r="H367" s="10">
        <v>8</v>
      </c>
      <c r="I367" s="10" t="s">
        <v>839</v>
      </c>
      <c r="J367" s="554" t="s">
        <v>2055</v>
      </c>
      <c r="K367" s="1591"/>
      <c r="L367" s="1513"/>
    </row>
    <row r="368" spans="1:12" ht="28.8">
      <c r="A368" s="883" t="s">
        <v>2672</v>
      </c>
      <c r="B368" s="426" t="s">
        <v>2600</v>
      </c>
      <c r="C368" s="10" t="s">
        <v>48</v>
      </c>
      <c r="D368" s="10" t="s">
        <v>48</v>
      </c>
      <c r="E368" s="10" t="s">
        <v>48</v>
      </c>
      <c r="F368" s="10" t="s">
        <v>48</v>
      </c>
      <c r="G368" s="10" t="s">
        <v>48</v>
      </c>
      <c r="H368" s="346">
        <v>32</v>
      </c>
      <c r="I368" s="423" t="s">
        <v>2601</v>
      </c>
      <c r="J368" s="554" t="s">
        <v>2055</v>
      </c>
      <c r="K368" s="1591"/>
      <c r="L368" s="1513"/>
    </row>
    <row r="369" spans="1:12" ht="72">
      <c r="A369" s="883" t="s">
        <v>2673</v>
      </c>
      <c r="B369" s="426" t="s">
        <v>2674</v>
      </c>
      <c r="C369" s="10" t="s">
        <v>48</v>
      </c>
      <c r="D369" s="10" t="s">
        <v>48</v>
      </c>
      <c r="E369" s="10" t="s">
        <v>48</v>
      </c>
      <c r="F369" s="10" t="s">
        <v>48</v>
      </c>
      <c r="G369" s="10" t="s">
        <v>48</v>
      </c>
      <c r="H369" s="10">
        <v>8</v>
      </c>
      <c r="I369" s="10" t="s">
        <v>839</v>
      </c>
      <c r="J369" s="554" t="s">
        <v>2055</v>
      </c>
      <c r="K369" s="1591"/>
      <c r="L369" s="1513"/>
    </row>
    <row r="370" spans="1:12" ht="28.8">
      <c r="A370" s="883" t="s">
        <v>2675</v>
      </c>
      <c r="B370" s="426" t="s">
        <v>2600</v>
      </c>
      <c r="C370" s="10" t="s">
        <v>48</v>
      </c>
      <c r="D370" s="10" t="s">
        <v>48</v>
      </c>
      <c r="E370" s="10" t="s">
        <v>48</v>
      </c>
      <c r="F370" s="10" t="s">
        <v>48</v>
      </c>
      <c r="G370" s="10" t="s">
        <v>48</v>
      </c>
      <c r="H370" s="346">
        <v>32</v>
      </c>
      <c r="I370" s="423" t="s">
        <v>2601</v>
      </c>
      <c r="J370" s="554" t="s">
        <v>2055</v>
      </c>
      <c r="K370" s="1591"/>
      <c r="L370" s="1513"/>
    </row>
    <row r="371" spans="1:12" ht="72">
      <c r="A371" s="883" t="s">
        <v>2676</v>
      </c>
      <c r="B371" s="426" t="s">
        <v>2677</v>
      </c>
      <c r="C371" s="10" t="s">
        <v>48</v>
      </c>
      <c r="D371" s="10" t="s">
        <v>48</v>
      </c>
      <c r="E371" s="10" t="s">
        <v>48</v>
      </c>
      <c r="F371" s="10" t="s">
        <v>48</v>
      </c>
      <c r="G371" s="10" t="s">
        <v>48</v>
      </c>
      <c r="H371" s="10">
        <v>8</v>
      </c>
      <c r="I371" s="10" t="s">
        <v>839</v>
      </c>
      <c r="J371" s="554" t="s">
        <v>2055</v>
      </c>
      <c r="K371" s="1591"/>
      <c r="L371" s="1513"/>
    </row>
    <row r="372" spans="1:12" ht="28.8">
      <c r="A372" s="883" t="s">
        <v>2678</v>
      </c>
      <c r="B372" s="426" t="s">
        <v>2600</v>
      </c>
      <c r="C372" s="10" t="s">
        <v>48</v>
      </c>
      <c r="D372" s="10" t="s">
        <v>48</v>
      </c>
      <c r="E372" s="10" t="s">
        <v>48</v>
      </c>
      <c r="F372" s="10" t="s">
        <v>48</v>
      </c>
      <c r="G372" s="10" t="s">
        <v>48</v>
      </c>
      <c r="H372" s="346">
        <v>32</v>
      </c>
      <c r="I372" s="423" t="s">
        <v>2601</v>
      </c>
      <c r="J372" s="554" t="s">
        <v>2055</v>
      </c>
      <c r="K372" s="1591"/>
      <c r="L372" s="1513"/>
    </row>
    <row r="373" spans="1:12" ht="72">
      <c r="A373" s="883" t="s">
        <v>2679</v>
      </c>
      <c r="B373" s="426" t="s">
        <v>2680</v>
      </c>
      <c r="C373" s="10" t="s">
        <v>48</v>
      </c>
      <c r="D373" s="10" t="s">
        <v>48</v>
      </c>
      <c r="E373" s="10" t="s">
        <v>48</v>
      </c>
      <c r="F373" s="10" t="s">
        <v>48</v>
      </c>
      <c r="G373" s="10" t="s">
        <v>48</v>
      </c>
      <c r="H373" s="10">
        <v>8</v>
      </c>
      <c r="I373" s="10" t="s">
        <v>839</v>
      </c>
      <c r="J373" s="554" t="s">
        <v>2055</v>
      </c>
      <c r="K373" s="1591"/>
      <c r="L373" s="1513"/>
    </row>
    <row r="374" spans="1:12" ht="57.6">
      <c r="A374" s="883" t="s">
        <v>2681</v>
      </c>
      <c r="B374" s="426" t="s">
        <v>2618</v>
      </c>
      <c r="C374" s="10" t="s">
        <v>48</v>
      </c>
      <c r="D374" s="10" t="s">
        <v>48</v>
      </c>
      <c r="E374" s="10" t="s">
        <v>48</v>
      </c>
      <c r="F374" s="10" t="s">
        <v>48</v>
      </c>
      <c r="G374" s="10" t="s">
        <v>48</v>
      </c>
      <c r="H374" s="10">
        <v>32</v>
      </c>
      <c r="I374" s="425" t="s">
        <v>1834</v>
      </c>
      <c r="J374" s="554" t="s">
        <v>2055</v>
      </c>
      <c r="K374" s="1591"/>
      <c r="L374" s="1513"/>
    </row>
    <row r="375" spans="1:12" ht="72">
      <c r="A375" s="883" t="s">
        <v>2682</v>
      </c>
      <c r="B375" s="426" t="s">
        <v>2683</v>
      </c>
      <c r="C375" s="10" t="s">
        <v>48</v>
      </c>
      <c r="D375" s="10" t="s">
        <v>48</v>
      </c>
      <c r="E375" s="10" t="s">
        <v>48</v>
      </c>
      <c r="F375" s="10" t="s">
        <v>48</v>
      </c>
      <c r="G375" s="10" t="s">
        <v>48</v>
      </c>
      <c r="H375" s="10">
        <v>8</v>
      </c>
      <c r="I375" s="10" t="s">
        <v>839</v>
      </c>
      <c r="J375" s="554" t="s">
        <v>2055</v>
      </c>
      <c r="K375" s="1591"/>
      <c r="L375" s="1513"/>
    </row>
    <row r="376" spans="1:12" ht="57.6">
      <c r="A376" s="883" t="s">
        <v>2684</v>
      </c>
      <c r="B376" s="426" t="s">
        <v>2618</v>
      </c>
      <c r="C376" s="10" t="s">
        <v>48</v>
      </c>
      <c r="D376" s="10" t="s">
        <v>48</v>
      </c>
      <c r="E376" s="10" t="s">
        <v>48</v>
      </c>
      <c r="F376" s="10" t="s">
        <v>48</v>
      </c>
      <c r="G376" s="10" t="s">
        <v>48</v>
      </c>
      <c r="H376" s="10">
        <v>32</v>
      </c>
      <c r="I376" s="425" t="s">
        <v>1834</v>
      </c>
      <c r="J376" s="554" t="s">
        <v>2055</v>
      </c>
      <c r="K376" s="1591"/>
      <c r="L376" s="1513"/>
    </row>
    <row r="377" spans="1:12" ht="72">
      <c r="A377" s="883" t="s">
        <v>2685</v>
      </c>
      <c r="B377" s="426" t="s">
        <v>2686</v>
      </c>
      <c r="C377" s="10" t="s">
        <v>48</v>
      </c>
      <c r="D377" s="10" t="s">
        <v>48</v>
      </c>
      <c r="E377" s="10" t="s">
        <v>48</v>
      </c>
      <c r="F377" s="10" t="s">
        <v>48</v>
      </c>
      <c r="G377" s="10" t="s">
        <v>48</v>
      </c>
      <c r="H377" s="10">
        <v>8</v>
      </c>
      <c r="I377" s="10" t="s">
        <v>839</v>
      </c>
      <c r="J377" s="554" t="s">
        <v>2055</v>
      </c>
      <c r="K377" s="1591"/>
      <c r="L377" s="1513"/>
    </row>
    <row r="378" spans="1:12" ht="57.6">
      <c r="A378" s="883" t="s">
        <v>2687</v>
      </c>
      <c r="B378" s="426" t="s">
        <v>2618</v>
      </c>
      <c r="C378" s="10" t="s">
        <v>48</v>
      </c>
      <c r="D378" s="10" t="s">
        <v>48</v>
      </c>
      <c r="E378" s="10" t="s">
        <v>48</v>
      </c>
      <c r="F378" s="10" t="s">
        <v>48</v>
      </c>
      <c r="G378" s="10" t="s">
        <v>48</v>
      </c>
      <c r="H378" s="10">
        <v>32</v>
      </c>
      <c r="I378" s="425" t="s">
        <v>1834</v>
      </c>
      <c r="J378" s="554" t="s">
        <v>2055</v>
      </c>
      <c r="K378" s="1591"/>
      <c r="L378" s="1513"/>
    </row>
    <row r="379" spans="1:12" ht="72">
      <c r="A379" s="883" t="s">
        <v>2688</v>
      </c>
      <c r="B379" s="426" t="s">
        <v>2689</v>
      </c>
      <c r="C379" s="10" t="s">
        <v>48</v>
      </c>
      <c r="D379" s="10" t="s">
        <v>48</v>
      </c>
      <c r="E379" s="10" t="s">
        <v>48</v>
      </c>
      <c r="F379" s="10" t="s">
        <v>48</v>
      </c>
      <c r="G379" s="10" t="s">
        <v>48</v>
      </c>
      <c r="H379" s="10">
        <v>8</v>
      </c>
      <c r="I379" s="10" t="s">
        <v>839</v>
      </c>
      <c r="J379" s="554" t="s">
        <v>2055</v>
      </c>
      <c r="K379" s="1591"/>
      <c r="L379" s="1513"/>
    </row>
    <row r="380" spans="1:12" ht="57.6">
      <c r="A380" s="884" t="s">
        <v>2690</v>
      </c>
      <c r="B380" s="885" t="s">
        <v>2618</v>
      </c>
      <c r="C380" s="407" t="s">
        <v>48</v>
      </c>
      <c r="D380" s="407" t="s">
        <v>48</v>
      </c>
      <c r="E380" s="407" t="s">
        <v>48</v>
      </c>
      <c r="F380" s="407" t="s">
        <v>48</v>
      </c>
      <c r="G380" s="407" t="s">
        <v>48</v>
      </c>
      <c r="H380" s="407">
        <v>32</v>
      </c>
      <c r="I380" s="886" t="s">
        <v>1834</v>
      </c>
      <c r="J380" s="554" t="s">
        <v>2055</v>
      </c>
      <c r="K380" s="1591"/>
      <c r="L380" s="1513"/>
    </row>
  </sheetData>
  <mergeCells count="5">
    <mergeCell ref="C1:D1"/>
    <mergeCell ref="A2:B2"/>
    <mergeCell ref="C2:I2"/>
    <mergeCell ref="L4:L380"/>
    <mergeCell ref="K4:K380"/>
  </mergeCells>
  <hyperlinks>
    <hyperlink ref="L1" location="'AVI_FCF_VD'!A1" display="AVI_FCF_VD" xr:uid="{C8357D5E-EB62-4420-986F-2B5AC6181B7F}"/>
    <hyperlink ref="I1" location="'Revision Map'!A1" display="INDEX" xr:uid="{B3B30DAA-72C5-4539-AD9A-99CEA773441C}"/>
    <hyperlink ref="J1" location="'Cross-FCN_Definitions'!A1" display="Cross-FCN_Definitions" xr:uid="{EE5761D1-7736-4999-AFEF-9B52B8B6D31D}"/>
    <hyperlink ref="K1" location="FCF_Definitions!A1" display="FCF_Definitions" xr:uid="{0542D75B-579E-43D8-9D01-56ACE8D72B9A}"/>
  </hyperlinks>
  <pageMargins left="0.7" right="0.7" top="0.75" bottom="0.75" header="0.3" footer="0.3"/>
  <headerFooter>
    <oddFooter>&amp;C_x000D_&amp;1#&amp;"Calibri"&amp;11&amp;KFF0000 Internal</oddFooter>
  </headerFooter>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6581E-299D-4D40-8A42-574E86CF610E}">
  <sheetPr codeName="Sheet100"/>
  <dimension ref="A1:E26"/>
  <sheetViews>
    <sheetView workbookViewId="0">
      <selection activeCell="B26" sqref="B26"/>
    </sheetView>
  </sheetViews>
  <sheetFormatPr defaultRowHeight="14.4"/>
  <cols>
    <col min="1" max="1" width="11" style="1010" bestFit="1" customWidth="1"/>
    <col min="2" max="2" width="17.26171875" customWidth="1"/>
    <col min="3" max="3" width="75.83984375" customWidth="1"/>
    <col min="4" max="4" width="20.41796875" customWidth="1"/>
    <col min="5" max="5" width="17" customWidth="1"/>
  </cols>
  <sheetData>
    <row r="1" spans="1:5">
      <c r="A1" s="1054" t="s">
        <v>644</v>
      </c>
      <c r="B1" s="662" t="s">
        <v>645</v>
      </c>
      <c r="C1" s="663" t="s">
        <v>646</v>
      </c>
      <c r="D1" s="663" t="s">
        <v>647</v>
      </c>
      <c r="E1" s="664" t="s">
        <v>648</v>
      </c>
    </row>
    <row r="2" spans="1:5" ht="18" customHeight="1">
      <c r="A2" s="1055">
        <v>0.1</v>
      </c>
      <c r="B2" s="404">
        <v>44949</v>
      </c>
      <c r="C2" s="405" t="s">
        <v>1743</v>
      </c>
      <c r="D2" s="403" t="s">
        <v>676</v>
      </c>
      <c r="E2" s="406" t="s">
        <v>655</v>
      </c>
    </row>
    <row r="3" spans="1:5" ht="100.8">
      <c r="A3" s="1010">
        <v>0.2</v>
      </c>
      <c r="B3" s="411">
        <v>44956</v>
      </c>
      <c r="C3" s="576" t="s">
        <v>2691</v>
      </c>
      <c r="D3" s="5" t="s">
        <v>676</v>
      </c>
      <c r="E3" s="5" t="s">
        <v>655</v>
      </c>
    </row>
    <row r="4" spans="1:5">
      <c r="A4" s="1010">
        <v>0.2</v>
      </c>
      <c r="B4" s="51">
        <v>44956</v>
      </c>
      <c r="C4" s="5" t="s">
        <v>2692</v>
      </c>
      <c r="D4" s="5" t="s">
        <v>658</v>
      </c>
      <c r="E4" s="5" t="s">
        <v>655</v>
      </c>
    </row>
    <row r="5" spans="1:5" ht="43.2">
      <c r="A5" s="1010">
        <v>0.3</v>
      </c>
      <c r="B5" s="51">
        <v>44956</v>
      </c>
      <c r="C5" s="576" t="s">
        <v>2693</v>
      </c>
      <c r="D5" s="5" t="s">
        <v>676</v>
      </c>
      <c r="E5" s="5" t="s">
        <v>655</v>
      </c>
    </row>
    <row r="6" spans="1:5">
      <c r="A6" s="1010">
        <v>0.3</v>
      </c>
      <c r="B6" s="51">
        <v>44956</v>
      </c>
      <c r="C6" s="5" t="s">
        <v>1378</v>
      </c>
      <c r="D6" s="5" t="s">
        <v>658</v>
      </c>
      <c r="E6" s="5" t="s">
        <v>655</v>
      </c>
    </row>
    <row r="7" spans="1:5">
      <c r="A7" s="1010">
        <v>0.4</v>
      </c>
      <c r="B7" s="51">
        <v>44957</v>
      </c>
      <c r="C7" s="5" t="s">
        <v>1969</v>
      </c>
      <c r="D7" s="5" t="s">
        <v>676</v>
      </c>
      <c r="E7" s="5" t="s">
        <v>655</v>
      </c>
    </row>
    <row r="8" spans="1:5">
      <c r="A8" s="1010">
        <v>0.4</v>
      </c>
      <c r="B8" s="51">
        <v>44957</v>
      </c>
      <c r="C8" s="5" t="s">
        <v>1378</v>
      </c>
      <c r="D8" s="5" t="s">
        <v>683</v>
      </c>
      <c r="E8" s="5" t="s">
        <v>655</v>
      </c>
    </row>
    <row r="9" spans="1:5" ht="18.75" customHeight="1">
      <c r="A9" s="1010">
        <v>1</v>
      </c>
      <c r="B9" s="51">
        <v>44957</v>
      </c>
      <c r="C9" s="602" t="s">
        <v>1753</v>
      </c>
      <c r="D9" s="5" t="s">
        <v>676</v>
      </c>
      <c r="E9" s="5" t="s">
        <v>651</v>
      </c>
    </row>
    <row r="10" spans="1:5">
      <c r="A10" s="1010">
        <v>1</v>
      </c>
      <c r="B10" s="51">
        <v>44957</v>
      </c>
      <c r="C10" s="5" t="s">
        <v>687</v>
      </c>
      <c r="D10" s="5" t="s">
        <v>676</v>
      </c>
      <c r="E10" s="5" t="s">
        <v>661</v>
      </c>
    </row>
    <row r="11" spans="1:5">
      <c r="A11" s="1010">
        <v>1</v>
      </c>
      <c r="B11" s="51">
        <v>44970</v>
      </c>
      <c r="C11" s="5" t="s">
        <v>691</v>
      </c>
      <c r="D11" s="5" t="s">
        <v>676</v>
      </c>
      <c r="E11" s="5" t="s">
        <v>661</v>
      </c>
    </row>
    <row r="12" spans="1:5">
      <c r="A12" s="1010">
        <v>2</v>
      </c>
      <c r="B12" s="51">
        <v>44994</v>
      </c>
      <c r="C12" s="5" t="s">
        <v>1754</v>
      </c>
      <c r="D12" s="5" t="s">
        <v>683</v>
      </c>
      <c r="E12" s="5" t="s">
        <v>651</v>
      </c>
    </row>
    <row r="13" spans="1:5">
      <c r="A13" s="1010">
        <v>2</v>
      </c>
      <c r="B13" s="678">
        <v>44998</v>
      </c>
      <c r="C13" s="2" t="s">
        <v>692</v>
      </c>
      <c r="D13" s="5" t="s">
        <v>678</v>
      </c>
      <c r="E13" s="5" t="s">
        <v>661</v>
      </c>
    </row>
    <row r="14" spans="1:5">
      <c r="A14" s="1010">
        <v>2.1</v>
      </c>
      <c r="B14" s="191">
        <v>45072</v>
      </c>
      <c r="C14" s="5" t="s">
        <v>1755</v>
      </c>
      <c r="D14" s="5" t="s">
        <v>697</v>
      </c>
      <c r="E14" s="5" t="s">
        <v>655</v>
      </c>
    </row>
    <row r="15" spans="1:5">
      <c r="A15" s="1010">
        <v>2.2000000000000002</v>
      </c>
      <c r="B15" s="191">
        <v>45076</v>
      </c>
      <c r="C15" s="1053" t="s">
        <v>1758</v>
      </c>
      <c r="D15" s="5" t="s">
        <v>697</v>
      </c>
      <c r="E15" s="5" t="s">
        <v>655</v>
      </c>
    </row>
    <row r="16" spans="1:5">
      <c r="A16" s="1010" t="s">
        <v>2694</v>
      </c>
      <c r="B16" s="51">
        <v>45077</v>
      </c>
      <c r="C16" s="5" t="s">
        <v>1971</v>
      </c>
      <c r="D16" s="5" t="s">
        <v>658</v>
      </c>
      <c r="E16" s="5" t="s">
        <v>655</v>
      </c>
    </row>
    <row r="17" spans="1:5">
      <c r="A17" s="1010" t="s">
        <v>2695</v>
      </c>
      <c r="B17" s="51">
        <v>45077</v>
      </c>
      <c r="C17" s="5" t="s">
        <v>2696</v>
      </c>
      <c r="D17" s="5" t="s">
        <v>697</v>
      </c>
      <c r="E17" s="5" t="s">
        <v>655</v>
      </c>
    </row>
    <row r="18" spans="1:5">
      <c r="A18" s="1010" t="s">
        <v>2695</v>
      </c>
      <c r="B18" s="51">
        <v>45078</v>
      </c>
      <c r="C18" s="5" t="s">
        <v>1752</v>
      </c>
      <c r="D18" s="5" t="s">
        <v>658</v>
      </c>
      <c r="E18" s="5" t="s">
        <v>655</v>
      </c>
    </row>
    <row r="19" spans="1:5">
      <c r="A19" s="1010" t="s">
        <v>666</v>
      </c>
      <c r="B19" s="51">
        <v>45078</v>
      </c>
      <c r="C19" s="615" t="s">
        <v>1760</v>
      </c>
      <c r="D19" s="5" t="s">
        <v>697</v>
      </c>
      <c r="E19" s="5" t="s">
        <v>651</v>
      </c>
    </row>
    <row r="20" spans="1:5">
      <c r="A20" s="1010" t="s">
        <v>666</v>
      </c>
      <c r="B20" s="191">
        <v>45078</v>
      </c>
      <c r="C20" s="5" t="s">
        <v>699</v>
      </c>
      <c r="D20" s="5" t="s">
        <v>678</v>
      </c>
      <c r="E20" s="5" t="s">
        <v>661</v>
      </c>
    </row>
    <row r="21" spans="1:5">
      <c r="A21" s="1012" t="s">
        <v>668</v>
      </c>
      <c r="B21" s="191">
        <v>45097</v>
      </c>
      <c r="C21" s="595" t="s">
        <v>1761</v>
      </c>
      <c r="D21" s="595" t="s">
        <v>697</v>
      </c>
      <c r="E21" s="596" t="s">
        <v>655</v>
      </c>
    </row>
    <row r="22" spans="1:5">
      <c r="A22" s="1010" t="s">
        <v>668</v>
      </c>
      <c r="B22" s="191">
        <v>45097</v>
      </c>
      <c r="C22" s="5" t="s">
        <v>1752</v>
      </c>
      <c r="D22" s="5" t="s">
        <v>678</v>
      </c>
      <c r="E22" s="596" t="s">
        <v>655</v>
      </c>
    </row>
    <row r="23" spans="1:5" ht="43.2">
      <c r="A23" s="1010" t="s">
        <v>1347</v>
      </c>
      <c r="B23" s="191">
        <v>45097</v>
      </c>
      <c r="C23" s="2" t="s">
        <v>1763</v>
      </c>
      <c r="D23" s="5" t="s">
        <v>697</v>
      </c>
      <c r="E23" s="5" t="s">
        <v>655</v>
      </c>
    </row>
    <row r="24" spans="1:5">
      <c r="A24" s="1010" t="s">
        <v>686</v>
      </c>
      <c r="B24" s="191">
        <v>45097</v>
      </c>
      <c r="C24" s="615" t="s">
        <v>1760</v>
      </c>
      <c r="D24" s="585" t="s">
        <v>678</v>
      </c>
      <c r="E24" s="586" t="s">
        <v>651</v>
      </c>
    </row>
    <row r="25" spans="1:5">
      <c r="A25" s="1010" t="s">
        <v>686</v>
      </c>
      <c r="B25" s="191">
        <v>45097</v>
      </c>
      <c r="C25" s="595" t="s">
        <v>700</v>
      </c>
      <c r="D25" s="595" t="s">
        <v>678</v>
      </c>
      <c r="E25" s="596" t="s">
        <v>661</v>
      </c>
    </row>
    <row r="26" spans="1:5">
      <c r="A26" s="1010" t="s">
        <v>686</v>
      </c>
      <c r="B26" s="1065">
        <v>45205</v>
      </c>
      <c r="C26" s="595" t="s">
        <v>701</v>
      </c>
      <c r="D26" s="595" t="s">
        <v>678</v>
      </c>
      <c r="E26" s="596" t="s">
        <v>661</v>
      </c>
    </row>
  </sheetData>
  <pageMargins left="0.7" right="0.7" top="0.75" bottom="0.75" header="0.3" footer="0.3"/>
  <headerFooter>
    <oddFooter>&amp;C_x000D_&amp;1#&amp;"Calibri"&amp;11&amp;KFF0000 Internal</oddFooter>
  </headerFooter>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8B682-C66E-4095-8A47-743FC6E760CF}">
  <sheetPr codeName="Sheet33"/>
  <dimension ref="A1:Q18"/>
  <sheetViews>
    <sheetView workbookViewId="0">
      <pane ySplit="3" topLeftCell="A4" activePane="bottomLeft" state="frozen"/>
      <selection activeCell="J3" sqref="J3"/>
      <selection pane="bottomLeft" activeCell="E1" sqref="E1"/>
    </sheetView>
  </sheetViews>
  <sheetFormatPr defaultColWidth="8.68359375" defaultRowHeight="14.4"/>
  <cols>
    <col min="1" max="1" width="34.578125" style="8" bestFit="1" customWidth="1"/>
    <col min="2" max="2" width="31.83984375" style="8" customWidth="1"/>
    <col min="3" max="3" width="7.26171875" style="8" bestFit="1" customWidth="1"/>
    <col min="4" max="4" width="7" style="8" bestFit="1" customWidth="1"/>
    <col min="5" max="5" width="8" style="50" customWidth="1"/>
    <col min="6" max="6" width="17.41796875" style="8" customWidth="1"/>
    <col min="7" max="7" width="10" style="8" bestFit="1" customWidth="1"/>
    <col min="8" max="8" width="6.83984375" style="8" bestFit="1" customWidth="1"/>
    <col min="9" max="9" width="30.578125" style="8" bestFit="1" customWidth="1"/>
    <col min="10" max="10" width="21.578125" style="8" customWidth="1"/>
    <col min="11" max="11" width="21.15625" style="8" customWidth="1"/>
    <col min="12" max="12" width="28.41796875" style="8" bestFit="1" customWidth="1"/>
    <col min="13" max="13" width="25.68359375" style="8" customWidth="1"/>
    <col min="14" max="14" width="17.26171875" style="8" customWidth="1"/>
    <col min="15" max="16384" width="8.68359375" style="8"/>
  </cols>
  <sheetData>
    <row r="1" spans="1:17" ht="27" customHeight="1">
      <c r="A1" s="879" t="s">
        <v>104</v>
      </c>
      <c r="B1" s="880" t="s">
        <v>79</v>
      </c>
      <c r="C1" s="1618" t="s">
        <v>106</v>
      </c>
      <c r="D1" s="1619"/>
      <c r="E1" s="1267">
        <v>11</v>
      </c>
      <c r="F1" s="1072" t="s">
        <v>702</v>
      </c>
      <c r="G1" s="1072">
        <v>1888</v>
      </c>
      <c r="H1" s="1072"/>
      <c r="I1" s="1073" t="s">
        <v>69</v>
      </c>
      <c r="J1" s="1073" t="s">
        <v>703</v>
      </c>
      <c r="K1" s="1074" t="s">
        <v>1702</v>
      </c>
      <c r="L1" s="1074" t="s">
        <v>2697</v>
      </c>
      <c r="M1" s="1268"/>
      <c r="N1" s="1269"/>
      <c r="O1" s="1268"/>
      <c r="P1" s="1268"/>
      <c r="Q1" s="1268"/>
    </row>
    <row r="2" spans="1:17" ht="227.25" customHeight="1">
      <c r="A2" s="1599" t="s">
        <v>1704</v>
      </c>
      <c r="B2" s="1600"/>
      <c r="C2" s="1616" t="s">
        <v>2698</v>
      </c>
      <c r="D2" s="1614"/>
      <c r="E2" s="1614"/>
      <c r="F2" s="1614"/>
      <c r="G2" s="1614"/>
      <c r="H2" s="1614"/>
      <c r="I2" s="1615"/>
      <c r="J2" s="412" t="s">
        <v>707</v>
      </c>
      <c r="K2" s="1075" t="s">
        <v>1975</v>
      </c>
      <c r="L2" s="1270"/>
    </row>
    <row r="3" spans="1:17" ht="28.8">
      <c r="A3" s="47" t="s">
        <v>709</v>
      </c>
      <c r="B3" s="47" t="s">
        <v>710</v>
      </c>
      <c r="C3" s="47" t="s">
        <v>711</v>
      </c>
      <c r="D3" s="48" t="s">
        <v>712</v>
      </c>
      <c r="E3" s="109" t="s">
        <v>713</v>
      </c>
      <c r="F3" s="49" t="s">
        <v>714</v>
      </c>
      <c r="G3" s="47" t="s">
        <v>715</v>
      </c>
      <c r="H3" s="47" t="s">
        <v>716</v>
      </c>
      <c r="I3" s="47" t="s">
        <v>717</v>
      </c>
      <c r="J3" s="878" t="s">
        <v>718</v>
      </c>
      <c r="K3" s="676" t="s">
        <v>719</v>
      </c>
      <c r="L3" s="160" t="s">
        <v>720</v>
      </c>
      <c r="M3" s="1271"/>
      <c r="N3" s="1268"/>
    </row>
    <row r="4" spans="1:17" ht="34.5" customHeight="1">
      <c r="A4" s="115" t="s">
        <v>2699</v>
      </c>
      <c r="B4" s="116" t="s">
        <v>722</v>
      </c>
      <c r="C4" s="10" t="s">
        <v>48</v>
      </c>
      <c r="D4" s="424" t="s">
        <v>48</v>
      </c>
      <c r="E4" s="10" t="s">
        <v>48</v>
      </c>
      <c r="F4" s="10" t="s">
        <v>48</v>
      </c>
      <c r="G4" s="10" t="s">
        <v>48</v>
      </c>
      <c r="H4" s="346">
        <v>216</v>
      </c>
      <c r="I4" s="10" t="s">
        <v>723</v>
      </c>
      <c r="J4" s="10" t="s">
        <v>724</v>
      </c>
      <c r="K4" s="1591">
        <v>1</v>
      </c>
      <c r="L4" s="1513" t="s">
        <v>2700</v>
      </c>
      <c r="M4" s="1271"/>
      <c r="N4" s="1268"/>
    </row>
    <row r="5" spans="1:17" ht="34.5" customHeight="1">
      <c r="A5" s="115" t="s">
        <v>2701</v>
      </c>
      <c r="B5" s="116" t="s">
        <v>2702</v>
      </c>
      <c r="C5" s="10" t="s">
        <v>48</v>
      </c>
      <c r="D5" s="10" t="s">
        <v>48</v>
      </c>
      <c r="E5" s="10" t="s">
        <v>48</v>
      </c>
      <c r="F5" s="10" t="s">
        <v>48</v>
      </c>
      <c r="G5" s="10" t="s">
        <v>48</v>
      </c>
      <c r="H5" s="346">
        <v>8</v>
      </c>
      <c r="I5" s="10" t="s">
        <v>1711</v>
      </c>
      <c r="J5" s="346" t="s">
        <v>729</v>
      </c>
      <c r="K5" s="1591"/>
      <c r="L5" s="1513"/>
      <c r="M5" s="1271"/>
      <c r="N5" s="1268"/>
    </row>
    <row r="6" spans="1:17" ht="68.25" customHeight="1">
      <c r="A6" s="873" t="s">
        <v>2703</v>
      </c>
      <c r="B6" s="116" t="s">
        <v>2704</v>
      </c>
      <c r="C6" s="10" t="s">
        <v>48</v>
      </c>
      <c r="D6" s="10" t="s">
        <v>48</v>
      </c>
      <c r="E6" s="424" t="s">
        <v>48</v>
      </c>
      <c r="F6" s="10" t="s">
        <v>48</v>
      </c>
      <c r="G6" s="10" t="s">
        <v>48</v>
      </c>
      <c r="H6" s="346">
        <v>32</v>
      </c>
      <c r="I6" s="10" t="s">
        <v>728</v>
      </c>
      <c r="J6" s="10" t="s">
        <v>729</v>
      </c>
      <c r="K6" s="1591">
        <v>8</v>
      </c>
      <c r="L6" s="1620" t="s">
        <v>2705</v>
      </c>
      <c r="M6" s="1271"/>
      <c r="N6" s="1268"/>
    </row>
    <row r="7" spans="1:17" ht="43.2">
      <c r="A7" s="873" t="s">
        <v>2706</v>
      </c>
      <c r="B7" s="116" t="s">
        <v>1716</v>
      </c>
      <c r="C7" s="10" t="s">
        <v>48</v>
      </c>
      <c r="D7" s="10" t="s">
        <v>48</v>
      </c>
      <c r="E7" s="424" t="s">
        <v>48</v>
      </c>
      <c r="F7" s="10" t="s">
        <v>48</v>
      </c>
      <c r="G7" s="10" t="s">
        <v>48</v>
      </c>
      <c r="H7" s="346">
        <v>16</v>
      </c>
      <c r="I7" s="10" t="s">
        <v>1717</v>
      </c>
      <c r="J7" s="10" t="s">
        <v>724</v>
      </c>
      <c r="K7" s="1591"/>
      <c r="L7" s="1513"/>
      <c r="M7" s="1271"/>
      <c r="N7" s="1268"/>
    </row>
    <row r="8" spans="1:17" ht="25.8">
      <c r="A8" s="873" t="s">
        <v>2707</v>
      </c>
      <c r="B8" s="874" t="s">
        <v>2708</v>
      </c>
      <c r="C8" s="98" t="s">
        <v>48</v>
      </c>
      <c r="D8" s="98" t="s">
        <v>48</v>
      </c>
      <c r="E8" s="98" t="s">
        <v>48</v>
      </c>
      <c r="F8" s="10" t="s">
        <v>48</v>
      </c>
      <c r="G8" s="10" t="s">
        <v>48</v>
      </c>
      <c r="H8" s="346">
        <v>16</v>
      </c>
      <c r="I8" s="10" t="s">
        <v>1544</v>
      </c>
      <c r="J8" s="10" t="s">
        <v>724</v>
      </c>
      <c r="K8" s="1591"/>
      <c r="L8" s="1513"/>
      <c r="M8" s="1271"/>
      <c r="N8" s="1268"/>
    </row>
    <row r="9" spans="1:17" ht="51.75" customHeight="1">
      <c r="A9" s="873" t="s">
        <v>2709</v>
      </c>
      <c r="B9" s="875" t="s">
        <v>1741</v>
      </c>
      <c r="C9" s="876" t="s">
        <v>48</v>
      </c>
      <c r="D9" s="876" t="s">
        <v>48</v>
      </c>
      <c r="E9" s="876" t="s">
        <v>48</v>
      </c>
      <c r="F9" s="877" t="s">
        <v>48</v>
      </c>
      <c r="G9" s="10" t="s">
        <v>48</v>
      </c>
      <c r="H9" s="346">
        <v>48</v>
      </c>
      <c r="I9" s="425" t="s">
        <v>2710</v>
      </c>
      <c r="J9" s="425" t="s">
        <v>729</v>
      </c>
      <c r="K9" s="1591"/>
      <c r="L9" s="1513"/>
      <c r="M9" s="1271"/>
      <c r="N9" s="1268"/>
    </row>
    <row r="10" spans="1:17" ht="25.8">
      <c r="A10" s="873" t="s">
        <v>2711</v>
      </c>
      <c r="B10" s="875" t="s">
        <v>2712</v>
      </c>
      <c r="C10" s="877" t="s">
        <v>48</v>
      </c>
      <c r="D10" s="877">
        <v>0</v>
      </c>
      <c r="E10" s="877">
        <v>1</v>
      </c>
      <c r="F10" s="876" t="s">
        <v>1055</v>
      </c>
      <c r="G10" s="10">
        <v>0</v>
      </c>
      <c r="H10" s="346">
        <v>8</v>
      </c>
      <c r="I10" s="98" t="s">
        <v>1056</v>
      </c>
      <c r="J10" s="98" t="s">
        <v>729</v>
      </c>
      <c r="K10" s="1591"/>
      <c r="L10" s="1513"/>
      <c r="M10" s="1271"/>
      <c r="N10" s="1268"/>
    </row>
    <row r="11" spans="1:17" ht="91.9" customHeight="1">
      <c r="A11" s="873" t="s">
        <v>2713</v>
      </c>
      <c r="B11" s="875" t="s">
        <v>2714</v>
      </c>
      <c r="C11" s="877" t="s">
        <v>48</v>
      </c>
      <c r="D11" s="877">
        <v>0</v>
      </c>
      <c r="E11" s="877">
        <v>255</v>
      </c>
      <c r="F11" s="877" t="s">
        <v>2715</v>
      </c>
      <c r="G11" s="10">
        <v>255</v>
      </c>
      <c r="H11" s="346">
        <v>8</v>
      </c>
      <c r="I11" s="10" t="s">
        <v>743</v>
      </c>
      <c r="J11" s="10" t="s">
        <v>729</v>
      </c>
      <c r="K11" s="1591"/>
      <c r="L11" s="1513"/>
      <c r="M11" s="1271"/>
      <c r="N11" s="1268"/>
    </row>
    <row r="12" spans="1:17" ht="25.8">
      <c r="A12" s="873" t="s">
        <v>2716</v>
      </c>
      <c r="B12" s="874" t="s">
        <v>2717</v>
      </c>
      <c r="C12" s="876" t="s">
        <v>48</v>
      </c>
      <c r="D12" s="876">
        <v>0</v>
      </c>
      <c r="E12" s="876">
        <v>1</v>
      </c>
      <c r="F12" s="876" t="s">
        <v>1055</v>
      </c>
      <c r="G12" s="10">
        <v>0</v>
      </c>
      <c r="H12" s="346">
        <v>8</v>
      </c>
      <c r="I12" s="10" t="s">
        <v>1056</v>
      </c>
      <c r="J12" s="10" t="s">
        <v>729</v>
      </c>
      <c r="K12" s="1591"/>
      <c r="L12" s="1513"/>
      <c r="M12" s="1271"/>
      <c r="N12" s="1268"/>
    </row>
    <row r="13" spans="1:17" ht="25.8">
      <c r="A13" s="873" t="s">
        <v>2718</v>
      </c>
      <c r="B13" s="874" t="s">
        <v>2719</v>
      </c>
      <c r="C13" s="876" t="s">
        <v>48</v>
      </c>
      <c r="D13" s="876">
        <v>0</v>
      </c>
      <c r="E13" s="876">
        <v>1</v>
      </c>
      <c r="F13" s="876" t="s">
        <v>1055</v>
      </c>
      <c r="G13" s="10">
        <v>0</v>
      </c>
      <c r="H13" s="346">
        <v>8</v>
      </c>
      <c r="I13" s="10" t="s">
        <v>1056</v>
      </c>
      <c r="J13" s="10" t="s">
        <v>729</v>
      </c>
      <c r="K13" s="1591"/>
      <c r="L13" s="1513"/>
      <c r="M13" s="1271"/>
      <c r="N13" s="1268"/>
    </row>
    <row r="14" spans="1:17" ht="25.8">
      <c r="A14" s="873" t="s">
        <v>2720</v>
      </c>
      <c r="B14" s="875" t="s">
        <v>1724</v>
      </c>
      <c r="C14" s="98" t="s">
        <v>48</v>
      </c>
      <c r="D14" s="98" t="s">
        <v>48</v>
      </c>
      <c r="E14" s="98" t="s">
        <v>48</v>
      </c>
      <c r="F14" s="10" t="s">
        <v>48</v>
      </c>
      <c r="G14" s="10" t="s">
        <v>48</v>
      </c>
      <c r="H14" s="346">
        <v>32</v>
      </c>
      <c r="I14" s="10" t="s">
        <v>2017</v>
      </c>
      <c r="J14" s="10" t="s">
        <v>729</v>
      </c>
      <c r="K14" s="1591"/>
      <c r="L14" s="1513"/>
      <c r="M14" s="1271"/>
      <c r="N14" s="1268"/>
    </row>
    <row r="15" spans="1:17" ht="25.8">
      <c r="A15" s="873" t="s">
        <v>2721</v>
      </c>
      <c r="B15" s="874" t="s">
        <v>2722</v>
      </c>
      <c r="C15" s="98" t="s">
        <v>48</v>
      </c>
      <c r="D15" s="98" t="s">
        <v>48</v>
      </c>
      <c r="E15" s="98" t="s">
        <v>48</v>
      </c>
      <c r="F15" s="10" t="s">
        <v>48</v>
      </c>
      <c r="G15" s="10" t="s">
        <v>48</v>
      </c>
      <c r="H15" s="346">
        <v>32</v>
      </c>
      <c r="I15" s="10" t="s">
        <v>2017</v>
      </c>
      <c r="J15" s="10" t="s">
        <v>729</v>
      </c>
      <c r="K15" s="1591"/>
      <c r="L15" s="1513"/>
      <c r="M15" s="1271"/>
      <c r="N15" s="1268"/>
    </row>
    <row r="16" spans="1:17">
      <c r="M16" s="1268"/>
      <c r="N16" s="1269"/>
      <c r="O16" s="1268"/>
      <c r="P16" s="1268"/>
      <c r="Q16" s="1268"/>
    </row>
    <row r="17" spans="13:17">
      <c r="M17" s="1268"/>
      <c r="N17" s="1269"/>
      <c r="O17" s="1268"/>
      <c r="P17" s="1268"/>
      <c r="Q17" s="1268"/>
    </row>
    <row r="18" spans="13:17">
      <c r="M18" s="1268"/>
      <c r="N18" s="1269"/>
      <c r="O18" s="1268"/>
      <c r="P18" s="1268"/>
      <c r="Q18" s="1268"/>
    </row>
  </sheetData>
  <mergeCells count="7">
    <mergeCell ref="C1:D1"/>
    <mergeCell ref="A2:B2"/>
    <mergeCell ref="K6:K15"/>
    <mergeCell ref="L6:L15"/>
    <mergeCell ref="K4:K5"/>
    <mergeCell ref="L4:L5"/>
    <mergeCell ref="C2:I2"/>
  </mergeCells>
  <hyperlinks>
    <hyperlink ref="L1" location="'AVI_FCF_VRU_Config'!A1" display="AVI_FCF_VRU_Config" xr:uid="{354AAB6C-3AE1-4FA8-A826-F2D924F4205F}"/>
    <hyperlink ref="I1" location="'Revision Map'!A1" display="INDEX" xr:uid="{D2CB98F5-441B-460C-9245-BC3FCD65CD6F}"/>
    <hyperlink ref="J1" location="'Cross-FCN_Definitions'!A1" display="Cross-FCN_Definitions" xr:uid="{4D6900BE-313B-4B1E-ABFE-0442CF55D76C}"/>
    <hyperlink ref="K1" location="FCF_Definitions!A1" display="FCF_Definitions" xr:uid="{BE424B6F-9A70-499E-B8C7-81288D7D7CD6}"/>
  </hyperlinks>
  <pageMargins left="0.7" right="0.7" top="0.75" bottom="0.75" header="0.3" footer="0.3"/>
  <headerFooter>
    <oddFooter>&amp;C_x000D_&amp;1#&amp;"Calibri"&amp;11&amp;KFF0000 Internal</oddFooter>
  </headerFooter>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F7AF7-E3A9-4D32-B308-2E0A21868EE4}">
  <sheetPr codeName="Sheet34"/>
  <dimension ref="A1:F57"/>
  <sheetViews>
    <sheetView topLeftCell="A44" workbookViewId="0">
      <selection activeCell="B57" sqref="B57"/>
    </sheetView>
  </sheetViews>
  <sheetFormatPr defaultColWidth="9.15625" defaultRowHeight="14.4"/>
  <cols>
    <col min="1" max="1" width="10.26171875" style="1014" bestFit="1" customWidth="1"/>
    <col min="2" max="2" width="9.83984375" style="40" bestFit="1" customWidth="1"/>
    <col min="3" max="3" width="90.578125" style="181" bestFit="1" customWidth="1"/>
    <col min="4" max="4" width="22.15625" style="181" customWidth="1"/>
    <col min="5" max="6" width="13.578125" style="181" customWidth="1"/>
    <col min="7" max="16384" width="9.15625" style="181"/>
  </cols>
  <sheetData>
    <row r="1" spans="1:6">
      <c r="A1" s="1051" t="s">
        <v>644</v>
      </c>
      <c r="B1" s="662" t="s">
        <v>645</v>
      </c>
      <c r="C1" s="665" t="s">
        <v>646</v>
      </c>
      <c r="D1" s="665" t="s">
        <v>647</v>
      </c>
      <c r="E1" s="666" t="s">
        <v>648</v>
      </c>
      <c r="F1" s="180"/>
    </row>
    <row r="2" spans="1:6" ht="15" customHeight="1">
      <c r="A2" s="1056">
        <v>1</v>
      </c>
      <c r="B2" s="599">
        <v>44340</v>
      </c>
      <c r="C2" s="609" t="s">
        <v>2020</v>
      </c>
      <c r="D2" s="603" t="s">
        <v>676</v>
      </c>
      <c r="E2" s="604" t="s">
        <v>651</v>
      </c>
      <c r="F2" s="180"/>
    </row>
    <row r="3" spans="1:6">
      <c r="A3" s="1056">
        <v>1</v>
      </c>
      <c r="B3" s="599">
        <v>44341</v>
      </c>
      <c r="C3" s="603" t="s">
        <v>102</v>
      </c>
      <c r="D3" s="603" t="s">
        <v>654</v>
      </c>
      <c r="E3" s="604" t="s">
        <v>661</v>
      </c>
      <c r="F3" s="180"/>
    </row>
    <row r="4" spans="1:6">
      <c r="A4" s="1056">
        <v>1</v>
      </c>
      <c r="B4" s="599">
        <v>44452</v>
      </c>
      <c r="C4" s="603" t="s">
        <v>2723</v>
      </c>
      <c r="D4" s="603" t="s">
        <v>654</v>
      </c>
      <c r="E4" s="604" t="s">
        <v>661</v>
      </c>
      <c r="F4" s="180"/>
    </row>
    <row r="5" spans="1:6" ht="86.4">
      <c r="A5" s="1056">
        <v>1.1000000000000001</v>
      </c>
      <c r="B5" s="599">
        <v>44676</v>
      </c>
      <c r="C5" s="603" t="s">
        <v>2724</v>
      </c>
      <c r="D5" s="603" t="s">
        <v>676</v>
      </c>
      <c r="E5" s="604" t="s">
        <v>655</v>
      </c>
      <c r="F5" s="180"/>
    </row>
    <row r="6" spans="1:6" ht="115.2">
      <c r="A6" s="1056">
        <v>1.2</v>
      </c>
      <c r="B6" s="599">
        <v>44698</v>
      </c>
      <c r="C6" s="603" t="s">
        <v>2725</v>
      </c>
      <c r="D6" s="603" t="s">
        <v>676</v>
      </c>
      <c r="E6" s="604" t="s">
        <v>655</v>
      </c>
      <c r="F6" s="180"/>
    </row>
    <row r="7" spans="1:6">
      <c r="A7" s="1056">
        <v>1.2</v>
      </c>
      <c r="B7" s="599">
        <v>44698</v>
      </c>
      <c r="C7" s="603" t="s">
        <v>2726</v>
      </c>
      <c r="D7" s="603" t="s">
        <v>654</v>
      </c>
      <c r="E7" s="604" t="s">
        <v>655</v>
      </c>
      <c r="F7" s="180"/>
    </row>
    <row r="8" spans="1:6">
      <c r="A8" s="1056">
        <v>1.3</v>
      </c>
      <c r="B8" s="599">
        <v>44706</v>
      </c>
      <c r="C8" s="603" t="s">
        <v>2727</v>
      </c>
      <c r="D8" s="603" t="s">
        <v>676</v>
      </c>
      <c r="E8" s="604" t="s">
        <v>655</v>
      </c>
      <c r="F8" s="180"/>
    </row>
    <row r="9" spans="1:6">
      <c r="A9" s="1057">
        <v>1.3</v>
      </c>
      <c r="B9" s="411">
        <v>44706</v>
      </c>
      <c r="C9" s="602" t="s">
        <v>2027</v>
      </c>
      <c r="D9" s="602" t="s">
        <v>658</v>
      </c>
      <c r="E9" s="602" t="s">
        <v>655</v>
      </c>
      <c r="F9" s="180"/>
    </row>
    <row r="10" spans="1:6">
      <c r="A10" s="1052">
        <v>2</v>
      </c>
      <c r="B10" s="599">
        <v>44712</v>
      </c>
      <c r="C10" s="603" t="s">
        <v>2728</v>
      </c>
      <c r="D10" s="606" t="s">
        <v>676</v>
      </c>
      <c r="E10" s="603" t="s">
        <v>651</v>
      </c>
      <c r="F10" s="180" t="s">
        <v>102</v>
      </c>
    </row>
    <row r="11" spans="1:6" ht="28.8">
      <c r="A11" s="1052">
        <v>2.1</v>
      </c>
      <c r="B11" s="411">
        <v>44714</v>
      </c>
      <c r="C11" s="606" t="s">
        <v>2729</v>
      </c>
      <c r="D11" s="606" t="s">
        <v>676</v>
      </c>
      <c r="E11" s="603" t="s">
        <v>655</v>
      </c>
      <c r="F11" s="180" t="s">
        <v>102</v>
      </c>
    </row>
    <row r="12" spans="1:6">
      <c r="A12" s="1056">
        <v>2.2000000000000002</v>
      </c>
      <c r="B12" s="599">
        <v>44715</v>
      </c>
      <c r="C12" s="609" t="s">
        <v>2730</v>
      </c>
      <c r="D12" s="603" t="s">
        <v>676</v>
      </c>
      <c r="E12" s="604" t="s">
        <v>655</v>
      </c>
      <c r="F12" s="180" t="s">
        <v>102</v>
      </c>
    </row>
    <row r="13" spans="1:6">
      <c r="A13" s="1056">
        <v>2.2000000000000002</v>
      </c>
      <c r="B13" s="599">
        <v>44715</v>
      </c>
      <c r="C13" s="603" t="s">
        <v>2031</v>
      </c>
      <c r="D13" s="603" t="s">
        <v>796</v>
      </c>
      <c r="E13" s="604" t="s">
        <v>655</v>
      </c>
      <c r="F13" s="180"/>
    </row>
    <row r="14" spans="1:6">
      <c r="A14" s="1056">
        <v>2.2000000000000002</v>
      </c>
      <c r="B14" s="599">
        <v>44715</v>
      </c>
      <c r="C14" s="603" t="s">
        <v>2032</v>
      </c>
      <c r="D14" s="603" t="s">
        <v>796</v>
      </c>
      <c r="E14" s="604" t="s">
        <v>655</v>
      </c>
    </row>
    <row r="15" spans="1:6">
      <c r="A15" s="1056">
        <v>3</v>
      </c>
      <c r="B15" s="599">
        <v>44719</v>
      </c>
      <c r="C15" s="603" t="s">
        <v>1748</v>
      </c>
      <c r="D15" s="603" t="s">
        <v>676</v>
      </c>
      <c r="E15" s="604" t="s">
        <v>651</v>
      </c>
    </row>
    <row r="16" spans="1:6">
      <c r="A16" s="1056">
        <v>3</v>
      </c>
      <c r="B16" s="599">
        <v>44719</v>
      </c>
      <c r="C16" s="603" t="s">
        <v>660</v>
      </c>
      <c r="D16" s="603" t="s">
        <v>654</v>
      </c>
      <c r="E16" s="604" t="s">
        <v>661</v>
      </c>
    </row>
    <row r="17" spans="1:5">
      <c r="A17" s="1056">
        <v>3.1</v>
      </c>
      <c r="B17" s="599">
        <v>44727</v>
      </c>
      <c r="C17" s="603" t="s">
        <v>2731</v>
      </c>
      <c r="D17" s="603" t="s">
        <v>676</v>
      </c>
      <c r="E17" s="604" t="s">
        <v>655</v>
      </c>
    </row>
    <row r="18" spans="1:5">
      <c r="A18" s="1056">
        <v>3.1</v>
      </c>
      <c r="B18" s="599">
        <v>44727</v>
      </c>
      <c r="C18" s="603" t="s">
        <v>1601</v>
      </c>
      <c r="D18" s="603" t="s">
        <v>654</v>
      </c>
      <c r="E18" s="604" t="s">
        <v>655</v>
      </c>
    </row>
    <row r="19" spans="1:5">
      <c r="A19" s="1057">
        <v>4</v>
      </c>
      <c r="B19" s="411">
        <v>44728</v>
      </c>
      <c r="C19" s="602" t="s">
        <v>1749</v>
      </c>
      <c r="D19" s="602" t="s">
        <v>676</v>
      </c>
      <c r="E19" s="602" t="s">
        <v>651</v>
      </c>
    </row>
    <row r="20" spans="1:5">
      <c r="A20" s="1052">
        <v>4.0999999999999996</v>
      </c>
      <c r="B20" s="411">
        <v>44742</v>
      </c>
      <c r="C20" s="603" t="s">
        <v>2732</v>
      </c>
      <c r="D20" s="606" t="s">
        <v>676</v>
      </c>
      <c r="E20" s="603" t="s">
        <v>655</v>
      </c>
    </row>
    <row r="21" spans="1:5" ht="28.8">
      <c r="A21" s="1052">
        <v>4.2</v>
      </c>
      <c r="B21" s="411">
        <v>44742</v>
      </c>
      <c r="C21" s="576" t="s">
        <v>2733</v>
      </c>
      <c r="D21" s="606" t="s">
        <v>676</v>
      </c>
      <c r="E21" s="603" t="s">
        <v>655</v>
      </c>
    </row>
    <row r="22" spans="1:5">
      <c r="A22" s="1052">
        <v>4.2</v>
      </c>
      <c r="B22" s="411">
        <v>44742</v>
      </c>
      <c r="C22" s="606" t="s">
        <v>1601</v>
      </c>
      <c r="D22" s="606" t="s">
        <v>654</v>
      </c>
      <c r="E22" s="603" t="s">
        <v>655</v>
      </c>
    </row>
    <row r="23" spans="1:5">
      <c r="A23" s="1056">
        <v>5</v>
      </c>
      <c r="B23" s="411">
        <v>44742</v>
      </c>
      <c r="C23" s="602" t="s">
        <v>1749</v>
      </c>
      <c r="D23" s="603" t="s">
        <v>676</v>
      </c>
      <c r="E23" s="604" t="s">
        <v>651</v>
      </c>
    </row>
    <row r="24" spans="1:5">
      <c r="A24" s="1056">
        <v>5</v>
      </c>
      <c r="B24" s="51">
        <v>44742</v>
      </c>
      <c r="C24" s="576" t="s">
        <v>667</v>
      </c>
      <c r="D24" s="5" t="s">
        <v>654</v>
      </c>
      <c r="E24" s="5" t="s">
        <v>661</v>
      </c>
    </row>
    <row r="25" spans="1:5" ht="28.8">
      <c r="A25" s="1010">
        <v>5.0999999999999996</v>
      </c>
      <c r="B25" s="188">
        <v>44895</v>
      </c>
      <c r="C25" s="584" t="s">
        <v>1363</v>
      </c>
      <c r="D25" s="585" t="s">
        <v>683</v>
      </c>
      <c r="E25" s="586" t="s">
        <v>655</v>
      </c>
    </row>
    <row r="26" spans="1:5">
      <c r="A26" s="1010">
        <v>5.2</v>
      </c>
      <c r="B26" s="188">
        <v>44896</v>
      </c>
      <c r="C26" s="5" t="s">
        <v>1751</v>
      </c>
      <c r="D26" s="5" t="s">
        <v>676</v>
      </c>
      <c r="E26" s="5" t="s">
        <v>655</v>
      </c>
    </row>
    <row r="27" spans="1:5">
      <c r="A27" s="1056">
        <v>5.3</v>
      </c>
      <c r="B27" s="188">
        <v>44900</v>
      </c>
      <c r="C27" s="584" t="s">
        <v>1693</v>
      </c>
      <c r="D27" s="585" t="s">
        <v>676</v>
      </c>
      <c r="E27" s="586" t="s">
        <v>655</v>
      </c>
    </row>
    <row r="28" spans="1:5" ht="28.8">
      <c r="A28" s="1010">
        <v>5.4</v>
      </c>
      <c r="B28" s="188">
        <v>44903</v>
      </c>
      <c r="C28" s="576" t="s">
        <v>2734</v>
      </c>
      <c r="D28" s="5" t="s">
        <v>676</v>
      </c>
      <c r="E28" s="5" t="s">
        <v>655</v>
      </c>
    </row>
    <row r="29" spans="1:5">
      <c r="A29" s="1010">
        <v>5.4</v>
      </c>
      <c r="B29" s="188">
        <v>44903</v>
      </c>
      <c r="C29" s="5" t="s">
        <v>1752</v>
      </c>
      <c r="D29" s="5" t="s">
        <v>678</v>
      </c>
      <c r="E29" s="5" t="s">
        <v>655</v>
      </c>
    </row>
    <row r="30" spans="1:5">
      <c r="A30" s="1010">
        <v>5.4</v>
      </c>
      <c r="B30" s="51">
        <v>44937</v>
      </c>
      <c r="C30" s="607" t="s">
        <v>677</v>
      </c>
      <c r="D30" s="608" t="s">
        <v>678</v>
      </c>
      <c r="E30" s="608" t="s">
        <v>655</v>
      </c>
    </row>
    <row r="31" spans="1:5">
      <c r="A31" s="1010">
        <v>5.5</v>
      </c>
      <c r="B31" s="51">
        <v>44945</v>
      </c>
      <c r="C31" s="584" t="s">
        <v>1373</v>
      </c>
      <c r="D31" s="585" t="s">
        <v>1001</v>
      </c>
      <c r="E31" s="586" t="s">
        <v>655</v>
      </c>
    </row>
    <row r="32" spans="1:5">
      <c r="A32" s="1010">
        <v>5.5</v>
      </c>
      <c r="B32" s="51">
        <v>44953</v>
      </c>
      <c r="C32" s="5" t="s">
        <v>2041</v>
      </c>
      <c r="D32" s="5" t="s">
        <v>658</v>
      </c>
      <c r="E32" s="5" t="s">
        <v>655</v>
      </c>
    </row>
    <row r="33" spans="1:5">
      <c r="A33" s="1010">
        <v>5.6</v>
      </c>
      <c r="B33" s="51">
        <v>44956</v>
      </c>
      <c r="C33" s="608" t="s">
        <v>2042</v>
      </c>
      <c r="D33" s="608" t="s">
        <v>676</v>
      </c>
      <c r="E33" s="608" t="s">
        <v>655</v>
      </c>
    </row>
    <row r="34" spans="1:5">
      <c r="A34" s="1010">
        <v>5.6</v>
      </c>
      <c r="B34" s="51">
        <v>44957</v>
      </c>
      <c r="C34" s="5" t="s">
        <v>2041</v>
      </c>
      <c r="D34" s="608" t="s">
        <v>678</v>
      </c>
      <c r="E34" s="5" t="s">
        <v>655</v>
      </c>
    </row>
    <row r="35" spans="1:5">
      <c r="A35" s="1010">
        <v>6</v>
      </c>
      <c r="B35" s="51">
        <v>44957</v>
      </c>
      <c r="C35" s="602" t="s">
        <v>1753</v>
      </c>
      <c r="D35" s="5" t="s">
        <v>676</v>
      </c>
      <c r="E35" s="5" t="s">
        <v>651</v>
      </c>
    </row>
    <row r="36" spans="1:5">
      <c r="A36" s="1010">
        <v>6</v>
      </c>
      <c r="B36" s="51">
        <v>44957</v>
      </c>
      <c r="C36" s="5" t="s">
        <v>687</v>
      </c>
      <c r="D36" s="5" t="s">
        <v>676</v>
      </c>
      <c r="E36" s="5" t="s">
        <v>661</v>
      </c>
    </row>
    <row r="37" spans="1:5">
      <c r="A37" s="1010">
        <v>6.1</v>
      </c>
      <c r="B37" s="51">
        <v>44965</v>
      </c>
      <c r="C37" t="s">
        <v>2735</v>
      </c>
      <c r="D37" s="5" t="s">
        <v>676</v>
      </c>
      <c r="E37" s="5" t="s">
        <v>655</v>
      </c>
    </row>
    <row r="38" spans="1:5">
      <c r="A38" s="1010">
        <v>6.1</v>
      </c>
      <c r="B38" s="51">
        <v>44936</v>
      </c>
      <c r="C38" s="5" t="s">
        <v>2041</v>
      </c>
      <c r="D38" s="5" t="s">
        <v>658</v>
      </c>
      <c r="E38" s="5" t="s">
        <v>655</v>
      </c>
    </row>
    <row r="39" spans="1:5">
      <c r="A39" s="1010">
        <v>7</v>
      </c>
      <c r="B39" s="51">
        <v>44967</v>
      </c>
      <c r="C39" s="181" t="s">
        <v>1753</v>
      </c>
      <c r="D39" s="181" t="s">
        <v>676</v>
      </c>
      <c r="E39" s="181" t="s">
        <v>651</v>
      </c>
    </row>
    <row r="40" spans="1:5">
      <c r="A40" s="1010">
        <v>7</v>
      </c>
      <c r="B40" s="51">
        <v>44970</v>
      </c>
      <c r="C40" s="2" t="s">
        <v>691</v>
      </c>
      <c r="D40" s="5" t="s">
        <v>676</v>
      </c>
      <c r="E40" s="5" t="s">
        <v>661</v>
      </c>
    </row>
    <row r="41" spans="1:5">
      <c r="A41" s="1010">
        <v>8</v>
      </c>
      <c r="B41" s="51">
        <v>44994</v>
      </c>
      <c r="C41" s="5" t="s">
        <v>1754</v>
      </c>
      <c r="D41" s="5" t="s">
        <v>683</v>
      </c>
      <c r="E41" s="5" t="s">
        <v>651</v>
      </c>
    </row>
    <row r="42" spans="1:5">
      <c r="A42" s="1010">
        <v>8</v>
      </c>
      <c r="B42" s="191">
        <v>44998</v>
      </c>
      <c r="C42" s="2" t="s">
        <v>692</v>
      </c>
      <c r="D42" s="5" t="s">
        <v>678</v>
      </c>
      <c r="E42" s="5" t="s">
        <v>661</v>
      </c>
    </row>
    <row r="43" spans="1:5">
      <c r="A43" s="1010">
        <v>8.1</v>
      </c>
      <c r="B43" s="191">
        <v>45072</v>
      </c>
      <c r="C43" s="2" t="s">
        <v>1755</v>
      </c>
      <c r="D43" s="5" t="s">
        <v>697</v>
      </c>
      <c r="E43" s="5" t="s">
        <v>655</v>
      </c>
    </row>
    <row r="44" spans="1:5">
      <c r="A44" s="1010">
        <v>8.1</v>
      </c>
      <c r="B44" s="191">
        <v>45075</v>
      </c>
      <c r="C44" s="5" t="s">
        <v>2046</v>
      </c>
      <c r="D44" s="5" t="s">
        <v>678</v>
      </c>
      <c r="E44" s="5" t="s">
        <v>655</v>
      </c>
    </row>
    <row r="45" spans="1:5">
      <c r="A45" s="1010">
        <v>9</v>
      </c>
      <c r="B45" s="191">
        <v>45076</v>
      </c>
      <c r="C45" s="5" t="s">
        <v>1754</v>
      </c>
      <c r="D45" s="181" t="s">
        <v>697</v>
      </c>
      <c r="E45" s="181" t="s">
        <v>651</v>
      </c>
    </row>
    <row r="46" spans="1:5">
      <c r="A46" s="1010">
        <v>9.1</v>
      </c>
      <c r="B46" s="191">
        <v>45076</v>
      </c>
      <c r="C46" s="181" t="s">
        <v>1758</v>
      </c>
      <c r="D46" s="181" t="s">
        <v>697</v>
      </c>
      <c r="E46" s="181" t="s">
        <v>655</v>
      </c>
    </row>
    <row r="47" spans="1:5">
      <c r="A47" s="1010">
        <v>9.1</v>
      </c>
      <c r="B47" s="191">
        <v>45077</v>
      </c>
      <c r="C47" s="5" t="s">
        <v>2046</v>
      </c>
      <c r="D47" s="5" t="s">
        <v>678</v>
      </c>
      <c r="E47" s="5" t="s">
        <v>655</v>
      </c>
    </row>
    <row r="48" spans="1:5">
      <c r="A48" s="1010" t="s">
        <v>2736</v>
      </c>
      <c r="B48" s="191">
        <v>45077</v>
      </c>
      <c r="C48" s="181" t="s">
        <v>2696</v>
      </c>
      <c r="D48" s="181" t="s">
        <v>697</v>
      </c>
      <c r="E48" s="181" t="s">
        <v>655</v>
      </c>
    </row>
    <row r="49" spans="1:5">
      <c r="A49" s="1010" t="s">
        <v>2736</v>
      </c>
      <c r="B49" s="51">
        <v>45078</v>
      </c>
      <c r="C49" s="181" t="s">
        <v>1752</v>
      </c>
      <c r="D49" s="181" t="s">
        <v>658</v>
      </c>
      <c r="E49" s="181" t="s">
        <v>655</v>
      </c>
    </row>
    <row r="50" spans="1:5">
      <c r="A50" s="1010" t="s">
        <v>1014</v>
      </c>
      <c r="B50" s="51">
        <v>45078</v>
      </c>
      <c r="C50" s="1053" t="s">
        <v>1760</v>
      </c>
      <c r="D50" s="5" t="s">
        <v>697</v>
      </c>
      <c r="E50" s="5" t="s">
        <v>651</v>
      </c>
    </row>
    <row r="51" spans="1:5" customFormat="1">
      <c r="A51" s="1010" t="s">
        <v>1014</v>
      </c>
      <c r="B51" s="191">
        <v>45078</v>
      </c>
      <c r="C51" s="5" t="s">
        <v>699</v>
      </c>
      <c r="D51" s="5" t="s">
        <v>678</v>
      </c>
      <c r="E51" s="5" t="s">
        <v>661</v>
      </c>
    </row>
    <row r="52" spans="1:5">
      <c r="A52" s="629" t="s">
        <v>2737</v>
      </c>
      <c r="B52" s="188">
        <v>45097</v>
      </c>
      <c r="C52" s="585" t="s">
        <v>1761</v>
      </c>
      <c r="D52" s="585" t="s">
        <v>697</v>
      </c>
      <c r="E52" s="586" t="s">
        <v>655</v>
      </c>
    </row>
    <row r="53" spans="1:5">
      <c r="A53" s="629" t="s">
        <v>2737</v>
      </c>
      <c r="B53" s="188">
        <v>45097</v>
      </c>
      <c r="C53" s="585" t="s">
        <v>1752</v>
      </c>
      <c r="D53" s="585" t="s">
        <v>678</v>
      </c>
      <c r="E53" s="586" t="s">
        <v>655</v>
      </c>
    </row>
    <row r="54" spans="1:5" ht="43.2">
      <c r="A54" s="1010" t="s">
        <v>2048</v>
      </c>
      <c r="B54" s="191">
        <v>45097</v>
      </c>
      <c r="C54" s="2" t="s">
        <v>2738</v>
      </c>
      <c r="D54" s="5" t="s">
        <v>697</v>
      </c>
      <c r="E54" s="5" t="s">
        <v>655</v>
      </c>
    </row>
    <row r="55" spans="1:5">
      <c r="A55" s="629" t="s">
        <v>2050</v>
      </c>
      <c r="B55" s="188">
        <v>45097</v>
      </c>
      <c r="C55" s="1053" t="s">
        <v>1760</v>
      </c>
      <c r="D55" s="585" t="s">
        <v>678</v>
      </c>
      <c r="E55" s="586" t="s">
        <v>651</v>
      </c>
    </row>
    <row r="56" spans="1:5">
      <c r="A56" s="1012" t="s">
        <v>2050</v>
      </c>
      <c r="B56" s="191">
        <v>45097</v>
      </c>
      <c r="C56" s="594" t="s">
        <v>700</v>
      </c>
      <c r="D56" s="595" t="s">
        <v>678</v>
      </c>
      <c r="E56" s="596" t="s">
        <v>661</v>
      </c>
    </row>
    <row r="57" spans="1:5" customFormat="1">
      <c r="A57" s="1012" t="s">
        <v>2050</v>
      </c>
      <c r="B57" s="1065">
        <v>45205</v>
      </c>
      <c r="C57" s="595" t="s">
        <v>701</v>
      </c>
      <c r="D57" s="595" t="s">
        <v>678</v>
      </c>
      <c r="E57" s="596" t="s">
        <v>661</v>
      </c>
    </row>
  </sheetData>
  <pageMargins left="0.7" right="0.7" top="0.75" bottom="0.75" header="0.3" footer="0.3"/>
  <pageSetup paperSize="9" orientation="portrait" r:id="rId1"/>
  <headerFooter>
    <oddFooter>&amp;C_x000D_&amp;1#&amp;"Calibri"&amp;11&amp;KFF0000 Internal</oddFooter>
  </headerFooter>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91C97-59BC-4DD1-95B3-595381B7253E}">
  <sheetPr codeName="Sheet101"/>
  <dimension ref="A1:L204"/>
  <sheetViews>
    <sheetView workbookViewId="0">
      <selection activeCell="A2" sqref="A2:B2"/>
    </sheetView>
  </sheetViews>
  <sheetFormatPr defaultRowHeight="14.4"/>
  <cols>
    <col min="1" max="1" width="52.578125" customWidth="1"/>
    <col min="2" max="2" width="56" style="2" customWidth="1"/>
    <col min="5" max="5" width="8.578125" bestFit="1" customWidth="1"/>
    <col min="6" max="6" width="15.41796875" customWidth="1"/>
    <col min="9" max="9" width="20.15625" customWidth="1"/>
    <col min="10" max="10" width="21.578125" customWidth="1"/>
    <col min="11" max="11" width="28.26171875" customWidth="1"/>
    <col min="12" max="12" width="31" customWidth="1"/>
  </cols>
  <sheetData>
    <row r="1" spans="1:12" ht="18.75" customHeight="1">
      <c r="A1" s="45" t="s">
        <v>104</v>
      </c>
      <c r="B1" s="46" t="s">
        <v>2697</v>
      </c>
      <c r="C1" s="1621" t="s">
        <v>106</v>
      </c>
      <c r="D1" s="1622"/>
      <c r="E1" s="1272">
        <v>4</v>
      </c>
      <c r="F1" s="1272" t="s">
        <v>702</v>
      </c>
      <c r="G1" s="1273">
        <v>3872</v>
      </c>
      <c r="H1" s="1274"/>
      <c r="I1" s="1275" t="s">
        <v>69</v>
      </c>
      <c r="J1" s="1275" t="s">
        <v>703</v>
      </c>
      <c r="K1" s="1276" t="s">
        <v>1702</v>
      </c>
      <c r="L1" s="1276" t="s">
        <v>79</v>
      </c>
    </row>
    <row r="2" spans="1:12" ht="228" customHeight="1">
      <c r="A2" s="1599" t="s">
        <v>1704</v>
      </c>
      <c r="B2" s="1600"/>
      <c r="C2" s="1623" t="s">
        <v>2739</v>
      </c>
      <c r="D2" s="1624"/>
      <c r="E2" s="1624"/>
      <c r="F2" s="1624"/>
      <c r="G2" s="1624"/>
      <c r="H2" s="1624"/>
      <c r="I2" s="1625"/>
      <c r="J2" s="240" t="s">
        <v>707</v>
      </c>
      <c r="K2" s="1277">
        <v>1</v>
      </c>
      <c r="L2" s="226"/>
    </row>
    <row r="3" spans="1:12" ht="15" customHeight="1">
      <c r="A3" s="868" t="s">
        <v>709</v>
      </c>
      <c r="B3" s="869" t="s">
        <v>710</v>
      </c>
      <c r="C3" s="868" t="s">
        <v>711</v>
      </c>
      <c r="D3" s="868" t="s">
        <v>712</v>
      </c>
      <c r="E3" s="868" t="s">
        <v>713</v>
      </c>
      <c r="F3" s="868" t="s">
        <v>714</v>
      </c>
      <c r="G3" s="868" t="s">
        <v>715</v>
      </c>
      <c r="H3" s="868" t="s">
        <v>716</v>
      </c>
      <c r="I3" s="868" t="s">
        <v>717</v>
      </c>
      <c r="J3" s="868" t="s">
        <v>718</v>
      </c>
      <c r="K3" s="865" t="s">
        <v>719</v>
      </c>
      <c r="L3" s="412" t="s">
        <v>720</v>
      </c>
    </row>
    <row r="4" spans="1:12" ht="28.8">
      <c r="A4" s="115" t="s">
        <v>2740</v>
      </c>
      <c r="B4" s="553" t="s">
        <v>1766</v>
      </c>
      <c r="C4" s="10" t="s">
        <v>48</v>
      </c>
      <c r="D4" s="10" t="s">
        <v>48</v>
      </c>
      <c r="E4" s="10" t="s">
        <v>48</v>
      </c>
      <c r="F4" s="10" t="s">
        <v>48</v>
      </c>
      <c r="G4" s="10" t="s">
        <v>48</v>
      </c>
      <c r="H4" s="10">
        <v>32</v>
      </c>
      <c r="I4" s="10" t="s">
        <v>728</v>
      </c>
      <c r="J4" s="554" t="s">
        <v>2055</v>
      </c>
      <c r="K4" s="1604">
        <v>1</v>
      </c>
      <c r="L4" s="1513" t="s">
        <v>2741</v>
      </c>
    </row>
    <row r="5" spans="1:12">
      <c r="A5" s="115" t="s">
        <v>2742</v>
      </c>
      <c r="B5" s="866" t="s">
        <v>1459</v>
      </c>
      <c r="C5" s="10" t="s">
        <v>48</v>
      </c>
      <c r="D5" s="10" t="s">
        <v>48</v>
      </c>
      <c r="E5" s="10" t="s">
        <v>48</v>
      </c>
      <c r="F5" s="10" t="s">
        <v>48</v>
      </c>
      <c r="G5" s="10" t="s">
        <v>48</v>
      </c>
      <c r="H5" s="10">
        <v>16</v>
      </c>
      <c r="I5" s="10" t="s">
        <v>823</v>
      </c>
      <c r="J5" s="554" t="s">
        <v>2055</v>
      </c>
      <c r="K5" s="1604"/>
      <c r="L5" s="1513"/>
    </row>
    <row r="6" spans="1:12">
      <c r="A6" s="1278" t="s">
        <v>2743</v>
      </c>
      <c r="B6" s="867" t="s">
        <v>826</v>
      </c>
      <c r="C6" s="10" t="s">
        <v>48</v>
      </c>
      <c r="D6" s="10" t="s">
        <v>48</v>
      </c>
      <c r="E6" s="10" t="s">
        <v>48</v>
      </c>
      <c r="F6" s="10" t="s">
        <v>48</v>
      </c>
      <c r="G6" s="10" t="s">
        <v>48</v>
      </c>
      <c r="H6" s="10">
        <v>8</v>
      </c>
      <c r="I6" s="10" t="s">
        <v>827</v>
      </c>
      <c r="J6" s="554" t="s">
        <v>2055</v>
      </c>
      <c r="K6" s="1604"/>
      <c r="L6" s="1513"/>
    </row>
    <row r="7" spans="1:12" ht="43.2">
      <c r="A7" s="1278" t="s">
        <v>2744</v>
      </c>
      <c r="B7" s="1279" t="s">
        <v>2745</v>
      </c>
      <c r="C7" s="10" t="s">
        <v>48</v>
      </c>
      <c r="D7" s="10" t="s">
        <v>48</v>
      </c>
      <c r="E7" s="10" t="s">
        <v>48</v>
      </c>
      <c r="F7" s="10" t="s">
        <v>48</v>
      </c>
      <c r="G7" s="10" t="s">
        <v>48</v>
      </c>
      <c r="H7" s="10">
        <v>8</v>
      </c>
      <c r="I7" s="10" t="s">
        <v>839</v>
      </c>
      <c r="J7" s="554" t="s">
        <v>2055</v>
      </c>
      <c r="K7" s="1604"/>
      <c r="L7" s="1513"/>
    </row>
    <row r="8" spans="1:12" ht="28.8">
      <c r="A8" s="1278" t="s">
        <v>2746</v>
      </c>
      <c r="B8" s="1279" t="s">
        <v>2747</v>
      </c>
      <c r="C8" s="10" t="s">
        <v>48</v>
      </c>
      <c r="D8" s="10">
        <v>1</v>
      </c>
      <c r="E8" s="10">
        <v>255</v>
      </c>
      <c r="F8" s="9" t="s">
        <v>2748</v>
      </c>
      <c r="G8" s="10">
        <v>255</v>
      </c>
      <c r="H8" s="10">
        <v>8</v>
      </c>
      <c r="I8" s="10" t="s">
        <v>743</v>
      </c>
      <c r="J8" s="554" t="s">
        <v>2055</v>
      </c>
      <c r="K8" s="1604"/>
      <c r="L8" s="1513"/>
    </row>
    <row r="9" spans="1:12" ht="43.2">
      <c r="A9" s="1278" t="s">
        <v>2749</v>
      </c>
      <c r="B9" s="1279" t="s">
        <v>2750</v>
      </c>
      <c r="C9" s="10" t="s">
        <v>48</v>
      </c>
      <c r="D9" s="10" t="s">
        <v>48</v>
      </c>
      <c r="E9" s="10" t="s">
        <v>48</v>
      </c>
      <c r="F9" s="10" t="s">
        <v>48</v>
      </c>
      <c r="G9" s="10" t="s">
        <v>48</v>
      </c>
      <c r="H9" s="10">
        <v>8</v>
      </c>
      <c r="I9" s="10" t="s">
        <v>839</v>
      </c>
      <c r="J9" s="554" t="s">
        <v>2055</v>
      </c>
      <c r="K9" s="1604"/>
      <c r="L9" s="1513"/>
    </row>
    <row r="10" spans="1:12">
      <c r="A10" s="1278" t="s">
        <v>2751</v>
      </c>
      <c r="B10" s="1279" t="s">
        <v>2752</v>
      </c>
      <c r="C10" s="10" t="s">
        <v>48</v>
      </c>
      <c r="D10" s="10" t="s">
        <v>48</v>
      </c>
      <c r="E10" s="10" t="s">
        <v>48</v>
      </c>
      <c r="F10" s="10" t="s">
        <v>48</v>
      </c>
      <c r="G10" s="10" t="s">
        <v>48</v>
      </c>
      <c r="H10" s="10">
        <v>32</v>
      </c>
      <c r="I10" s="425" t="s">
        <v>1800</v>
      </c>
      <c r="J10" s="554" t="s">
        <v>2055</v>
      </c>
      <c r="K10" s="1604"/>
      <c r="L10" s="1513"/>
    </row>
    <row r="11" spans="1:12" ht="43.2">
      <c r="A11" s="1278" t="s">
        <v>2753</v>
      </c>
      <c r="B11" s="1279" t="s">
        <v>2754</v>
      </c>
      <c r="C11" s="10" t="s">
        <v>48</v>
      </c>
      <c r="D11" s="10" t="s">
        <v>48</v>
      </c>
      <c r="E11" s="10" t="s">
        <v>48</v>
      </c>
      <c r="F11" s="10" t="s">
        <v>48</v>
      </c>
      <c r="G11" s="10" t="s">
        <v>48</v>
      </c>
      <c r="H11" s="10">
        <v>8</v>
      </c>
      <c r="I11" s="10" t="s">
        <v>839</v>
      </c>
      <c r="J11" s="554" t="s">
        <v>2055</v>
      </c>
      <c r="K11" s="1604"/>
      <c r="L11" s="1513"/>
    </row>
    <row r="12" spans="1:12">
      <c r="A12" s="1278" t="s">
        <v>2755</v>
      </c>
      <c r="B12" s="1279" t="s">
        <v>2756</v>
      </c>
      <c r="C12" s="10" t="s">
        <v>48</v>
      </c>
      <c r="D12" s="10" t="s">
        <v>48</v>
      </c>
      <c r="E12" s="10" t="s">
        <v>48</v>
      </c>
      <c r="F12" s="10" t="s">
        <v>48</v>
      </c>
      <c r="G12" s="10" t="s">
        <v>48</v>
      </c>
      <c r="H12" s="10">
        <v>32</v>
      </c>
      <c r="I12" s="425" t="s">
        <v>1800</v>
      </c>
      <c r="J12" s="554" t="s">
        <v>2055</v>
      </c>
      <c r="K12" s="1604"/>
      <c r="L12" s="1513"/>
    </row>
    <row r="13" spans="1:12" ht="43.2">
      <c r="A13" s="1278" t="s">
        <v>2757</v>
      </c>
      <c r="B13" s="1279" t="s">
        <v>2758</v>
      </c>
      <c r="C13" s="10" t="s">
        <v>48</v>
      </c>
      <c r="D13" s="10" t="s">
        <v>48</v>
      </c>
      <c r="E13" s="10" t="s">
        <v>48</v>
      </c>
      <c r="F13" s="10" t="s">
        <v>48</v>
      </c>
      <c r="G13" s="10" t="s">
        <v>48</v>
      </c>
      <c r="H13" s="10">
        <v>8</v>
      </c>
      <c r="I13" s="10" t="s">
        <v>839</v>
      </c>
      <c r="J13" s="554" t="s">
        <v>2055</v>
      </c>
      <c r="K13" s="1604"/>
      <c r="L13" s="1513"/>
    </row>
    <row r="14" spans="1:12">
      <c r="A14" s="1278" t="s">
        <v>2759</v>
      </c>
      <c r="B14" s="1279" t="s">
        <v>2756</v>
      </c>
      <c r="C14" s="10" t="s">
        <v>48</v>
      </c>
      <c r="D14" s="10" t="s">
        <v>48</v>
      </c>
      <c r="E14" s="10" t="s">
        <v>48</v>
      </c>
      <c r="F14" s="10" t="s">
        <v>48</v>
      </c>
      <c r="G14" s="10" t="s">
        <v>48</v>
      </c>
      <c r="H14" s="10">
        <v>32</v>
      </c>
      <c r="I14" s="425" t="s">
        <v>1800</v>
      </c>
      <c r="J14" s="554" t="s">
        <v>2055</v>
      </c>
      <c r="K14" s="1604"/>
      <c r="L14" s="1513"/>
    </row>
    <row r="15" spans="1:12" ht="43.2">
      <c r="A15" s="1278" t="s">
        <v>2760</v>
      </c>
      <c r="B15" s="1279" t="s">
        <v>2761</v>
      </c>
      <c r="C15" s="10" t="s">
        <v>48</v>
      </c>
      <c r="D15" s="10" t="s">
        <v>48</v>
      </c>
      <c r="E15" s="10" t="s">
        <v>48</v>
      </c>
      <c r="F15" s="10" t="s">
        <v>48</v>
      </c>
      <c r="G15" s="10" t="s">
        <v>48</v>
      </c>
      <c r="H15" s="10">
        <v>8</v>
      </c>
      <c r="I15" s="10" t="s">
        <v>839</v>
      </c>
      <c r="J15" s="554" t="s">
        <v>2055</v>
      </c>
      <c r="K15" s="1604"/>
      <c r="L15" s="1513"/>
    </row>
    <row r="16" spans="1:12">
      <c r="A16" s="1278" t="s">
        <v>2762</v>
      </c>
      <c r="B16" s="1279" t="s">
        <v>2756</v>
      </c>
      <c r="C16" s="10" t="s">
        <v>48</v>
      </c>
      <c r="D16" s="10" t="s">
        <v>48</v>
      </c>
      <c r="E16" s="10" t="s">
        <v>48</v>
      </c>
      <c r="F16" s="10" t="s">
        <v>48</v>
      </c>
      <c r="G16" s="10" t="s">
        <v>48</v>
      </c>
      <c r="H16" s="10">
        <v>32</v>
      </c>
      <c r="I16" s="425" t="s">
        <v>1800</v>
      </c>
      <c r="J16" s="554" t="s">
        <v>2055</v>
      </c>
      <c r="K16" s="1604"/>
      <c r="L16" s="1513"/>
    </row>
    <row r="17" spans="1:12" ht="43.2">
      <c r="A17" s="1278" t="s">
        <v>2763</v>
      </c>
      <c r="B17" s="1279" t="s">
        <v>2764</v>
      </c>
      <c r="C17" s="10" t="s">
        <v>48</v>
      </c>
      <c r="D17" s="10" t="s">
        <v>48</v>
      </c>
      <c r="E17" s="10" t="s">
        <v>48</v>
      </c>
      <c r="F17" s="10" t="s">
        <v>48</v>
      </c>
      <c r="G17" s="10" t="s">
        <v>48</v>
      </c>
      <c r="H17" s="10">
        <v>8</v>
      </c>
      <c r="I17" s="10" t="s">
        <v>839</v>
      </c>
      <c r="J17" s="554" t="s">
        <v>2055</v>
      </c>
      <c r="K17" s="1604"/>
      <c r="L17" s="1513"/>
    </row>
    <row r="18" spans="1:12">
      <c r="A18" s="1278" t="s">
        <v>2765</v>
      </c>
      <c r="B18" s="1279" t="s">
        <v>2756</v>
      </c>
      <c r="C18" s="10" t="s">
        <v>48</v>
      </c>
      <c r="D18" s="10" t="s">
        <v>48</v>
      </c>
      <c r="E18" s="10" t="s">
        <v>48</v>
      </c>
      <c r="F18" s="10" t="s">
        <v>48</v>
      </c>
      <c r="G18" s="10" t="s">
        <v>48</v>
      </c>
      <c r="H18" s="10">
        <v>32</v>
      </c>
      <c r="I18" s="425" t="s">
        <v>1800</v>
      </c>
      <c r="J18" s="554" t="s">
        <v>2055</v>
      </c>
      <c r="K18" s="1604"/>
      <c r="L18" s="1513"/>
    </row>
    <row r="19" spans="1:12" ht="43.2">
      <c r="A19" s="1278" t="s">
        <v>2766</v>
      </c>
      <c r="B19" s="1279" t="s">
        <v>2767</v>
      </c>
      <c r="C19" s="10" t="s">
        <v>48</v>
      </c>
      <c r="D19" s="10" t="s">
        <v>48</v>
      </c>
      <c r="E19" s="10" t="s">
        <v>48</v>
      </c>
      <c r="F19" s="10" t="s">
        <v>48</v>
      </c>
      <c r="G19" s="10" t="s">
        <v>48</v>
      </c>
      <c r="H19" s="10">
        <v>8</v>
      </c>
      <c r="I19" s="10" t="s">
        <v>839</v>
      </c>
      <c r="J19" s="554" t="s">
        <v>2055</v>
      </c>
      <c r="K19" s="1604"/>
      <c r="L19" s="1513"/>
    </row>
    <row r="20" spans="1:12">
      <c r="A20" s="1278" t="s">
        <v>2768</v>
      </c>
      <c r="B20" s="1279" t="s">
        <v>2756</v>
      </c>
      <c r="C20" s="10" t="s">
        <v>48</v>
      </c>
      <c r="D20" s="10" t="s">
        <v>48</v>
      </c>
      <c r="E20" s="10" t="s">
        <v>48</v>
      </c>
      <c r="F20" s="10" t="s">
        <v>48</v>
      </c>
      <c r="G20" s="10" t="s">
        <v>48</v>
      </c>
      <c r="H20" s="10">
        <v>32</v>
      </c>
      <c r="I20" s="425" t="s">
        <v>1800</v>
      </c>
      <c r="J20" s="554" t="s">
        <v>2055</v>
      </c>
      <c r="K20" s="1604"/>
      <c r="L20" s="1513"/>
    </row>
    <row r="21" spans="1:12" ht="43.2">
      <c r="A21" s="1278" t="s">
        <v>2769</v>
      </c>
      <c r="B21" s="1279" t="s">
        <v>2770</v>
      </c>
      <c r="C21" s="10" t="s">
        <v>48</v>
      </c>
      <c r="D21" s="10" t="s">
        <v>48</v>
      </c>
      <c r="E21" s="10" t="s">
        <v>48</v>
      </c>
      <c r="F21" s="10" t="s">
        <v>48</v>
      </c>
      <c r="G21" s="10" t="s">
        <v>48</v>
      </c>
      <c r="H21" s="10">
        <v>8</v>
      </c>
      <c r="I21" s="10" t="s">
        <v>839</v>
      </c>
      <c r="J21" s="554" t="s">
        <v>2055</v>
      </c>
      <c r="K21" s="1604"/>
      <c r="L21" s="1513"/>
    </row>
    <row r="22" spans="1:12">
      <c r="A22" s="1278" t="s">
        <v>2771</v>
      </c>
      <c r="B22" s="1279" t="s">
        <v>2756</v>
      </c>
      <c r="C22" s="10" t="s">
        <v>48</v>
      </c>
      <c r="D22" s="10" t="s">
        <v>48</v>
      </c>
      <c r="E22" s="10" t="s">
        <v>48</v>
      </c>
      <c r="F22" s="10" t="s">
        <v>48</v>
      </c>
      <c r="G22" s="10" t="s">
        <v>48</v>
      </c>
      <c r="H22" s="10">
        <v>32</v>
      </c>
      <c r="I22" s="425" t="s">
        <v>1800</v>
      </c>
      <c r="J22" s="554" t="s">
        <v>2055</v>
      </c>
      <c r="K22" s="1604"/>
      <c r="L22" s="1513"/>
    </row>
    <row r="23" spans="1:12" ht="43.2">
      <c r="A23" s="1278" t="s">
        <v>2772</v>
      </c>
      <c r="B23" s="1279" t="s">
        <v>2773</v>
      </c>
      <c r="C23" s="10" t="s">
        <v>48</v>
      </c>
      <c r="D23" s="10" t="s">
        <v>48</v>
      </c>
      <c r="E23" s="10" t="s">
        <v>48</v>
      </c>
      <c r="F23" s="10" t="s">
        <v>48</v>
      </c>
      <c r="G23" s="10" t="s">
        <v>48</v>
      </c>
      <c r="H23" s="10">
        <v>8</v>
      </c>
      <c r="I23" s="10" t="s">
        <v>839</v>
      </c>
      <c r="J23" s="554" t="s">
        <v>2055</v>
      </c>
      <c r="K23" s="1604"/>
      <c r="L23" s="1513"/>
    </row>
    <row r="24" spans="1:12">
      <c r="A24" s="1278" t="s">
        <v>2774</v>
      </c>
      <c r="B24" s="1279" t="s">
        <v>2775</v>
      </c>
      <c r="C24" s="10" t="s">
        <v>48</v>
      </c>
      <c r="D24" s="10" t="s">
        <v>48</v>
      </c>
      <c r="E24" s="10" t="s">
        <v>48</v>
      </c>
      <c r="F24" s="10" t="s">
        <v>48</v>
      </c>
      <c r="G24" s="10" t="s">
        <v>48</v>
      </c>
      <c r="H24" s="10">
        <v>32</v>
      </c>
      <c r="I24" s="425" t="s">
        <v>1800</v>
      </c>
      <c r="J24" s="554" t="s">
        <v>2055</v>
      </c>
      <c r="K24" s="1604"/>
      <c r="L24" s="1513"/>
    </row>
    <row r="25" spans="1:12" ht="43.2">
      <c r="A25" s="1278" t="s">
        <v>2776</v>
      </c>
      <c r="B25" s="1279" t="s">
        <v>2777</v>
      </c>
      <c r="C25" s="10" t="s">
        <v>48</v>
      </c>
      <c r="D25" s="10" t="s">
        <v>48</v>
      </c>
      <c r="E25" s="10" t="s">
        <v>48</v>
      </c>
      <c r="F25" s="10" t="s">
        <v>48</v>
      </c>
      <c r="G25" s="10" t="s">
        <v>48</v>
      </c>
      <c r="H25" s="10">
        <v>8</v>
      </c>
      <c r="I25" s="10" t="s">
        <v>839</v>
      </c>
      <c r="J25" s="554" t="s">
        <v>2055</v>
      </c>
      <c r="K25" s="1604"/>
      <c r="L25" s="1513"/>
    </row>
    <row r="26" spans="1:12">
      <c r="A26" s="1278" t="s">
        <v>2778</v>
      </c>
      <c r="B26" s="1279" t="s">
        <v>2779</v>
      </c>
      <c r="C26" s="10" t="s">
        <v>48</v>
      </c>
      <c r="D26" s="10" t="s">
        <v>48</v>
      </c>
      <c r="E26" s="10" t="s">
        <v>48</v>
      </c>
      <c r="F26" s="10" t="s">
        <v>48</v>
      </c>
      <c r="G26" s="10" t="s">
        <v>48</v>
      </c>
      <c r="H26" s="10">
        <v>32</v>
      </c>
      <c r="I26" s="425" t="s">
        <v>1800</v>
      </c>
      <c r="J26" s="554" t="s">
        <v>2055</v>
      </c>
      <c r="K26" s="1604"/>
      <c r="L26" s="1513"/>
    </row>
    <row r="27" spans="1:12" ht="43.2">
      <c r="A27" s="1278" t="s">
        <v>2780</v>
      </c>
      <c r="B27" s="1279" t="s">
        <v>2781</v>
      </c>
      <c r="C27" s="10" t="s">
        <v>48</v>
      </c>
      <c r="D27" s="10" t="s">
        <v>48</v>
      </c>
      <c r="E27" s="10" t="s">
        <v>48</v>
      </c>
      <c r="F27" s="10" t="s">
        <v>48</v>
      </c>
      <c r="G27" s="10" t="s">
        <v>48</v>
      </c>
      <c r="H27" s="10">
        <v>8</v>
      </c>
      <c r="I27" s="10" t="s">
        <v>839</v>
      </c>
      <c r="J27" s="554" t="s">
        <v>2055</v>
      </c>
      <c r="K27" s="1604"/>
      <c r="L27" s="1513"/>
    </row>
    <row r="28" spans="1:12">
      <c r="A28" s="1278" t="s">
        <v>2782</v>
      </c>
      <c r="B28" s="1279" t="s">
        <v>2779</v>
      </c>
      <c r="C28" s="10" t="s">
        <v>48</v>
      </c>
      <c r="D28" s="10" t="s">
        <v>48</v>
      </c>
      <c r="E28" s="10" t="s">
        <v>48</v>
      </c>
      <c r="F28" s="10" t="s">
        <v>48</v>
      </c>
      <c r="G28" s="10" t="s">
        <v>48</v>
      </c>
      <c r="H28" s="10">
        <v>32</v>
      </c>
      <c r="I28" s="425" t="s">
        <v>1800</v>
      </c>
      <c r="J28" s="554" t="s">
        <v>2055</v>
      </c>
      <c r="K28" s="1604"/>
      <c r="L28" s="1513"/>
    </row>
    <row r="29" spans="1:12" ht="43.2">
      <c r="A29" s="1278" t="s">
        <v>2783</v>
      </c>
      <c r="B29" s="1279" t="s">
        <v>2784</v>
      </c>
      <c r="C29" s="10" t="s">
        <v>48</v>
      </c>
      <c r="D29" s="10" t="s">
        <v>48</v>
      </c>
      <c r="E29" s="10" t="s">
        <v>48</v>
      </c>
      <c r="F29" s="10" t="s">
        <v>48</v>
      </c>
      <c r="G29" s="10" t="s">
        <v>48</v>
      </c>
      <c r="H29" s="10">
        <v>8</v>
      </c>
      <c r="I29" s="10" t="s">
        <v>839</v>
      </c>
      <c r="J29" s="554" t="s">
        <v>2055</v>
      </c>
      <c r="K29" s="1604"/>
      <c r="L29" s="1513"/>
    </row>
    <row r="30" spans="1:12">
      <c r="A30" s="1278" t="s">
        <v>2785</v>
      </c>
      <c r="B30" s="1279" t="s">
        <v>2779</v>
      </c>
      <c r="C30" s="10" t="s">
        <v>48</v>
      </c>
      <c r="D30" s="10" t="s">
        <v>48</v>
      </c>
      <c r="E30" s="10" t="s">
        <v>48</v>
      </c>
      <c r="F30" s="10" t="s">
        <v>48</v>
      </c>
      <c r="G30" s="10" t="s">
        <v>48</v>
      </c>
      <c r="H30" s="10">
        <v>32</v>
      </c>
      <c r="I30" s="425" t="s">
        <v>1800</v>
      </c>
      <c r="J30" s="554" t="s">
        <v>2055</v>
      </c>
      <c r="K30" s="1604"/>
      <c r="L30" s="1513"/>
    </row>
    <row r="31" spans="1:12" ht="43.2">
      <c r="A31" s="1278" t="s">
        <v>2786</v>
      </c>
      <c r="B31" s="1279" t="s">
        <v>2787</v>
      </c>
      <c r="C31" s="10" t="s">
        <v>48</v>
      </c>
      <c r="D31" s="10" t="s">
        <v>48</v>
      </c>
      <c r="E31" s="10" t="s">
        <v>48</v>
      </c>
      <c r="F31" s="10" t="s">
        <v>48</v>
      </c>
      <c r="G31" s="10" t="s">
        <v>48</v>
      </c>
      <c r="H31" s="10">
        <v>8</v>
      </c>
      <c r="I31" s="10" t="s">
        <v>839</v>
      </c>
      <c r="J31" s="554" t="s">
        <v>2055</v>
      </c>
      <c r="K31" s="1604"/>
      <c r="L31" s="1513"/>
    </row>
    <row r="32" spans="1:12">
      <c r="A32" s="1278" t="s">
        <v>2788</v>
      </c>
      <c r="B32" s="1279" t="s">
        <v>2779</v>
      </c>
      <c r="C32" s="10" t="s">
        <v>48</v>
      </c>
      <c r="D32" s="10" t="s">
        <v>48</v>
      </c>
      <c r="E32" s="10" t="s">
        <v>48</v>
      </c>
      <c r="F32" s="10" t="s">
        <v>48</v>
      </c>
      <c r="G32" s="10" t="s">
        <v>48</v>
      </c>
      <c r="H32" s="10">
        <v>32</v>
      </c>
      <c r="I32" s="425" t="s">
        <v>1800</v>
      </c>
      <c r="J32" s="554" t="s">
        <v>2055</v>
      </c>
      <c r="K32" s="1604"/>
      <c r="L32" s="1513"/>
    </row>
    <row r="33" spans="1:12" ht="43.2">
      <c r="A33" s="1278" t="s">
        <v>2789</v>
      </c>
      <c r="B33" s="1279" t="s">
        <v>2790</v>
      </c>
      <c r="C33" s="10" t="s">
        <v>48</v>
      </c>
      <c r="D33" s="10" t="s">
        <v>48</v>
      </c>
      <c r="E33" s="10" t="s">
        <v>48</v>
      </c>
      <c r="F33" s="10" t="s">
        <v>48</v>
      </c>
      <c r="G33" s="10" t="s">
        <v>48</v>
      </c>
      <c r="H33" s="10">
        <v>8</v>
      </c>
      <c r="I33" s="10" t="s">
        <v>839</v>
      </c>
      <c r="J33" s="554" t="s">
        <v>2055</v>
      </c>
      <c r="K33" s="1604"/>
      <c r="L33" s="1513"/>
    </row>
    <row r="34" spans="1:12">
      <c r="A34" s="1278" t="s">
        <v>2791</v>
      </c>
      <c r="B34" s="1279" t="s">
        <v>2779</v>
      </c>
      <c r="C34" s="10" t="s">
        <v>48</v>
      </c>
      <c r="D34" s="10" t="s">
        <v>48</v>
      </c>
      <c r="E34" s="10" t="s">
        <v>48</v>
      </c>
      <c r="F34" s="10" t="s">
        <v>48</v>
      </c>
      <c r="G34" s="10" t="s">
        <v>48</v>
      </c>
      <c r="H34" s="10">
        <v>32</v>
      </c>
      <c r="I34" s="425" t="s">
        <v>1800</v>
      </c>
      <c r="J34" s="554" t="s">
        <v>2055</v>
      </c>
      <c r="K34" s="1604"/>
      <c r="L34" s="1513"/>
    </row>
    <row r="35" spans="1:12" ht="43.2">
      <c r="A35" s="1278" t="s">
        <v>2792</v>
      </c>
      <c r="B35" s="1279" t="s">
        <v>2793</v>
      </c>
      <c r="C35" s="10" t="s">
        <v>48</v>
      </c>
      <c r="D35" s="10" t="s">
        <v>48</v>
      </c>
      <c r="E35" s="10" t="s">
        <v>48</v>
      </c>
      <c r="F35" s="10" t="s">
        <v>48</v>
      </c>
      <c r="G35" s="10" t="s">
        <v>48</v>
      </c>
      <c r="H35" s="10">
        <v>8</v>
      </c>
      <c r="I35" s="10" t="s">
        <v>839</v>
      </c>
      <c r="J35" s="554" t="s">
        <v>2055</v>
      </c>
      <c r="K35" s="1604"/>
      <c r="L35" s="1513"/>
    </row>
    <row r="36" spans="1:12">
      <c r="A36" s="1278" t="s">
        <v>2794</v>
      </c>
      <c r="B36" s="1279" t="s">
        <v>2795</v>
      </c>
      <c r="C36" s="10" t="s">
        <v>48</v>
      </c>
      <c r="D36" s="10" t="s">
        <v>48</v>
      </c>
      <c r="E36" s="10" t="s">
        <v>48</v>
      </c>
      <c r="F36" s="10" t="s">
        <v>48</v>
      </c>
      <c r="G36" s="10" t="s">
        <v>48</v>
      </c>
      <c r="H36" s="10">
        <v>32</v>
      </c>
      <c r="I36" s="425" t="s">
        <v>1800</v>
      </c>
      <c r="J36" s="554" t="s">
        <v>2055</v>
      </c>
      <c r="K36" s="1604"/>
      <c r="L36" s="1513"/>
    </row>
    <row r="37" spans="1:12" ht="43.2">
      <c r="A37" s="1278" t="s">
        <v>2796</v>
      </c>
      <c r="B37" s="1279" t="s">
        <v>2797</v>
      </c>
      <c r="C37" s="10" t="s">
        <v>48</v>
      </c>
      <c r="D37" s="10" t="s">
        <v>48</v>
      </c>
      <c r="E37" s="10" t="s">
        <v>48</v>
      </c>
      <c r="F37" s="10" t="s">
        <v>48</v>
      </c>
      <c r="G37" s="10" t="s">
        <v>48</v>
      </c>
      <c r="H37" s="10">
        <v>8</v>
      </c>
      <c r="I37" s="10" t="s">
        <v>839</v>
      </c>
      <c r="J37" s="554" t="s">
        <v>2055</v>
      </c>
      <c r="K37" s="1604"/>
      <c r="L37" s="1513"/>
    </row>
    <row r="38" spans="1:12">
      <c r="A38" s="1278" t="s">
        <v>2798</v>
      </c>
      <c r="B38" s="1279" t="s">
        <v>2795</v>
      </c>
      <c r="C38" s="10" t="s">
        <v>48</v>
      </c>
      <c r="D38" s="10" t="s">
        <v>48</v>
      </c>
      <c r="E38" s="10" t="s">
        <v>48</v>
      </c>
      <c r="F38" s="10" t="s">
        <v>48</v>
      </c>
      <c r="G38" s="10" t="s">
        <v>48</v>
      </c>
      <c r="H38" s="10">
        <v>32</v>
      </c>
      <c r="I38" s="425" t="s">
        <v>1800</v>
      </c>
      <c r="J38" s="554" t="s">
        <v>2055</v>
      </c>
      <c r="K38" s="1604"/>
      <c r="L38" s="1513"/>
    </row>
    <row r="39" spans="1:12" ht="43.2">
      <c r="A39" s="1278" t="s">
        <v>2799</v>
      </c>
      <c r="B39" s="1279" t="s">
        <v>2800</v>
      </c>
      <c r="C39" s="10" t="s">
        <v>48</v>
      </c>
      <c r="D39" s="10" t="s">
        <v>48</v>
      </c>
      <c r="E39" s="10" t="s">
        <v>48</v>
      </c>
      <c r="F39" s="10" t="s">
        <v>48</v>
      </c>
      <c r="G39" s="10" t="s">
        <v>48</v>
      </c>
      <c r="H39" s="10">
        <v>8</v>
      </c>
      <c r="I39" s="10" t="s">
        <v>839</v>
      </c>
      <c r="J39" s="554" t="s">
        <v>2055</v>
      </c>
      <c r="K39" s="1604"/>
      <c r="L39" s="1513"/>
    </row>
    <row r="40" spans="1:12">
      <c r="A40" s="1278" t="s">
        <v>2801</v>
      </c>
      <c r="B40" s="1279" t="s">
        <v>2795</v>
      </c>
      <c r="C40" s="10" t="s">
        <v>48</v>
      </c>
      <c r="D40" s="10" t="s">
        <v>48</v>
      </c>
      <c r="E40" s="10" t="s">
        <v>48</v>
      </c>
      <c r="F40" s="10" t="s">
        <v>48</v>
      </c>
      <c r="G40" s="10" t="s">
        <v>48</v>
      </c>
      <c r="H40" s="10">
        <v>32</v>
      </c>
      <c r="I40" s="425" t="s">
        <v>1800</v>
      </c>
      <c r="J40" s="554" t="s">
        <v>2055</v>
      </c>
      <c r="K40" s="1604"/>
      <c r="L40" s="1513"/>
    </row>
    <row r="41" spans="1:12" ht="43.2">
      <c r="A41" s="1278" t="s">
        <v>2802</v>
      </c>
      <c r="B41" s="1279" t="s">
        <v>2803</v>
      </c>
      <c r="C41" s="10" t="s">
        <v>48</v>
      </c>
      <c r="D41" s="10" t="s">
        <v>48</v>
      </c>
      <c r="E41" s="10" t="s">
        <v>48</v>
      </c>
      <c r="F41" s="10" t="s">
        <v>48</v>
      </c>
      <c r="G41" s="10" t="s">
        <v>48</v>
      </c>
      <c r="H41" s="10">
        <v>8</v>
      </c>
      <c r="I41" s="10" t="s">
        <v>839</v>
      </c>
      <c r="J41" s="554" t="s">
        <v>2055</v>
      </c>
      <c r="K41" s="1604"/>
      <c r="L41" s="1513"/>
    </row>
    <row r="42" spans="1:12">
      <c r="A42" s="1278" t="s">
        <v>2804</v>
      </c>
      <c r="B42" s="1279" t="s">
        <v>2795</v>
      </c>
      <c r="C42" s="10" t="s">
        <v>48</v>
      </c>
      <c r="D42" s="10" t="s">
        <v>48</v>
      </c>
      <c r="E42" s="10" t="s">
        <v>48</v>
      </c>
      <c r="F42" s="10" t="s">
        <v>48</v>
      </c>
      <c r="G42" s="10" t="s">
        <v>48</v>
      </c>
      <c r="H42" s="10">
        <v>32</v>
      </c>
      <c r="I42" s="425" t="s">
        <v>1800</v>
      </c>
      <c r="J42" s="554" t="s">
        <v>2055</v>
      </c>
      <c r="K42" s="1604"/>
      <c r="L42" s="1513"/>
    </row>
    <row r="43" spans="1:12" ht="43.2">
      <c r="A43" s="1278" t="s">
        <v>2805</v>
      </c>
      <c r="B43" s="1279" t="s">
        <v>2806</v>
      </c>
      <c r="C43" s="10" t="s">
        <v>48</v>
      </c>
      <c r="D43" s="10" t="s">
        <v>48</v>
      </c>
      <c r="E43" s="10" t="s">
        <v>48</v>
      </c>
      <c r="F43" s="10" t="s">
        <v>48</v>
      </c>
      <c r="G43" s="10" t="s">
        <v>48</v>
      </c>
      <c r="H43" s="10">
        <v>8</v>
      </c>
      <c r="I43" s="10" t="s">
        <v>839</v>
      </c>
      <c r="J43" s="554" t="s">
        <v>2055</v>
      </c>
      <c r="K43" s="1604"/>
      <c r="L43" s="1513"/>
    </row>
    <row r="44" spans="1:12">
      <c r="A44" s="1278" t="s">
        <v>2807</v>
      </c>
      <c r="B44" s="1279" t="s">
        <v>2795</v>
      </c>
      <c r="C44" s="10" t="s">
        <v>48</v>
      </c>
      <c r="D44" s="10" t="s">
        <v>48</v>
      </c>
      <c r="E44" s="10" t="s">
        <v>48</v>
      </c>
      <c r="F44" s="10" t="s">
        <v>48</v>
      </c>
      <c r="G44" s="10" t="s">
        <v>48</v>
      </c>
      <c r="H44" s="10">
        <v>32</v>
      </c>
      <c r="I44" s="425" t="s">
        <v>1800</v>
      </c>
      <c r="J44" s="554" t="s">
        <v>2055</v>
      </c>
      <c r="K44" s="1604"/>
      <c r="L44" s="1513"/>
    </row>
    <row r="45" spans="1:12" ht="43.2">
      <c r="A45" s="1278" t="s">
        <v>2808</v>
      </c>
      <c r="B45" s="1279" t="s">
        <v>2809</v>
      </c>
      <c r="C45" s="10" t="s">
        <v>48</v>
      </c>
      <c r="D45" s="10" t="s">
        <v>48</v>
      </c>
      <c r="E45" s="10" t="s">
        <v>48</v>
      </c>
      <c r="F45" s="10" t="s">
        <v>48</v>
      </c>
      <c r="G45" s="10" t="s">
        <v>48</v>
      </c>
      <c r="H45" s="10">
        <v>8</v>
      </c>
      <c r="I45" s="10" t="s">
        <v>839</v>
      </c>
      <c r="J45" s="554" t="s">
        <v>2055</v>
      </c>
      <c r="K45" s="1604"/>
      <c r="L45" s="1513"/>
    </row>
    <row r="46" spans="1:12">
      <c r="A46" s="1278" t="s">
        <v>2810</v>
      </c>
      <c r="B46" s="1279" t="s">
        <v>2795</v>
      </c>
      <c r="C46" s="10" t="s">
        <v>48</v>
      </c>
      <c r="D46" s="10" t="s">
        <v>48</v>
      </c>
      <c r="E46" s="10" t="s">
        <v>48</v>
      </c>
      <c r="F46" s="10" t="s">
        <v>48</v>
      </c>
      <c r="G46" s="10" t="s">
        <v>48</v>
      </c>
      <c r="H46" s="10">
        <v>32</v>
      </c>
      <c r="I46" s="425" t="s">
        <v>1800</v>
      </c>
      <c r="J46" s="554" t="s">
        <v>2055</v>
      </c>
      <c r="K46" s="1604"/>
      <c r="L46" s="1513"/>
    </row>
    <row r="47" spans="1:12" ht="43.2">
      <c r="A47" s="1278" t="s">
        <v>2811</v>
      </c>
      <c r="B47" s="1279" t="s">
        <v>2812</v>
      </c>
      <c r="C47" s="10" t="s">
        <v>48</v>
      </c>
      <c r="D47" s="10" t="s">
        <v>48</v>
      </c>
      <c r="E47" s="10" t="s">
        <v>48</v>
      </c>
      <c r="F47" s="10" t="s">
        <v>48</v>
      </c>
      <c r="G47" s="10" t="s">
        <v>48</v>
      </c>
      <c r="H47" s="10">
        <v>8</v>
      </c>
      <c r="I47" s="10" t="s">
        <v>839</v>
      </c>
      <c r="J47" s="554" t="s">
        <v>2055</v>
      </c>
      <c r="K47" s="1604"/>
      <c r="L47" s="1513"/>
    </row>
    <row r="48" spans="1:12">
      <c r="A48" s="1278" t="s">
        <v>2813</v>
      </c>
      <c r="B48" s="1279" t="s">
        <v>2814</v>
      </c>
      <c r="C48" s="10" t="s">
        <v>48</v>
      </c>
      <c r="D48" s="10" t="s">
        <v>48</v>
      </c>
      <c r="E48" s="10" t="s">
        <v>48</v>
      </c>
      <c r="F48" s="10" t="s">
        <v>48</v>
      </c>
      <c r="G48" s="10" t="s">
        <v>48</v>
      </c>
      <c r="H48" s="10">
        <v>32</v>
      </c>
      <c r="I48" s="425" t="s">
        <v>1800</v>
      </c>
      <c r="J48" s="554" t="s">
        <v>2055</v>
      </c>
      <c r="K48" s="1604"/>
      <c r="L48" s="1513"/>
    </row>
    <row r="49" spans="1:12" ht="43.2">
      <c r="A49" s="1278" t="s">
        <v>2815</v>
      </c>
      <c r="B49" s="1279" t="s">
        <v>2816</v>
      </c>
      <c r="C49" s="10" t="s">
        <v>48</v>
      </c>
      <c r="D49" s="10" t="s">
        <v>48</v>
      </c>
      <c r="E49" s="10" t="s">
        <v>48</v>
      </c>
      <c r="F49" s="10" t="s">
        <v>48</v>
      </c>
      <c r="G49" s="10" t="s">
        <v>48</v>
      </c>
      <c r="H49" s="10">
        <v>8</v>
      </c>
      <c r="I49" s="10" t="s">
        <v>839</v>
      </c>
      <c r="J49" s="554" t="s">
        <v>2055</v>
      </c>
      <c r="K49" s="1604"/>
      <c r="L49" s="1513"/>
    </row>
    <row r="50" spans="1:12">
      <c r="A50" s="1278" t="s">
        <v>2817</v>
      </c>
      <c r="B50" s="1279" t="s">
        <v>2814</v>
      </c>
      <c r="C50" s="10" t="s">
        <v>48</v>
      </c>
      <c r="D50" s="10" t="s">
        <v>48</v>
      </c>
      <c r="E50" s="10" t="s">
        <v>48</v>
      </c>
      <c r="F50" s="10" t="s">
        <v>48</v>
      </c>
      <c r="G50" s="10" t="s">
        <v>48</v>
      </c>
      <c r="H50" s="10">
        <v>32</v>
      </c>
      <c r="I50" s="425" t="s">
        <v>1800</v>
      </c>
      <c r="J50" s="554" t="s">
        <v>2055</v>
      </c>
      <c r="K50" s="1604"/>
      <c r="L50" s="1513"/>
    </row>
    <row r="51" spans="1:12" ht="43.2">
      <c r="A51" s="1278" t="s">
        <v>2818</v>
      </c>
      <c r="B51" s="1279" t="s">
        <v>2819</v>
      </c>
      <c r="C51" s="10" t="s">
        <v>48</v>
      </c>
      <c r="D51" s="10" t="s">
        <v>48</v>
      </c>
      <c r="E51" s="10" t="s">
        <v>48</v>
      </c>
      <c r="F51" s="10" t="s">
        <v>48</v>
      </c>
      <c r="G51" s="10" t="s">
        <v>48</v>
      </c>
      <c r="H51" s="10">
        <v>8</v>
      </c>
      <c r="I51" s="10" t="s">
        <v>839</v>
      </c>
      <c r="J51" s="554" t="s">
        <v>2055</v>
      </c>
      <c r="K51" s="1604"/>
      <c r="L51" s="1513"/>
    </row>
    <row r="52" spans="1:12">
      <c r="A52" s="1278" t="s">
        <v>2820</v>
      </c>
      <c r="B52" s="1279" t="s">
        <v>2814</v>
      </c>
      <c r="C52" s="10" t="s">
        <v>48</v>
      </c>
      <c r="D52" s="10" t="s">
        <v>48</v>
      </c>
      <c r="E52" s="10" t="s">
        <v>48</v>
      </c>
      <c r="F52" s="10" t="s">
        <v>48</v>
      </c>
      <c r="G52" s="10" t="s">
        <v>48</v>
      </c>
      <c r="H52" s="10">
        <v>32</v>
      </c>
      <c r="I52" s="425" t="s">
        <v>1800</v>
      </c>
      <c r="J52" s="554" t="s">
        <v>2055</v>
      </c>
      <c r="K52" s="1604"/>
      <c r="L52" s="1513"/>
    </row>
    <row r="53" spans="1:12" ht="43.2">
      <c r="A53" s="1278" t="s">
        <v>2821</v>
      </c>
      <c r="B53" s="1279" t="s">
        <v>2822</v>
      </c>
      <c r="C53" s="10" t="s">
        <v>48</v>
      </c>
      <c r="D53" s="10" t="s">
        <v>48</v>
      </c>
      <c r="E53" s="10" t="s">
        <v>48</v>
      </c>
      <c r="F53" s="10" t="s">
        <v>48</v>
      </c>
      <c r="G53" s="10" t="s">
        <v>48</v>
      </c>
      <c r="H53" s="10">
        <v>8</v>
      </c>
      <c r="I53" s="10" t="s">
        <v>839</v>
      </c>
      <c r="J53" s="554" t="s">
        <v>2055</v>
      </c>
      <c r="K53" s="1604"/>
      <c r="L53" s="1513"/>
    </row>
    <row r="54" spans="1:12">
      <c r="A54" s="1278" t="s">
        <v>2823</v>
      </c>
      <c r="B54" s="1279" t="s">
        <v>2814</v>
      </c>
      <c r="C54" s="10" t="s">
        <v>48</v>
      </c>
      <c r="D54" s="10" t="s">
        <v>48</v>
      </c>
      <c r="E54" s="10" t="s">
        <v>48</v>
      </c>
      <c r="F54" s="10" t="s">
        <v>48</v>
      </c>
      <c r="G54" s="10" t="s">
        <v>48</v>
      </c>
      <c r="H54" s="10">
        <v>32</v>
      </c>
      <c r="I54" s="425" t="s">
        <v>1800</v>
      </c>
      <c r="J54" s="554" t="s">
        <v>2055</v>
      </c>
      <c r="K54" s="1604"/>
      <c r="L54" s="1513"/>
    </row>
    <row r="55" spans="1:12" ht="43.2">
      <c r="A55" s="1278" t="s">
        <v>2824</v>
      </c>
      <c r="B55" s="1279" t="s">
        <v>2825</v>
      </c>
      <c r="C55" s="10" t="s">
        <v>48</v>
      </c>
      <c r="D55" s="10" t="s">
        <v>48</v>
      </c>
      <c r="E55" s="10" t="s">
        <v>48</v>
      </c>
      <c r="F55" s="10" t="s">
        <v>48</v>
      </c>
      <c r="G55" s="10" t="s">
        <v>48</v>
      </c>
      <c r="H55" s="10">
        <v>8</v>
      </c>
      <c r="I55" s="10" t="s">
        <v>839</v>
      </c>
      <c r="J55" s="554" t="s">
        <v>2055</v>
      </c>
      <c r="K55" s="1604"/>
      <c r="L55" s="1513"/>
    </row>
    <row r="56" spans="1:12">
      <c r="A56" s="1278" t="s">
        <v>2826</v>
      </c>
      <c r="B56" s="1279" t="s">
        <v>2814</v>
      </c>
      <c r="C56" s="10" t="s">
        <v>48</v>
      </c>
      <c r="D56" s="10" t="s">
        <v>48</v>
      </c>
      <c r="E56" s="10" t="s">
        <v>48</v>
      </c>
      <c r="F56" s="10" t="s">
        <v>48</v>
      </c>
      <c r="G56" s="10" t="s">
        <v>48</v>
      </c>
      <c r="H56" s="10">
        <v>32</v>
      </c>
      <c r="I56" s="425" t="s">
        <v>1800</v>
      </c>
      <c r="J56" s="554" t="s">
        <v>2055</v>
      </c>
      <c r="K56" s="1604"/>
      <c r="L56" s="1513"/>
    </row>
    <row r="57" spans="1:12" ht="43.2">
      <c r="A57" s="1278" t="s">
        <v>2827</v>
      </c>
      <c r="B57" s="1279" t="s">
        <v>2828</v>
      </c>
      <c r="C57" s="10" t="s">
        <v>48</v>
      </c>
      <c r="D57" s="10" t="s">
        <v>48</v>
      </c>
      <c r="E57" s="10" t="s">
        <v>48</v>
      </c>
      <c r="F57" s="10" t="s">
        <v>48</v>
      </c>
      <c r="G57" s="10" t="s">
        <v>48</v>
      </c>
      <c r="H57" s="10">
        <v>8</v>
      </c>
      <c r="I57" s="10" t="s">
        <v>839</v>
      </c>
      <c r="J57" s="554" t="s">
        <v>2055</v>
      </c>
      <c r="K57" s="1604"/>
      <c r="L57" s="1513"/>
    </row>
    <row r="58" spans="1:12">
      <c r="A58" s="1278" t="s">
        <v>2829</v>
      </c>
      <c r="B58" s="1279" t="s">
        <v>2814</v>
      </c>
      <c r="C58" s="10" t="s">
        <v>48</v>
      </c>
      <c r="D58" s="10" t="s">
        <v>48</v>
      </c>
      <c r="E58" s="10" t="s">
        <v>48</v>
      </c>
      <c r="F58" s="10" t="s">
        <v>48</v>
      </c>
      <c r="G58" s="10" t="s">
        <v>48</v>
      </c>
      <c r="H58" s="10">
        <v>32</v>
      </c>
      <c r="I58" s="425" t="s">
        <v>1800</v>
      </c>
      <c r="J58" s="554" t="s">
        <v>2055</v>
      </c>
      <c r="K58" s="1604"/>
      <c r="L58" s="1513"/>
    </row>
    <row r="59" spans="1:12" ht="43.2">
      <c r="A59" s="1278" t="s">
        <v>2830</v>
      </c>
      <c r="B59" s="1279" t="s">
        <v>2831</v>
      </c>
      <c r="C59" s="10" t="s">
        <v>48</v>
      </c>
      <c r="D59" s="10" t="s">
        <v>48</v>
      </c>
      <c r="E59" s="10" t="s">
        <v>48</v>
      </c>
      <c r="F59" s="10" t="s">
        <v>48</v>
      </c>
      <c r="G59" s="10" t="s">
        <v>48</v>
      </c>
      <c r="H59" s="10">
        <v>8</v>
      </c>
      <c r="I59" s="10" t="s">
        <v>839</v>
      </c>
      <c r="J59" s="554" t="s">
        <v>2055</v>
      </c>
      <c r="K59" s="1604"/>
      <c r="L59" s="1513"/>
    </row>
    <row r="60" spans="1:12">
      <c r="A60" s="1278" t="s">
        <v>2832</v>
      </c>
      <c r="B60" s="1279" t="s">
        <v>2833</v>
      </c>
      <c r="C60" s="10" t="s">
        <v>48</v>
      </c>
      <c r="D60" s="10" t="s">
        <v>48</v>
      </c>
      <c r="E60" s="10" t="s">
        <v>48</v>
      </c>
      <c r="F60" s="10" t="s">
        <v>48</v>
      </c>
      <c r="G60" s="10" t="s">
        <v>48</v>
      </c>
      <c r="H60" s="10">
        <v>32</v>
      </c>
      <c r="I60" s="10" t="s">
        <v>2834</v>
      </c>
      <c r="J60" s="554" t="s">
        <v>2055</v>
      </c>
      <c r="K60" s="1604"/>
      <c r="L60" s="1513"/>
    </row>
    <row r="61" spans="1:12" ht="43.2">
      <c r="A61" s="1278" t="s">
        <v>2835</v>
      </c>
      <c r="B61" s="1279" t="s">
        <v>2836</v>
      </c>
      <c r="C61" s="10" t="s">
        <v>48</v>
      </c>
      <c r="D61" s="10" t="s">
        <v>48</v>
      </c>
      <c r="E61" s="10" t="s">
        <v>48</v>
      </c>
      <c r="F61" s="10" t="s">
        <v>48</v>
      </c>
      <c r="G61" s="10" t="s">
        <v>48</v>
      </c>
      <c r="H61" s="10">
        <v>8</v>
      </c>
      <c r="I61" s="10" t="s">
        <v>839</v>
      </c>
      <c r="J61" s="554" t="s">
        <v>2055</v>
      </c>
      <c r="K61" s="1604"/>
      <c r="L61" s="1513"/>
    </row>
    <row r="62" spans="1:12">
      <c r="A62" s="1278" t="s">
        <v>2837</v>
      </c>
      <c r="B62" s="1279" t="s">
        <v>2833</v>
      </c>
      <c r="C62" s="10" t="s">
        <v>48</v>
      </c>
      <c r="D62" s="10" t="s">
        <v>48</v>
      </c>
      <c r="E62" s="10" t="s">
        <v>48</v>
      </c>
      <c r="F62" s="10" t="s">
        <v>48</v>
      </c>
      <c r="G62" s="10" t="s">
        <v>48</v>
      </c>
      <c r="H62" s="10">
        <v>32</v>
      </c>
      <c r="I62" s="10" t="s">
        <v>2834</v>
      </c>
      <c r="J62" s="554" t="s">
        <v>2055</v>
      </c>
      <c r="K62" s="1604"/>
      <c r="L62" s="1513"/>
    </row>
    <row r="63" spans="1:12" ht="43.2">
      <c r="A63" s="1278" t="s">
        <v>2838</v>
      </c>
      <c r="B63" s="1279" t="s">
        <v>2839</v>
      </c>
      <c r="C63" s="10" t="s">
        <v>48</v>
      </c>
      <c r="D63" s="10" t="s">
        <v>48</v>
      </c>
      <c r="E63" s="10" t="s">
        <v>48</v>
      </c>
      <c r="F63" s="10" t="s">
        <v>48</v>
      </c>
      <c r="G63" s="10" t="s">
        <v>48</v>
      </c>
      <c r="H63" s="10">
        <v>8</v>
      </c>
      <c r="I63" s="10" t="s">
        <v>839</v>
      </c>
      <c r="J63" s="554" t="s">
        <v>2055</v>
      </c>
      <c r="K63" s="1604"/>
      <c r="L63" s="1513"/>
    </row>
    <row r="64" spans="1:12">
      <c r="A64" s="1278" t="s">
        <v>2840</v>
      </c>
      <c r="B64" s="1279" t="s">
        <v>2833</v>
      </c>
      <c r="C64" s="10" t="s">
        <v>48</v>
      </c>
      <c r="D64" s="10" t="s">
        <v>48</v>
      </c>
      <c r="E64" s="10" t="s">
        <v>48</v>
      </c>
      <c r="F64" s="10" t="s">
        <v>48</v>
      </c>
      <c r="G64" s="10" t="s">
        <v>48</v>
      </c>
      <c r="H64" s="10">
        <v>32</v>
      </c>
      <c r="I64" s="10" t="s">
        <v>2834</v>
      </c>
      <c r="J64" s="554" t="s">
        <v>2055</v>
      </c>
      <c r="K64" s="1604"/>
      <c r="L64" s="1513"/>
    </row>
    <row r="65" spans="1:12" ht="43.2">
      <c r="A65" s="1278" t="s">
        <v>2841</v>
      </c>
      <c r="B65" s="1279" t="s">
        <v>2842</v>
      </c>
      <c r="C65" s="10" t="s">
        <v>48</v>
      </c>
      <c r="D65" s="10" t="s">
        <v>48</v>
      </c>
      <c r="E65" s="10" t="s">
        <v>48</v>
      </c>
      <c r="F65" s="10" t="s">
        <v>48</v>
      </c>
      <c r="G65" s="10" t="s">
        <v>48</v>
      </c>
      <c r="H65" s="10">
        <v>8</v>
      </c>
      <c r="I65" s="10" t="s">
        <v>839</v>
      </c>
      <c r="J65" s="554" t="s">
        <v>2055</v>
      </c>
      <c r="K65" s="1604"/>
      <c r="L65" s="1513"/>
    </row>
    <row r="66" spans="1:12">
      <c r="A66" s="1278" t="s">
        <v>2843</v>
      </c>
      <c r="B66" s="1279" t="s">
        <v>2833</v>
      </c>
      <c r="C66" s="10" t="s">
        <v>48</v>
      </c>
      <c r="D66" s="10" t="s">
        <v>48</v>
      </c>
      <c r="E66" s="10" t="s">
        <v>48</v>
      </c>
      <c r="F66" s="10" t="s">
        <v>48</v>
      </c>
      <c r="G66" s="10" t="s">
        <v>48</v>
      </c>
      <c r="H66" s="10">
        <v>32</v>
      </c>
      <c r="I66" s="10" t="s">
        <v>2834</v>
      </c>
      <c r="J66" s="554" t="s">
        <v>2055</v>
      </c>
      <c r="K66" s="1604"/>
      <c r="L66" s="1513"/>
    </row>
    <row r="67" spans="1:12" ht="43.2">
      <c r="A67" s="1278" t="s">
        <v>2844</v>
      </c>
      <c r="B67" s="1279" t="s">
        <v>2845</v>
      </c>
      <c r="C67" s="10" t="s">
        <v>48</v>
      </c>
      <c r="D67" s="10" t="s">
        <v>48</v>
      </c>
      <c r="E67" s="10" t="s">
        <v>48</v>
      </c>
      <c r="F67" s="10" t="s">
        <v>48</v>
      </c>
      <c r="G67" s="10" t="s">
        <v>48</v>
      </c>
      <c r="H67" s="10">
        <v>8</v>
      </c>
      <c r="I67" s="10" t="s">
        <v>839</v>
      </c>
      <c r="J67" s="554" t="s">
        <v>2055</v>
      </c>
      <c r="K67" s="1604"/>
      <c r="L67" s="1513"/>
    </row>
    <row r="68" spans="1:12">
      <c r="A68" s="1278" t="s">
        <v>2846</v>
      </c>
      <c r="B68" s="1279" t="s">
        <v>2833</v>
      </c>
      <c r="C68" s="10" t="s">
        <v>48</v>
      </c>
      <c r="D68" s="10" t="s">
        <v>48</v>
      </c>
      <c r="E68" s="10" t="s">
        <v>48</v>
      </c>
      <c r="F68" s="10" t="s">
        <v>48</v>
      </c>
      <c r="G68" s="10" t="s">
        <v>48</v>
      </c>
      <c r="H68" s="10">
        <v>32</v>
      </c>
      <c r="I68" s="10" t="s">
        <v>2834</v>
      </c>
      <c r="J68" s="554" t="s">
        <v>2055</v>
      </c>
      <c r="K68" s="1604"/>
      <c r="L68" s="1513"/>
    </row>
    <row r="69" spans="1:12" ht="43.2">
      <c r="A69" s="1278" t="s">
        <v>2847</v>
      </c>
      <c r="B69" s="1279" t="s">
        <v>2848</v>
      </c>
      <c r="C69" s="10" t="s">
        <v>48</v>
      </c>
      <c r="D69" s="10" t="s">
        <v>48</v>
      </c>
      <c r="E69" s="10" t="s">
        <v>48</v>
      </c>
      <c r="F69" s="10" t="s">
        <v>48</v>
      </c>
      <c r="G69" s="10" t="s">
        <v>48</v>
      </c>
      <c r="H69" s="10">
        <v>8</v>
      </c>
      <c r="I69" s="10" t="s">
        <v>839</v>
      </c>
      <c r="J69" s="554" t="s">
        <v>2055</v>
      </c>
      <c r="K69" s="1604"/>
      <c r="L69" s="1513"/>
    </row>
    <row r="70" spans="1:12">
      <c r="A70" s="1278" t="s">
        <v>2849</v>
      </c>
      <c r="B70" s="1279" t="s">
        <v>2833</v>
      </c>
      <c r="C70" s="10" t="s">
        <v>48</v>
      </c>
      <c r="D70" s="10" t="s">
        <v>48</v>
      </c>
      <c r="E70" s="10" t="s">
        <v>48</v>
      </c>
      <c r="F70" s="10" t="s">
        <v>48</v>
      </c>
      <c r="G70" s="10" t="s">
        <v>48</v>
      </c>
      <c r="H70" s="10">
        <v>32</v>
      </c>
      <c r="I70" s="10" t="s">
        <v>2834</v>
      </c>
      <c r="J70" s="554" t="s">
        <v>2055</v>
      </c>
      <c r="K70" s="1604"/>
      <c r="L70" s="1513"/>
    </row>
    <row r="71" spans="1:12" ht="43.2">
      <c r="A71" s="1278" t="s">
        <v>2850</v>
      </c>
      <c r="B71" s="1279" t="s">
        <v>2851</v>
      </c>
      <c r="C71" s="10" t="s">
        <v>48</v>
      </c>
      <c r="D71" s="10" t="s">
        <v>48</v>
      </c>
      <c r="E71" s="10" t="s">
        <v>48</v>
      </c>
      <c r="F71" s="10" t="s">
        <v>48</v>
      </c>
      <c r="G71" s="10" t="s">
        <v>48</v>
      </c>
      <c r="H71" s="10">
        <v>8</v>
      </c>
      <c r="I71" s="10" t="s">
        <v>839</v>
      </c>
      <c r="J71" s="554" t="s">
        <v>2055</v>
      </c>
      <c r="K71" s="1604"/>
      <c r="L71" s="1513"/>
    </row>
    <row r="72" spans="1:12">
      <c r="A72" s="1278" t="s">
        <v>2852</v>
      </c>
      <c r="B72" s="1279" t="s">
        <v>2853</v>
      </c>
      <c r="C72" s="10" t="s">
        <v>48</v>
      </c>
      <c r="D72" s="10" t="s">
        <v>48</v>
      </c>
      <c r="E72" s="10" t="s">
        <v>48</v>
      </c>
      <c r="F72" s="10" t="s">
        <v>48</v>
      </c>
      <c r="G72" s="10" t="s">
        <v>48</v>
      </c>
      <c r="H72" s="10">
        <v>32</v>
      </c>
      <c r="I72" s="10" t="s">
        <v>2834</v>
      </c>
      <c r="J72" s="554" t="s">
        <v>2055</v>
      </c>
      <c r="K72" s="1604"/>
      <c r="L72" s="1513"/>
    </row>
    <row r="73" spans="1:12" ht="43.2">
      <c r="A73" s="1278" t="s">
        <v>2854</v>
      </c>
      <c r="B73" s="1279" t="s">
        <v>2855</v>
      </c>
      <c r="C73" s="10" t="s">
        <v>48</v>
      </c>
      <c r="D73" s="10" t="s">
        <v>48</v>
      </c>
      <c r="E73" s="10" t="s">
        <v>48</v>
      </c>
      <c r="F73" s="10" t="s">
        <v>48</v>
      </c>
      <c r="G73" s="10" t="s">
        <v>48</v>
      </c>
      <c r="H73" s="10">
        <v>8</v>
      </c>
      <c r="I73" s="10" t="s">
        <v>839</v>
      </c>
      <c r="J73" s="554" t="s">
        <v>2055</v>
      </c>
      <c r="K73" s="1604"/>
      <c r="L73" s="1513"/>
    </row>
    <row r="74" spans="1:12">
      <c r="A74" s="1278" t="s">
        <v>2856</v>
      </c>
      <c r="B74" s="1279" t="s">
        <v>2853</v>
      </c>
      <c r="C74" s="10" t="s">
        <v>48</v>
      </c>
      <c r="D74" s="10" t="s">
        <v>48</v>
      </c>
      <c r="E74" s="10" t="s">
        <v>48</v>
      </c>
      <c r="F74" s="10" t="s">
        <v>48</v>
      </c>
      <c r="G74" s="10" t="s">
        <v>48</v>
      </c>
      <c r="H74" s="10">
        <v>32</v>
      </c>
      <c r="I74" s="10" t="s">
        <v>2834</v>
      </c>
      <c r="J74" s="554" t="s">
        <v>2055</v>
      </c>
      <c r="K74" s="1604"/>
      <c r="L74" s="1513"/>
    </row>
    <row r="75" spans="1:12" ht="43.2">
      <c r="A75" s="1278" t="s">
        <v>2857</v>
      </c>
      <c r="B75" s="1279" t="s">
        <v>2858</v>
      </c>
      <c r="C75" s="10" t="s">
        <v>48</v>
      </c>
      <c r="D75" s="10" t="s">
        <v>48</v>
      </c>
      <c r="E75" s="10" t="s">
        <v>48</v>
      </c>
      <c r="F75" s="10" t="s">
        <v>48</v>
      </c>
      <c r="G75" s="10" t="s">
        <v>48</v>
      </c>
      <c r="H75" s="10">
        <v>8</v>
      </c>
      <c r="I75" s="10" t="s">
        <v>839</v>
      </c>
      <c r="J75" s="554" t="s">
        <v>2055</v>
      </c>
      <c r="K75" s="1604"/>
      <c r="L75" s="1513"/>
    </row>
    <row r="76" spans="1:12">
      <c r="A76" s="1278" t="s">
        <v>2859</v>
      </c>
      <c r="B76" s="1279" t="s">
        <v>2853</v>
      </c>
      <c r="C76" s="10" t="s">
        <v>48</v>
      </c>
      <c r="D76" s="10" t="s">
        <v>48</v>
      </c>
      <c r="E76" s="10" t="s">
        <v>48</v>
      </c>
      <c r="F76" s="10" t="s">
        <v>48</v>
      </c>
      <c r="G76" s="10" t="s">
        <v>48</v>
      </c>
      <c r="H76" s="10">
        <v>32</v>
      </c>
      <c r="I76" s="10" t="s">
        <v>2834</v>
      </c>
      <c r="J76" s="554" t="s">
        <v>2055</v>
      </c>
      <c r="K76" s="1604"/>
      <c r="L76" s="1513"/>
    </row>
    <row r="77" spans="1:12" ht="43.2">
      <c r="A77" s="1278" t="s">
        <v>2860</v>
      </c>
      <c r="B77" s="1279" t="s">
        <v>2861</v>
      </c>
      <c r="C77" s="10" t="s">
        <v>48</v>
      </c>
      <c r="D77" s="10" t="s">
        <v>48</v>
      </c>
      <c r="E77" s="10" t="s">
        <v>48</v>
      </c>
      <c r="F77" s="10" t="s">
        <v>48</v>
      </c>
      <c r="G77" s="10" t="s">
        <v>48</v>
      </c>
      <c r="H77" s="10">
        <v>8</v>
      </c>
      <c r="I77" s="10" t="s">
        <v>839</v>
      </c>
      <c r="J77" s="554" t="s">
        <v>2055</v>
      </c>
      <c r="K77" s="1604"/>
      <c r="L77" s="1513"/>
    </row>
    <row r="78" spans="1:12">
      <c r="A78" s="1278" t="s">
        <v>2862</v>
      </c>
      <c r="B78" s="1279" t="s">
        <v>2853</v>
      </c>
      <c r="C78" s="10" t="s">
        <v>48</v>
      </c>
      <c r="D78" s="10" t="s">
        <v>48</v>
      </c>
      <c r="E78" s="10" t="s">
        <v>48</v>
      </c>
      <c r="F78" s="10" t="s">
        <v>48</v>
      </c>
      <c r="G78" s="10" t="s">
        <v>48</v>
      </c>
      <c r="H78" s="10">
        <v>32</v>
      </c>
      <c r="I78" s="10" t="s">
        <v>2834</v>
      </c>
      <c r="J78" s="554" t="s">
        <v>2055</v>
      </c>
      <c r="K78" s="1604"/>
      <c r="L78" s="1513"/>
    </row>
    <row r="79" spans="1:12" ht="43.2">
      <c r="A79" s="1278" t="s">
        <v>2863</v>
      </c>
      <c r="B79" s="1279" t="s">
        <v>2864</v>
      </c>
      <c r="C79" s="10" t="s">
        <v>48</v>
      </c>
      <c r="D79" s="10" t="s">
        <v>48</v>
      </c>
      <c r="E79" s="10" t="s">
        <v>48</v>
      </c>
      <c r="F79" s="10" t="s">
        <v>48</v>
      </c>
      <c r="G79" s="10" t="s">
        <v>48</v>
      </c>
      <c r="H79" s="10">
        <v>8</v>
      </c>
      <c r="I79" s="10" t="s">
        <v>839</v>
      </c>
      <c r="J79" s="554" t="s">
        <v>2055</v>
      </c>
      <c r="K79" s="1604"/>
      <c r="L79" s="1513"/>
    </row>
    <row r="80" spans="1:12">
      <c r="A80" s="1278" t="s">
        <v>2865</v>
      </c>
      <c r="B80" s="1279" t="s">
        <v>2853</v>
      </c>
      <c r="C80" s="10" t="s">
        <v>48</v>
      </c>
      <c r="D80" s="10" t="s">
        <v>48</v>
      </c>
      <c r="E80" s="10" t="s">
        <v>48</v>
      </c>
      <c r="F80" s="10" t="s">
        <v>48</v>
      </c>
      <c r="G80" s="10" t="s">
        <v>48</v>
      </c>
      <c r="H80" s="10">
        <v>32</v>
      </c>
      <c r="I80" s="10" t="s">
        <v>2834</v>
      </c>
      <c r="J80" s="554" t="s">
        <v>2055</v>
      </c>
      <c r="K80" s="1604"/>
      <c r="L80" s="1513"/>
    </row>
    <row r="81" spans="1:12" ht="43.2">
      <c r="A81" s="1278" t="s">
        <v>2866</v>
      </c>
      <c r="B81" s="1279" t="s">
        <v>2867</v>
      </c>
      <c r="C81" s="10" t="s">
        <v>48</v>
      </c>
      <c r="D81" s="10" t="s">
        <v>48</v>
      </c>
      <c r="E81" s="10" t="s">
        <v>48</v>
      </c>
      <c r="F81" s="10" t="s">
        <v>48</v>
      </c>
      <c r="G81" s="10" t="s">
        <v>48</v>
      </c>
      <c r="H81" s="10">
        <v>8</v>
      </c>
      <c r="I81" s="10" t="s">
        <v>839</v>
      </c>
      <c r="J81" s="554" t="s">
        <v>2055</v>
      </c>
      <c r="K81" s="1604"/>
      <c r="L81" s="1513"/>
    </row>
    <row r="82" spans="1:12">
      <c r="A82" s="1278" t="s">
        <v>2868</v>
      </c>
      <c r="B82" s="1279" t="s">
        <v>2853</v>
      </c>
      <c r="C82" s="10" t="s">
        <v>48</v>
      </c>
      <c r="D82" s="10" t="s">
        <v>48</v>
      </c>
      <c r="E82" s="10" t="s">
        <v>48</v>
      </c>
      <c r="F82" s="10" t="s">
        <v>48</v>
      </c>
      <c r="G82" s="10" t="s">
        <v>48</v>
      </c>
      <c r="H82" s="10">
        <v>32</v>
      </c>
      <c r="I82" s="10" t="s">
        <v>2834</v>
      </c>
      <c r="J82" s="554" t="s">
        <v>2055</v>
      </c>
      <c r="K82" s="1604"/>
      <c r="L82" s="1513"/>
    </row>
    <row r="83" spans="1:12" ht="28.8">
      <c r="A83" s="1278" t="s">
        <v>2869</v>
      </c>
      <c r="B83" s="1279" t="s">
        <v>2870</v>
      </c>
      <c r="C83" s="10" t="s">
        <v>48</v>
      </c>
      <c r="D83" s="10" t="s">
        <v>48</v>
      </c>
      <c r="E83" s="10" t="s">
        <v>48</v>
      </c>
      <c r="F83" s="10" t="s">
        <v>48</v>
      </c>
      <c r="G83" s="10" t="s">
        <v>48</v>
      </c>
      <c r="H83" s="10">
        <v>8</v>
      </c>
      <c r="I83" s="10" t="s">
        <v>839</v>
      </c>
      <c r="J83" s="554" t="s">
        <v>2055</v>
      </c>
      <c r="K83" s="1604"/>
      <c r="L83" s="1513"/>
    </row>
    <row r="84" spans="1:12">
      <c r="A84" s="1278" t="s">
        <v>2871</v>
      </c>
      <c r="B84" s="1279" t="s">
        <v>2872</v>
      </c>
      <c r="C84" s="10" t="s">
        <v>48</v>
      </c>
      <c r="D84" s="10" t="s">
        <v>48</v>
      </c>
      <c r="E84" s="10" t="s">
        <v>48</v>
      </c>
      <c r="F84" s="10" t="s">
        <v>48</v>
      </c>
      <c r="G84" s="10" t="s">
        <v>48</v>
      </c>
      <c r="H84" s="10">
        <v>32</v>
      </c>
      <c r="I84" s="10" t="s">
        <v>1783</v>
      </c>
      <c r="J84" s="554" t="s">
        <v>2055</v>
      </c>
      <c r="K84" s="1604"/>
      <c r="L84" s="1513"/>
    </row>
    <row r="85" spans="1:12" ht="28.8">
      <c r="A85" s="1278" t="s">
        <v>2873</v>
      </c>
      <c r="B85" s="1279" t="s">
        <v>2874</v>
      </c>
      <c r="C85" s="10" t="s">
        <v>48</v>
      </c>
      <c r="D85" s="10" t="s">
        <v>48</v>
      </c>
      <c r="E85" s="10" t="s">
        <v>48</v>
      </c>
      <c r="F85" s="10" t="s">
        <v>48</v>
      </c>
      <c r="G85" s="10" t="s">
        <v>48</v>
      </c>
      <c r="H85" s="10">
        <v>8</v>
      </c>
      <c r="I85" s="10" t="s">
        <v>839</v>
      </c>
      <c r="J85" s="554" t="s">
        <v>2055</v>
      </c>
      <c r="K85" s="1604"/>
      <c r="L85" s="1513"/>
    </row>
    <row r="86" spans="1:12">
      <c r="A86" s="1278" t="s">
        <v>2875</v>
      </c>
      <c r="B86" s="1279" t="s">
        <v>2872</v>
      </c>
      <c r="C86" s="10" t="s">
        <v>48</v>
      </c>
      <c r="D86" s="10" t="s">
        <v>48</v>
      </c>
      <c r="E86" s="10" t="s">
        <v>48</v>
      </c>
      <c r="F86" s="10" t="s">
        <v>48</v>
      </c>
      <c r="G86" s="10" t="s">
        <v>48</v>
      </c>
      <c r="H86" s="10">
        <v>32</v>
      </c>
      <c r="I86" s="10" t="s">
        <v>1783</v>
      </c>
      <c r="J86" s="554" t="s">
        <v>2055</v>
      </c>
      <c r="K86" s="1604"/>
      <c r="L86" s="1513"/>
    </row>
    <row r="87" spans="1:12" ht="28.8">
      <c r="A87" s="1278" t="s">
        <v>2876</v>
      </c>
      <c r="B87" s="1279" t="s">
        <v>2877</v>
      </c>
      <c r="C87" s="10" t="s">
        <v>48</v>
      </c>
      <c r="D87" s="10" t="s">
        <v>48</v>
      </c>
      <c r="E87" s="10" t="s">
        <v>48</v>
      </c>
      <c r="F87" s="10" t="s">
        <v>48</v>
      </c>
      <c r="G87" s="10" t="s">
        <v>48</v>
      </c>
      <c r="H87" s="10">
        <v>8</v>
      </c>
      <c r="I87" s="10" t="s">
        <v>839</v>
      </c>
      <c r="J87" s="554" t="s">
        <v>2055</v>
      </c>
      <c r="K87" s="1604"/>
      <c r="L87" s="1513"/>
    </row>
    <row r="88" spans="1:12">
      <c r="A88" s="1278" t="s">
        <v>2878</v>
      </c>
      <c r="B88" s="1279" t="s">
        <v>2872</v>
      </c>
      <c r="C88" s="10" t="s">
        <v>48</v>
      </c>
      <c r="D88" s="10" t="s">
        <v>48</v>
      </c>
      <c r="E88" s="10" t="s">
        <v>48</v>
      </c>
      <c r="F88" s="10" t="s">
        <v>48</v>
      </c>
      <c r="G88" s="10" t="s">
        <v>48</v>
      </c>
      <c r="H88" s="10">
        <v>32</v>
      </c>
      <c r="I88" s="10" t="s">
        <v>1783</v>
      </c>
      <c r="J88" s="554" t="s">
        <v>2055</v>
      </c>
      <c r="K88" s="1604"/>
      <c r="L88" s="1513"/>
    </row>
    <row r="89" spans="1:12" ht="28.8">
      <c r="A89" s="1278" t="s">
        <v>2879</v>
      </c>
      <c r="B89" s="1279" t="s">
        <v>2880</v>
      </c>
      <c r="C89" s="10" t="s">
        <v>48</v>
      </c>
      <c r="D89" s="10" t="s">
        <v>48</v>
      </c>
      <c r="E89" s="10" t="s">
        <v>48</v>
      </c>
      <c r="F89" s="10" t="s">
        <v>48</v>
      </c>
      <c r="G89" s="10" t="s">
        <v>48</v>
      </c>
      <c r="H89" s="10">
        <v>8</v>
      </c>
      <c r="I89" s="10" t="s">
        <v>839</v>
      </c>
      <c r="J89" s="554" t="s">
        <v>2055</v>
      </c>
      <c r="K89" s="1604"/>
      <c r="L89" s="1513"/>
    </row>
    <row r="90" spans="1:12">
      <c r="A90" s="1278" t="s">
        <v>2881</v>
      </c>
      <c r="B90" s="1279" t="s">
        <v>2872</v>
      </c>
      <c r="C90" s="10" t="s">
        <v>48</v>
      </c>
      <c r="D90" s="10" t="s">
        <v>48</v>
      </c>
      <c r="E90" s="10" t="s">
        <v>48</v>
      </c>
      <c r="F90" s="10" t="s">
        <v>48</v>
      </c>
      <c r="G90" s="10" t="s">
        <v>48</v>
      </c>
      <c r="H90" s="10">
        <v>32</v>
      </c>
      <c r="I90" s="10" t="s">
        <v>1783</v>
      </c>
      <c r="J90" s="554" t="s">
        <v>2055</v>
      </c>
      <c r="K90" s="1604"/>
      <c r="L90" s="1513"/>
    </row>
    <row r="91" spans="1:12" ht="28.8">
      <c r="A91" s="1278" t="s">
        <v>2882</v>
      </c>
      <c r="B91" s="1279" t="s">
        <v>2883</v>
      </c>
      <c r="C91" s="10" t="s">
        <v>48</v>
      </c>
      <c r="D91" s="10" t="s">
        <v>48</v>
      </c>
      <c r="E91" s="10" t="s">
        <v>48</v>
      </c>
      <c r="F91" s="10" t="s">
        <v>48</v>
      </c>
      <c r="G91" s="10" t="s">
        <v>48</v>
      </c>
      <c r="H91" s="10">
        <v>8</v>
      </c>
      <c r="I91" s="10" t="s">
        <v>839</v>
      </c>
      <c r="J91" s="554" t="s">
        <v>2055</v>
      </c>
      <c r="K91" s="1604"/>
      <c r="L91" s="1513"/>
    </row>
    <row r="92" spans="1:12" ht="28.8">
      <c r="A92" s="1278" t="s">
        <v>2884</v>
      </c>
      <c r="B92" s="1279" t="s">
        <v>2885</v>
      </c>
      <c r="C92" s="10" t="s">
        <v>48</v>
      </c>
      <c r="D92" s="10" t="s">
        <v>48</v>
      </c>
      <c r="E92" s="10" t="s">
        <v>48</v>
      </c>
      <c r="F92" s="10" t="s">
        <v>48</v>
      </c>
      <c r="G92" s="10" t="s">
        <v>48</v>
      </c>
      <c r="H92" s="10">
        <v>32</v>
      </c>
      <c r="I92" s="425" t="s">
        <v>1817</v>
      </c>
      <c r="J92" s="554" t="s">
        <v>2055</v>
      </c>
      <c r="K92" s="1604"/>
      <c r="L92" s="1513"/>
    </row>
    <row r="93" spans="1:12" ht="28.8">
      <c r="A93" s="1278" t="s">
        <v>2886</v>
      </c>
      <c r="B93" s="1279" t="s">
        <v>2887</v>
      </c>
      <c r="C93" s="10" t="s">
        <v>48</v>
      </c>
      <c r="D93" s="10" t="s">
        <v>48</v>
      </c>
      <c r="E93" s="10" t="s">
        <v>48</v>
      </c>
      <c r="F93" s="10" t="s">
        <v>48</v>
      </c>
      <c r="G93" s="10" t="s">
        <v>48</v>
      </c>
      <c r="H93" s="10">
        <v>8</v>
      </c>
      <c r="I93" s="10" t="s">
        <v>839</v>
      </c>
      <c r="J93" s="554" t="s">
        <v>2055</v>
      </c>
      <c r="K93" s="1604"/>
      <c r="L93" s="1513"/>
    </row>
    <row r="94" spans="1:12" ht="28.8">
      <c r="A94" s="1278" t="s">
        <v>2888</v>
      </c>
      <c r="B94" s="1279" t="s">
        <v>2885</v>
      </c>
      <c r="C94" s="10" t="s">
        <v>48</v>
      </c>
      <c r="D94" s="10" t="s">
        <v>48</v>
      </c>
      <c r="E94" s="10" t="s">
        <v>48</v>
      </c>
      <c r="F94" s="10" t="s">
        <v>48</v>
      </c>
      <c r="G94" s="10" t="s">
        <v>48</v>
      </c>
      <c r="H94" s="10">
        <v>32</v>
      </c>
      <c r="I94" s="425" t="s">
        <v>1817</v>
      </c>
      <c r="J94" s="554" t="s">
        <v>2055</v>
      </c>
      <c r="K94" s="1604"/>
      <c r="L94" s="1513"/>
    </row>
    <row r="95" spans="1:12" ht="28.8">
      <c r="A95" s="1278" t="s">
        <v>2889</v>
      </c>
      <c r="B95" s="1279" t="s">
        <v>2890</v>
      </c>
      <c r="C95" s="10" t="s">
        <v>48</v>
      </c>
      <c r="D95" s="10" t="s">
        <v>48</v>
      </c>
      <c r="E95" s="10" t="s">
        <v>48</v>
      </c>
      <c r="F95" s="10" t="s">
        <v>48</v>
      </c>
      <c r="G95" s="10" t="s">
        <v>48</v>
      </c>
      <c r="H95" s="10">
        <v>8</v>
      </c>
      <c r="I95" s="10" t="s">
        <v>839</v>
      </c>
      <c r="J95" s="554" t="s">
        <v>2055</v>
      </c>
      <c r="K95" s="1604"/>
      <c r="L95" s="1513"/>
    </row>
    <row r="96" spans="1:12" ht="28.8">
      <c r="A96" s="1278" t="s">
        <v>2891</v>
      </c>
      <c r="B96" s="1279" t="s">
        <v>2885</v>
      </c>
      <c r="C96" s="10" t="s">
        <v>48</v>
      </c>
      <c r="D96" s="10" t="s">
        <v>48</v>
      </c>
      <c r="E96" s="10" t="s">
        <v>48</v>
      </c>
      <c r="F96" s="10" t="s">
        <v>48</v>
      </c>
      <c r="G96" s="10" t="s">
        <v>48</v>
      </c>
      <c r="H96" s="10">
        <v>32</v>
      </c>
      <c r="I96" s="425" t="s">
        <v>1817</v>
      </c>
      <c r="J96" s="554" t="s">
        <v>2055</v>
      </c>
      <c r="K96" s="1604"/>
      <c r="L96" s="1513"/>
    </row>
    <row r="97" spans="1:12" ht="28.8">
      <c r="A97" s="1278" t="s">
        <v>2892</v>
      </c>
      <c r="B97" s="1279" t="s">
        <v>2893</v>
      </c>
      <c r="C97" s="10" t="s">
        <v>48</v>
      </c>
      <c r="D97" s="10" t="s">
        <v>48</v>
      </c>
      <c r="E97" s="10" t="s">
        <v>48</v>
      </c>
      <c r="F97" s="10" t="s">
        <v>48</v>
      </c>
      <c r="G97" s="10" t="s">
        <v>48</v>
      </c>
      <c r="H97" s="10">
        <v>8</v>
      </c>
      <c r="I97" s="10" t="s">
        <v>839</v>
      </c>
      <c r="J97" s="554" t="s">
        <v>2055</v>
      </c>
      <c r="K97" s="1604"/>
      <c r="L97" s="1513"/>
    </row>
    <row r="98" spans="1:12" ht="28.8">
      <c r="A98" s="1278" t="s">
        <v>2894</v>
      </c>
      <c r="B98" s="1279" t="s">
        <v>2885</v>
      </c>
      <c r="C98" s="10" t="s">
        <v>48</v>
      </c>
      <c r="D98" s="10" t="s">
        <v>48</v>
      </c>
      <c r="E98" s="10" t="s">
        <v>48</v>
      </c>
      <c r="F98" s="10" t="s">
        <v>48</v>
      </c>
      <c r="G98" s="10" t="s">
        <v>48</v>
      </c>
      <c r="H98" s="10">
        <v>32</v>
      </c>
      <c r="I98" s="425" t="s">
        <v>1817</v>
      </c>
      <c r="J98" s="554" t="s">
        <v>2055</v>
      </c>
      <c r="K98" s="1604"/>
      <c r="L98" s="1513"/>
    </row>
    <row r="99" spans="1:12" ht="28.8">
      <c r="A99" s="1278" t="s">
        <v>2895</v>
      </c>
      <c r="B99" s="1279" t="s">
        <v>2896</v>
      </c>
      <c r="C99" s="10" t="s">
        <v>48</v>
      </c>
      <c r="D99" s="10" t="s">
        <v>48</v>
      </c>
      <c r="E99" s="10" t="s">
        <v>48</v>
      </c>
      <c r="F99" s="10" t="s">
        <v>48</v>
      </c>
      <c r="G99" s="10" t="s">
        <v>48</v>
      </c>
      <c r="H99" s="10">
        <v>8</v>
      </c>
      <c r="I99" s="10" t="s">
        <v>839</v>
      </c>
      <c r="J99" s="554" t="s">
        <v>2055</v>
      </c>
      <c r="K99" s="1604"/>
      <c r="L99" s="1513"/>
    </row>
    <row r="100" spans="1:12" ht="47.25" customHeight="1">
      <c r="A100" s="1278" t="s">
        <v>2897</v>
      </c>
      <c r="B100" s="1279" t="s">
        <v>2898</v>
      </c>
      <c r="C100" s="10" t="s">
        <v>48</v>
      </c>
      <c r="D100" s="10" t="s">
        <v>48</v>
      </c>
      <c r="E100" s="10" t="s">
        <v>48</v>
      </c>
      <c r="F100" s="10" t="s">
        <v>48</v>
      </c>
      <c r="G100" s="10" t="s">
        <v>48</v>
      </c>
      <c r="H100" s="10">
        <v>32</v>
      </c>
      <c r="I100" s="425" t="s">
        <v>1817</v>
      </c>
      <c r="J100" s="554" t="s">
        <v>2055</v>
      </c>
      <c r="K100" s="1604"/>
      <c r="L100" s="1513"/>
    </row>
    <row r="101" spans="1:12" ht="28.8">
      <c r="A101" s="1278" t="s">
        <v>2899</v>
      </c>
      <c r="B101" s="1279" t="s">
        <v>2900</v>
      </c>
      <c r="C101" s="10" t="s">
        <v>48</v>
      </c>
      <c r="D101" s="10" t="s">
        <v>48</v>
      </c>
      <c r="E101" s="10" t="s">
        <v>48</v>
      </c>
      <c r="F101" s="10" t="s">
        <v>48</v>
      </c>
      <c r="G101" s="10" t="s">
        <v>48</v>
      </c>
      <c r="H101" s="10">
        <v>8</v>
      </c>
      <c r="I101" s="10" t="s">
        <v>839</v>
      </c>
      <c r="J101" s="554" t="s">
        <v>2055</v>
      </c>
      <c r="K101" s="1604"/>
      <c r="L101" s="1513"/>
    </row>
    <row r="102" spans="1:12" ht="28.8">
      <c r="A102" s="1278" t="s">
        <v>2901</v>
      </c>
      <c r="B102" s="1279" t="s">
        <v>2898</v>
      </c>
      <c r="C102" s="10" t="s">
        <v>48</v>
      </c>
      <c r="D102" s="10" t="s">
        <v>48</v>
      </c>
      <c r="E102" s="10" t="s">
        <v>48</v>
      </c>
      <c r="F102" s="10" t="s">
        <v>48</v>
      </c>
      <c r="G102" s="10" t="s">
        <v>48</v>
      </c>
      <c r="H102" s="10">
        <v>32</v>
      </c>
      <c r="I102" s="425" t="s">
        <v>1817</v>
      </c>
      <c r="J102" s="554" t="s">
        <v>2055</v>
      </c>
      <c r="K102" s="1604"/>
      <c r="L102" s="1513"/>
    </row>
    <row r="103" spans="1:12" ht="28.8">
      <c r="A103" s="1278" t="s">
        <v>2902</v>
      </c>
      <c r="B103" s="1279" t="s">
        <v>2903</v>
      </c>
      <c r="C103" s="10" t="s">
        <v>48</v>
      </c>
      <c r="D103" s="10" t="s">
        <v>48</v>
      </c>
      <c r="E103" s="10" t="s">
        <v>48</v>
      </c>
      <c r="F103" s="10" t="s">
        <v>48</v>
      </c>
      <c r="G103" s="10" t="s">
        <v>48</v>
      </c>
      <c r="H103" s="10">
        <v>8</v>
      </c>
      <c r="I103" s="10" t="s">
        <v>839</v>
      </c>
      <c r="J103" s="554" t="s">
        <v>2055</v>
      </c>
      <c r="K103" s="1604"/>
      <c r="L103" s="1513"/>
    </row>
    <row r="104" spans="1:12" ht="28.8">
      <c r="A104" s="1278" t="s">
        <v>2904</v>
      </c>
      <c r="B104" s="1279" t="s">
        <v>2898</v>
      </c>
      <c r="C104" s="10" t="s">
        <v>48</v>
      </c>
      <c r="D104" s="10" t="s">
        <v>48</v>
      </c>
      <c r="E104" s="10" t="s">
        <v>48</v>
      </c>
      <c r="F104" s="10" t="s">
        <v>48</v>
      </c>
      <c r="G104" s="10" t="s">
        <v>48</v>
      </c>
      <c r="H104" s="10">
        <v>32</v>
      </c>
      <c r="I104" s="425" t="s">
        <v>1817</v>
      </c>
      <c r="J104" s="554" t="s">
        <v>2055</v>
      </c>
      <c r="K104" s="1604"/>
      <c r="L104" s="1513"/>
    </row>
    <row r="105" spans="1:12" ht="28.8">
      <c r="A105" s="1278" t="s">
        <v>2905</v>
      </c>
      <c r="B105" s="1279" t="s">
        <v>2906</v>
      </c>
      <c r="C105" s="10" t="s">
        <v>48</v>
      </c>
      <c r="D105" s="10" t="s">
        <v>48</v>
      </c>
      <c r="E105" s="10" t="s">
        <v>48</v>
      </c>
      <c r="F105" s="10" t="s">
        <v>48</v>
      </c>
      <c r="G105" s="10" t="s">
        <v>48</v>
      </c>
      <c r="H105" s="10">
        <v>8</v>
      </c>
      <c r="I105" s="10" t="s">
        <v>839</v>
      </c>
      <c r="J105" s="554" t="s">
        <v>2055</v>
      </c>
      <c r="K105" s="1604"/>
      <c r="L105" s="1513"/>
    </row>
    <row r="106" spans="1:12" ht="28.8">
      <c r="A106" s="1278" t="s">
        <v>2907</v>
      </c>
      <c r="B106" s="1279" t="s">
        <v>2898</v>
      </c>
      <c r="C106" s="10" t="s">
        <v>48</v>
      </c>
      <c r="D106" s="10" t="s">
        <v>48</v>
      </c>
      <c r="E106" s="10" t="s">
        <v>48</v>
      </c>
      <c r="F106" s="10" t="s">
        <v>48</v>
      </c>
      <c r="G106" s="10" t="s">
        <v>48</v>
      </c>
      <c r="H106" s="10">
        <v>32</v>
      </c>
      <c r="I106" s="425" t="s">
        <v>1817</v>
      </c>
      <c r="J106" s="554" t="s">
        <v>2055</v>
      </c>
      <c r="K106" s="1604"/>
      <c r="L106" s="1513"/>
    </row>
    <row r="107" spans="1:12" ht="43.2">
      <c r="A107" s="1278" t="s">
        <v>2908</v>
      </c>
      <c r="B107" s="1279" t="s">
        <v>2909</v>
      </c>
      <c r="C107" s="10" t="s">
        <v>48</v>
      </c>
      <c r="D107" s="10" t="s">
        <v>48</v>
      </c>
      <c r="E107" s="10" t="s">
        <v>48</v>
      </c>
      <c r="F107" s="10" t="s">
        <v>48</v>
      </c>
      <c r="G107" s="10" t="s">
        <v>48</v>
      </c>
      <c r="H107" s="10">
        <v>8</v>
      </c>
      <c r="I107" s="10" t="s">
        <v>839</v>
      </c>
      <c r="J107" s="554" t="s">
        <v>2055</v>
      </c>
      <c r="K107" s="1604"/>
      <c r="L107" s="1513"/>
    </row>
    <row r="108" spans="1:12" ht="28.8">
      <c r="A108" s="1278" t="s">
        <v>2910</v>
      </c>
      <c r="B108" s="1279" t="s">
        <v>2911</v>
      </c>
      <c r="C108" s="10" t="s">
        <v>919</v>
      </c>
      <c r="D108" s="10">
        <v>0</v>
      </c>
      <c r="E108" s="10" t="s">
        <v>920</v>
      </c>
      <c r="F108" s="9" t="s">
        <v>2912</v>
      </c>
      <c r="G108" s="10" t="s">
        <v>920</v>
      </c>
      <c r="H108" s="10">
        <v>32</v>
      </c>
      <c r="I108" s="10" t="s">
        <v>922</v>
      </c>
      <c r="J108" s="554" t="s">
        <v>2055</v>
      </c>
      <c r="K108" s="1604"/>
      <c r="L108" s="1513"/>
    </row>
    <row r="109" spans="1:12" ht="43.2">
      <c r="A109" s="1278" t="s">
        <v>2913</v>
      </c>
      <c r="B109" s="1279" t="s">
        <v>2914</v>
      </c>
      <c r="C109" s="10" t="s">
        <v>48</v>
      </c>
      <c r="D109" s="10" t="s">
        <v>48</v>
      </c>
      <c r="E109" s="10" t="s">
        <v>48</v>
      </c>
      <c r="F109" s="10" t="s">
        <v>48</v>
      </c>
      <c r="G109" s="10" t="s">
        <v>48</v>
      </c>
      <c r="H109" s="10">
        <v>8</v>
      </c>
      <c r="I109" s="10" t="s">
        <v>839</v>
      </c>
      <c r="J109" s="554" t="s">
        <v>2055</v>
      </c>
      <c r="K109" s="1604"/>
      <c r="L109" s="1513"/>
    </row>
    <row r="110" spans="1:12" ht="28.8">
      <c r="A110" s="1278" t="s">
        <v>2915</v>
      </c>
      <c r="B110" s="1279" t="s">
        <v>2911</v>
      </c>
      <c r="C110" s="10" t="s">
        <v>919</v>
      </c>
      <c r="D110" s="10">
        <v>0</v>
      </c>
      <c r="E110" s="10" t="s">
        <v>920</v>
      </c>
      <c r="F110" s="9" t="s">
        <v>2912</v>
      </c>
      <c r="G110" s="10" t="s">
        <v>920</v>
      </c>
      <c r="H110" s="10">
        <v>32</v>
      </c>
      <c r="I110" s="10" t="s">
        <v>922</v>
      </c>
      <c r="J110" s="554" t="s">
        <v>2055</v>
      </c>
      <c r="K110" s="1604"/>
      <c r="L110" s="1513"/>
    </row>
    <row r="111" spans="1:12" ht="43.2">
      <c r="A111" s="1278" t="s">
        <v>2916</v>
      </c>
      <c r="B111" s="1279" t="s">
        <v>2917</v>
      </c>
      <c r="C111" s="10" t="s">
        <v>48</v>
      </c>
      <c r="D111" s="10" t="s">
        <v>48</v>
      </c>
      <c r="E111" s="10" t="s">
        <v>48</v>
      </c>
      <c r="F111" s="10" t="s">
        <v>48</v>
      </c>
      <c r="G111" s="10" t="s">
        <v>48</v>
      </c>
      <c r="H111" s="10">
        <v>8</v>
      </c>
      <c r="I111" s="10" t="s">
        <v>839</v>
      </c>
      <c r="J111" s="554" t="s">
        <v>2055</v>
      </c>
      <c r="K111" s="1604"/>
      <c r="L111" s="1513"/>
    </row>
    <row r="112" spans="1:12" ht="28.8">
      <c r="A112" s="1278" t="s">
        <v>2918</v>
      </c>
      <c r="B112" s="1279" t="s">
        <v>2911</v>
      </c>
      <c r="C112" s="10" t="s">
        <v>919</v>
      </c>
      <c r="D112" s="10">
        <v>0</v>
      </c>
      <c r="E112" s="10" t="s">
        <v>920</v>
      </c>
      <c r="F112" s="9" t="s">
        <v>2912</v>
      </c>
      <c r="G112" s="10" t="s">
        <v>920</v>
      </c>
      <c r="H112" s="10">
        <v>32</v>
      </c>
      <c r="I112" s="10" t="s">
        <v>922</v>
      </c>
      <c r="J112" s="554" t="s">
        <v>2055</v>
      </c>
      <c r="K112" s="1604"/>
      <c r="L112" s="1513"/>
    </row>
    <row r="113" spans="1:12" ht="43.2">
      <c r="A113" s="1278" t="s">
        <v>2919</v>
      </c>
      <c r="B113" s="1279" t="s">
        <v>2920</v>
      </c>
      <c r="C113" s="10" t="s">
        <v>48</v>
      </c>
      <c r="D113" s="10" t="s">
        <v>48</v>
      </c>
      <c r="E113" s="10" t="s">
        <v>48</v>
      </c>
      <c r="F113" s="10" t="s">
        <v>48</v>
      </c>
      <c r="G113" s="10" t="s">
        <v>48</v>
      </c>
      <c r="H113" s="10">
        <v>8</v>
      </c>
      <c r="I113" s="10" t="s">
        <v>839</v>
      </c>
      <c r="J113" s="554" t="s">
        <v>2055</v>
      </c>
      <c r="K113" s="1604"/>
      <c r="L113" s="1513"/>
    </row>
    <row r="114" spans="1:12" ht="28.8">
      <c r="A114" s="1278" t="s">
        <v>2921</v>
      </c>
      <c r="B114" s="1279" t="s">
        <v>2911</v>
      </c>
      <c r="C114" s="10" t="s">
        <v>919</v>
      </c>
      <c r="D114" s="10">
        <v>0</v>
      </c>
      <c r="E114" s="10" t="s">
        <v>920</v>
      </c>
      <c r="F114" s="9" t="s">
        <v>2912</v>
      </c>
      <c r="G114" s="10" t="s">
        <v>920</v>
      </c>
      <c r="H114" s="10">
        <v>32</v>
      </c>
      <c r="I114" s="10" t="s">
        <v>922</v>
      </c>
      <c r="J114" s="554" t="s">
        <v>2055</v>
      </c>
      <c r="K114" s="1604"/>
      <c r="L114" s="1513"/>
    </row>
    <row r="115" spans="1:12" ht="28.8">
      <c r="A115" s="1278" t="s">
        <v>2922</v>
      </c>
      <c r="B115" s="1279" t="s">
        <v>2923</v>
      </c>
      <c r="C115" s="10" t="s">
        <v>48</v>
      </c>
      <c r="D115" s="10" t="s">
        <v>48</v>
      </c>
      <c r="E115" s="10" t="s">
        <v>48</v>
      </c>
      <c r="F115" s="10" t="s">
        <v>48</v>
      </c>
      <c r="G115" s="10" t="s">
        <v>48</v>
      </c>
      <c r="H115" s="10">
        <v>8</v>
      </c>
      <c r="I115" s="10" t="s">
        <v>839</v>
      </c>
      <c r="J115" s="554" t="s">
        <v>2055</v>
      </c>
      <c r="K115" s="1604"/>
      <c r="L115" s="1513"/>
    </row>
    <row r="116" spans="1:12" ht="28.8">
      <c r="A116" s="1278" t="s">
        <v>2924</v>
      </c>
      <c r="B116" s="1279" t="s">
        <v>2925</v>
      </c>
      <c r="C116" s="10" t="s">
        <v>48</v>
      </c>
      <c r="D116" s="10" t="s">
        <v>48</v>
      </c>
      <c r="E116" s="10" t="s">
        <v>48</v>
      </c>
      <c r="F116" s="10" t="s">
        <v>48</v>
      </c>
      <c r="G116" s="10" t="s">
        <v>48</v>
      </c>
      <c r="H116" s="10">
        <v>32</v>
      </c>
      <c r="I116" s="425" t="s">
        <v>1817</v>
      </c>
      <c r="J116" s="554" t="s">
        <v>2055</v>
      </c>
      <c r="K116" s="1604"/>
      <c r="L116" s="1513"/>
    </row>
    <row r="117" spans="1:12" ht="28.8">
      <c r="A117" s="1278" t="s">
        <v>2926</v>
      </c>
      <c r="B117" s="1279" t="s">
        <v>2927</v>
      </c>
      <c r="C117" s="10" t="s">
        <v>48</v>
      </c>
      <c r="D117" s="10" t="s">
        <v>48</v>
      </c>
      <c r="E117" s="10" t="s">
        <v>48</v>
      </c>
      <c r="F117" s="10" t="s">
        <v>48</v>
      </c>
      <c r="G117" s="10" t="s">
        <v>48</v>
      </c>
      <c r="H117" s="10">
        <v>8</v>
      </c>
      <c r="I117" s="10" t="s">
        <v>839</v>
      </c>
      <c r="J117" s="554" t="s">
        <v>2055</v>
      </c>
      <c r="K117" s="1604"/>
      <c r="L117" s="1513"/>
    </row>
    <row r="118" spans="1:12" ht="28.8">
      <c r="A118" s="1278" t="s">
        <v>2928</v>
      </c>
      <c r="B118" s="1279" t="s">
        <v>2925</v>
      </c>
      <c r="C118" s="10" t="s">
        <v>48</v>
      </c>
      <c r="D118" s="10" t="s">
        <v>48</v>
      </c>
      <c r="E118" s="10" t="s">
        <v>48</v>
      </c>
      <c r="F118" s="10" t="s">
        <v>48</v>
      </c>
      <c r="G118" s="10" t="s">
        <v>48</v>
      </c>
      <c r="H118" s="10">
        <v>32</v>
      </c>
      <c r="I118" s="425" t="s">
        <v>1817</v>
      </c>
      <c r="J118" s="554" t="s">
        <v>2055</v>
      </c>
      <c r="K118" s="1604"/>
      <c r="L118" s="1513"/>
    </row>
    <row r="119" spans="1:12" ht="28.8">
      <c r="A119" s="1278" t="s">
        <v>2929</v>
      </c>
      <c r="B119" s="1279" t="s">
        <v>2930</v>
      </c>
      <c r="C119" s="10" t="s">
        <v>48</v>
      </c>
      <c r="D119" s="10" t="s">
        <v>48</v>
      </c>
      <c r="E119" s="10" t="s">
        <v>48</v>
      </c>
      <c r="F119" s="10" t="s">
        <v>48</v>
      </c>
      <c r="G119" s="10" t="s">
        <v>48</v>
      </c>
      <c r="H119" s="10">
        <v>8</v>
      </c>
      <c r="I119" s="10" t="s">
        <v>839</v>
      </c>
      <c r="J119" s="554" t="s">
        <v>2055</v>
      </c>
      <c r="K119" s="1604"/>
      <c r="L119" s="1513"/>
    </row>
    <row r="120" spans="1:12" ht="28.8">
      <c r="A120" s="1278" t="s">
        <v>2931</v>
      </c>
      <c r="B120" s="1279" t="s">
        <v>2925</v>
      </c>
      <c r="C120" s="10" t="s">
        <v>48</v>
      </c>
      <c r="D120" s="10" t="s">
        <v>48</v>
      </c>
      <c r="E120" s="10" t="s">
        <v>48</v>
      </c>
      <c r="F120" s="10" t="s">
        <v>48</v>
      </c>
      <c r="G120" s="10" t="s">
        <v>48</v>
      </c>
      <c r="H120" s="10">
        <v>32</v>
      </c>
      <c r="I120" s="425" t="s">
        <v>1817</v>
      </c>
      <c r="J120" s="554" t="s">
        <v>2055</v>
      </c>
      <c r="K120" s="1604"/>
      <c r="L120" s="1513"/>
    </row>
    <row r="121" spans="1:12" ht="28.8">
      <c r="A121" s="1278" t="s">
        <v>2932</v>
      </c>
      <c r="B121" s="1279" t="s">
        <v>2933</v>
      </c>
      <c r="C121" s="10" t="s">
        <v>48</v>
      </c>
      <c r="D121" s="10" t="s">
        <v>48</v>
      </c>
      <c r="E121" s="10" t="s">
        <v>48</v>
      </c>
      <c r="F121" s="10" t="s">
        <v>48</v>
      </c>
      <c r="G121" s="10" t="s">
        <v>48</v>
      </c>
      <c r="H121" s="10">
        <v>8</v>
      </c>
      <c r="I121" s="10" t="s">
        <v>839</v>
      </c>
      <c r="J121" s="554" t="s">
        <v>2055</v>
      </c>
      <c r="K121" s="1604"/>
      <c r="L121" s="1513"/>
    </row>
    <row r="122" spans="1:12" ht="28.8">
      <c r="A122" s="1278" t="s">
        <v>2934</v>
      </c>
      <c r="B122" s="1279" t="s">
        <v>2925</v>
      </c>
      <c r="C122" s="10" t="s">
        <v>48</v>
      </c>
      <c r="D122" s="10" t="s">
        <v>48</v>
      </c>
      <c r="E122" s="10" t="s">
        <v>48</v>
      </c>
      <c r="F122" s="10" t="s">
        <v>48</v>
      </c>
      <c r="G122" s="10" t="s">
        <v>48</v>
      </c>
      <c r="H122" s="10">
        <v>32</v>
      </c>
      <c r="I122" s="425" t="s">
        <v>1817</v>
      </c>
      <c r="J122" s="554" t="s">
        <v>2055</v>
      </c>
      <c r="K122" s="1604"/>
      <c r="L122" s="1513"/>
    </row>
    <row r="123" spans="1:12" ht="28.8">
      <c r="A123" s="1278" t="s">
        <v>2935</v>
      </c>
      <c r="B123" s="1279" t="s">
        <v>2936</v>
      </c>
      <c r="C123" s="10" t="s">
        <v>48</v>
      </c>
      <c r="D123" s="10" t="s">
        <v>48</v>
      </c>
      <c r="E123" s="10" t="s">
        <v>48</v>
      </c>
      <c r="F123" s="10" t="s">
        <v>48</v>
      </c>
      <c r="G123" s="10" t="s">
        <v>48</v>
      </c>
      <c r="H123" s="10">
        <v>8</v>
      </c>
      <c r="I123" s="10" t="s">
        <v>839</v>
      </c>
      <c r="J123" s="554" t="s">
        <v>2055</v>
      </c>
      <c r="K123" s="1604"/>
      <c r="L123" s="1513"/>
    </row>
    <row r="124" spans="1:12">
      <c r="A124" s="1278" t="s">
        <v>2937</v>
      </c>
      <c r="B124" s="1279" t="s">
        <v>2938</v>
      </c>
      <c r="C124" s="10" t="s">
        <v>48</v>
      </c>
      <c r="D124" s="10" t="s">
        <v>48</v>
      </c>
      <c r="E124" s="10" t="s">
        <v>48</v>
      </c>
      <c r="F124" s="10" t="s">
        <v>48</v>
      </c>
      <c r="G124" s="10" t="s">
        <v>48</v>
      </c>
      <c r="H124" s="10">
        <v>32</v>
      </c>
      <c r="I124" s="425" t="s">
        <v>1817</v>
      </c>
      <c r="J124" s="554" t="s">
        <v>2055</v>
      </c>
      <c r="K124" s="1604"/>
      <c r="L124" s="1513"/>
    </row>
    <row r="125" spans="1:12" ht="28.8">
      <c r="A125" s="1278" t="s">
        <v>2939</v>
      </c>
      <c r="B125" s="1279" t="s">
        <v>2940</v>
      </c>
      <c r="C125" s="10" t="s">
        <v>48</v>
      </c>
      <c r="D125" s="10" t="s">
        <v>48</v>
      </c>
      <c r="E125" s="10" t="s">
        <v>48</v>
      </c>
      <c r="F125" s="10" t="s">
        <v>48</v>
      </c>
      <c r="G125" s="10" t="s">
        <v>48</v>
      </c>
      <c r="H125" s="10">
        <v>8</v>
      </c>
      <c r="I125" s="10" t="s">
        <v>839</v>
      </c>
      <c r="J125" s="554" t="s">
        <v>2055</v>
      </c>
      <c r="K125" s="1604"/>
      <c r="L125" s="1513"/>
    </row>
    <row r="126" spans="1:12">
      <c r="A126" s="1278" t="s">
        <v>2941</v>
      </c>
      <c r="B126" s="1279" t="s">
        <v>2938</v>
      </c>
      <c r="C126" s="10" t="s">
        <v>48</v>
      </c>
      <c r="D126" s="10" t="s">
        <v>48</v>
      </c>
      <c r="E126" s="10" t="s">
        <v>48</v>
      </c>
      <c r="F126" s="10" t="s">
        <v>48</v>
      </c>
      <c r="G126" s="10" t="s">
        <v>48</v>
      </c>
      <c r="H126" s="10">
        <v>32</v>
      </c>
      <c r="I126" s="425" t="s">
        <v>1817</v>
      </c>
      <c r="J126" s="554" t="s">
        <v>2055</v>
      </c>
      <c r="K126" s="1604"/>
      <c r="L126" s="1513"/>
    </row>
    <row r="127" spans="1:12" ht="28.8">
      <c r="A127" s="1278" t="s">
        <v>2942</v>
      </c>
      <c r="B127" s="1279" t="s">
        <v>2943</v>
      </c>
      <c r="C127" s="10" t="s">
        <v>48</v>
      </c>
      <c r="D127" s="10" t="s">
        <v>48</v>
      </c>
      <c r="E127" s="10" t="s">
        <v>48</v>
      </c>
      <c r="F127" s="10" t="s">
        <v>48</v>
      </c>
      <c r="G127" s="10" t="s">
        <v>48</v>
      </c>
      <c r="H127" s="10">
        <v>8</v>
      </c>
      <c r="I127" s="10" t="s">
        <v>839</v>
      </c>
      <c r="J127" s="554" t="s">
        <v>2055</v>
      </c>
      <c r="K127" s="1604"/>
      <c r="L127" s="1513"/>
    </row>
    <row r="128" spans="1:12">
      <c r="A128" s="1278" t="s">
        <v>2944</v>
      </c>
      <c r="B128" s="1279" t="s">
        <v>2938</v>
      </c>
      <c r="C128" s="10" t="s">
        <v>48</v>
      </c>
      <c r="D128" s="10" t="s">
        <v>48</v>
      </c>
      <c r="E128" s="10" t="s">
        <v>48</v>
      </c>
      <c r="F128" s="10" t="s">
        <v>48</v>
      </c>
      <c r="G128" s="10" t="s">
        <v>48</v>
      </c>
      <c r="H128" s="10">
        <v>32</v>
      </c>
      <c r="I128" s="425" t="s">
        <v>1817</v>
      </c>
      <c r="J128" s="554" t="s">
        <v>2055</v>
      </c>
      <c r="K128" s="1604"/>
      <c r="L128" s="1513"/>
    </row>
    <row r="129" spans="1:12" ht="28.8">
      <c r="A129" s="1278" t="s">
        <v>2945</v>
      </c>
      <c r="B129" s="1279" t="s">
        <v>2946</v>
      </c>
      <c r="C129" s="10" t="s">
        <v>48</v>
      </c>
      <c r="D129" s="10" t="s">
        <v>48</v>
      </c>
      <c r="E129" s="10" t="s">
        <v>48</v>
      </c>
      <c r="F129" s="10" t="s">
        <v>48</v>
      </c>
      <c r="G129" s="10" t="s">
        <v>48</v>
      </c>
      <c r="H129" s="10">
        <v>8</v>
      </c>
      <c r="I129" s="10" t="s">
        <v>839</v>
      </c>
      <c r="J129" s="554" t="s">
        <v>2055</v>
      </c>
      <c r="K129" s="1604"/>
      <c r="L129" s="1513"/>
    </row>
    <row r="130" spans="1:12">
      <c r="A130" s="1278" t="s">
        <v>2947</v>
      </c>
      <c r="B130" s="1279" t="s">
        <v>2938</v>
      </c>
      <c r="C130" s="10" t="s">
        <v>48</v>
      </c>
      <c r="D130" s="10" t="s">
        <v>48</v>
      </c>
      <c r="E130" s="10" t="s">
        <v>48</v>
      </c>
      <c r="F130" s="10" t="s">
        <v>48</v>
      </c>
      <c r="G130" s="10" t="s">
        <v>48</v>
      </c>
      <c r="H130" s="10">
        <v>32</v>
      </c>
      <c r="I130" s="425" t="s">
        <v>1817</v>
      </c>
      <c r="J130" s="554" t="s">
        <v>2055</v>
      </c>
      <c r="K130" s="1604"/>
      <c r="L130" s="1513"/>
    </row>
    <row r="131" spans="1:12" ht="43.2">
      <c r="A131" s="1278" t="s">
        <v>2948</v>
      </c>
      <c r="B131" s="1279" t="s">
        <v>2949</v>
      </c>
      <c r="C131" s="10" t="s">
        <v>48</v>
      </c>
      <c r="D131" s="10" t="s">
        <v>48</v>
      </c>
      <c r="E131" s="10" t="s">
        <v>48</v>
      </c>
      <c r="F131" s="10" t="s">
        <v>48</v>
      </c>
      <c r="G131" s="10" t="s">
        <v>48</v>
      </c>
      <c r="H131" s="10">
        <v>8</v>
      </c>
      <c r="I131" s="10" t="s">
        <v>839</v>
      </c>
      <c r="J131" s="554" t="s">
        <v>2055</v>
      </c>
      <c r="K131" s="1604"/>
      <c r="L131" s="1513"/>
    </row>
    <row r="132" spans="1:12">
      <c r="A132" s="1278" t="s">
        <v>2950</v>
      </c>
      <c r="B132" s="1279" t="s">
        <v>2951</v>
      </c>
      <c r="C132" s="10" t="s">
        <v>48</v>
      </c>
      <c r="D132" s="10" t="s">
        <v>48</v>
      </c>
      <c r="E132" s="10" t="s">
        <v>48</v>
      </c>
      <c r="F132" s="10" t="s">
        <v>48</v>
      </c>
      <c r="G132" s="10" t="s">
        <v>48</v>
      </c>
      <c r="H132" s="10">
        <v>32</v>
      </c>
      <c r="I132" s="425" t="s">
        <v>2017</v>
      </c>
      <c r="J132" s="554" t="s">
        <v>2055</v>
      </c>
      <c r="K132" s="1604"/>
      <c r="L132" s="1513"/>
    </row>
    <row r="133" spans="1:12" ht="43.2">
      <c r="A133" s="1278" t="s">
        <v>2952</v>
      </c>
      <c r="B133" s="1279" t="s">
        <v>2953</v>
      </c>
      <c r="C133" s="10" t="s">
        <v>48</v>
      </c>
      <c r="D133" s="10" t="s">
        <v>48</v>
      </c>
      <c r="E133" s="10" t="s">
        <v>48</v>
      </c>
      <c r="F133" s="10" t="s">
        <v>48</v>
      </c>
      <c r="G133" s="10" t="s">
        <v>48</v>
      </c>
      <c r="H133" s="10">
        <v>8</v>
      </c>
      <c r="I133" s="10" t="s">
        <v>839</v>
      </c>
      <c r="J133" s="554" t="s">
        <v>2055</v>
      </c>
      <c r="K133" s="1604"/>
      <c r="L133" s="1513"/>
    </row>
    <row r="134" spans="1:12" ht="28.8">
      <c r="A134" s="1278" t="s">
        <v>2954</v>
      </c>
      <c r="B134" s="1279" t="s">
        <v>2955</v>
      </c>
      <c r="C134" s="10" t="s">
        <v>1035</v>
      </c>
      <c r="D134" s="10">
        <v>0</v>
      </c>
      <c r="E134" s="10" t="s">
        <v>920</v>
      </c>
      <c r="F134" s="9" t="s">
        <v>1774</v>
      </c>
      <c r="G134" s="10" t="s">
        <v>920</v>
      </c>
      <c r="H134" s="10">
        <v>32</v>
      </c>
      <c r="I134" s="10" t="s">
        <v>922</v>
      </c>
      <c r="J134" s="554" t="s">
        <v>2055</v>
      </c>
      <c r="K134" s="1604"/>
      <c r="L134" s="1513"/>
    </row>
    <row r="135" spans="1:12" ht="43.2">
      <c r="A135" s="1278" t="s">
        <v>2956</v>
      </c>
      <c r="B135" s="1279" t="s">
        <v>2957</v>
      </c>
      <c r="C135" s="10" t="s">
        <v>48</v>
      </c>
      <c r="D135" s="10" t="s">
        <v>48</v>
      </c>
      <c r="E135" s="10" t="s">
        <v>48</v>
      </c>
      <c r="F135" s="10" t="s">
        <v>48</v>
      </c>
      <c r="G135" s="10" t="s">
        <v>48</v>
      </c>
      <c r="H135" s="10">
        <v>8</v>
      </c>
      <c r="I135" s="10" t="s">
        <v>839</v>
      </c>
      <c r="J135" s="554" t="s">
        <v>2055</v>
      </c>
      <c r="K135" s="1604"/>
      <c r="L135" s="1513"/>
    </row>
    <row r="136" spans="1:12" ht="28.8">
      <c r="A136" s="1278" t="s">
        <v>2958</v>
      </c>
      <c r="B136" s="1279" t="s">
        <v>2959</v>
      </c>
      <c r="C136" s="10" t="s">
        <v>1035</v>
      </c>
      <c r="D136" s="10">
        <v>0</v>
      </c>
      <c r="E136" s="10" t="s">
        <v>920</v>
      </c>
      <c r="F136" s="9" t="s">
        <v>1957</v>
      </c>
      <c r="G136" s="10" t="s">
        <v>920</v>
      </c>
      <c r="H136" s="10">
        <v>32</v>
      </c>
      <c r="I136" s="10" t="s">
        <v>922</v>
      </c>
      <c r="J136" s="554" t="s">
        <v>2055</v>
      </c>
      <c r="K136" s="1604"/>
      <c r="L136" s="1513"/>
    </row>
    <row r="137" spans="1:12" ht="43.2">
      <c r="A137" s="1278" t="s">
        <v>2960</v>
      </c>
      <c r="B137" s="1279" t="s">
        <v>2961</v>
      </c>
      <c r="C137" s="10" t="s">
        <v>48</v>
      </c>
      <c r="D137" s="10" t="s">
        <v>48</v>
      </c>
      <c r="E137" s="10" t="s">
        <v>48</v>
      </c>
      <c r="F137" s="10" t="s">
        <v>48</v>
      </c>
      <c r="G137" s="10" t="s">
        <v>48</v>
      </c>
      <c r="H137" s="10">
        <v>8</v>
      </c>
      <c r="I137" s="10" t="s">
        <v>839</v>
      </c>
      <c r="J137" s="554" t="s">
        <v>2055</v>
      </c>
      <c r="K137" s="1604"/>
      <c r="L137" s="1513"/>
    </row>
    <row r="138" spans="1:12">
      <c r="A138" s="1278" t="s">
        <v>2962</v>
      </c>
      <c r="B138" s="1279" t="s">
        <v>2963</v>
      </c>
      <c r="C138" s="10" t="s">
        <v>48</v>
      </c>
      <c r="D138" s="10" t="s">
        <v>48</v>
      </c>
      <c r="E138" s="10" t="s">
        <v>48</v>
      </c>
      <c r="F138" s="10" t="s">
        <v>48</v>
      </c>
      <c r="G138" s="10" t="s">
        <v>48</v>
      </c>
      <c r="H138" s="10">
        <v>32</v>
      </c>
      <c r="I138" s="425" t="s">
        <v>1800</v>
      </c>
      <c r="J138" s="554" t="s">
        <v>2055</v>
      </c>
      <c r="K138" s="1604"/>
      <c r="L138" s="1513"/>
    </row>
    <row r="139" spans="1:12" ht="43.2">
      <c r="A139" s="1278" t="s">
        <v>2964</v>
      </c>
      <c r="B139" s="1279" t="s">
        <v>2965</v>
      </c>
      <c r="C139" s="10" t="s">
        <v>48</v>
      </c>
      <c r="D139" s="10" t="s">
        <v>48</v>
      </c>
      <c r="E139" s="10" t="s">
        <v>48</v>
      </c>
      <c r="F139" s="10" t="s">
        <v>48</v>
      </c>
      <c r="G139" s="10" t="s">
        <v>48</v>
      </c>
      <c r="H139" s="10">
        <v>8</v>
      </c>
      <c r="I139" s="10" t="s">
        <v>839</v>
      </c>
      <c r="J139" s="554" t="s">
        <v>2055</v>
      </c>
      <c r="K139" s="1604"/>
      <c r="L139" s="1513"/>
    </row>
    <row r="140" spans="1:12" ht="28.8">
      <c r="A140" s="1278" t="s">
        <v>2966</v>
      </c>
      <c r="B140" s="1279" t="s">
        <v>2967</v>
      </c>
      <c r="C140" s="10" t="s">
        <v>1066</v>
      </c>
      <c r="D140" s="10">
        <v>-1</v>
      </c>
      <c r="E140" s="10" t="s">
        <v>920</v>
      </c>
      <c r="F140" s="9" t="s">
        <v>2968</v>
      </c>
      <c r="G140" s="10" t="s">
        <v>920</v>
      </c>
      <c r="H140" s="10">
        <v>32</v>
      </c>
      <c r="I140" s="10" t="s">
        <v>922</v>
      </c>
      <c r="J140" s="554" t="s">
        <v>2055</v>
      </c>
      <c r="K140" s="1604"/>
      <c r="L140" s="1513"/>
    </row>
    <row r="141" spans="1:12" ht="28.8">
      <c r="A141" s="1278" t="s">
        <v>2969</v>
      </c>
      <c r="B141" s="1279" t="s">
        <v>2970</v>
      </c>
      <c r="C141" s="10" t="s">
        <v>48</v>
      </c>
      <c r="D141" s="10" t="s">
        <v>48</v>
      </c>
      <c r="E141" s="10" t="s">
        <v>48</v>
      </c>
      <c r="F141" s="10" t="s">
        <v>48</v>
      </c>
      <c r="G141" s="10" t="s">
        <v>48</v>
      </c>
      <c r="H141" s="10">
        <v>8</v>
      </c>
      <c r="I141" s="10" t="s">
        <v>839</v>
      </c>
      <c r="J141" s="554" t="s">
        <v>2055</v>
      </c>
      <c r="K141" s="1604"/>
      <c r="L141" s="1513"/>
    </row>
    <row r="142" spans="1:12" ht="28.8">
      <c r="A142" s="1278" t="s">
        <v>2971</v>
      </c>
      <c r="B142" s="1279" t="s">
        <v>2972</v>
      </c>
      <c r="C142" s="10" t="s">
        <v>2973</v>
      </c>
      <c r="D142" s="10">
        <v>-1000</v>
      </c>
      <c r="E142" s="10" t="s">
        <v>920</v>
      </c>
      <c r="F142" s="9" t="s">
        <v>2974</v>
      </c>
      <c r="G142" s="10" t="s">
        <v>920</v>
      </c>
      <c r="H142" s="10">
        <v>32</v>
      </c>
      <c r="I142" s="10" t="s">
        <v>922</v>
      </c>
      <c r="J142" s="554" t="s">
        <v>2055</v>
      </c>
      <c r="K142" s="1604"/>
      <c r="L142" s="1513"/>
    </row>
    <row r="143" spans="1:12" ht="43.2">
      <c r="A143" s="1278" t="s">
        <v>2975</v>
      </c>
      <c r="B143" s="1279" t="s">
        <v>2976</v>
      </c>
      <c r="C143" s="10" t="s">
        <v>48</v>
      </c>
      <c r="D143" s="10" t="s">
        <v>48</v>
      </c>
      <c r="E143" s="10" t="s">
        <v>48</v>
      </c>
      <c r="F143" s="10" t="s">
        <v>48</v>
      </c>
      <c r="G143" s="10" t="s">
        <v>48</v>
      </c>
      <c r="H143" s="10">
        <v>8</v>
      </c>
      <c r="I143" s="10" t="s">
        <v>839</v>
      </c>
      <c r="J143" s="554" t="s">
        <v>2055</v>
      </c>
      <c r="K143" s="1604"/>
      <c r="L143" s="1513"/>
    </row>
    <row r="144" spans="1:12">
      <c r="A144" s="1278" t="s">
        <v>2977</v>
      </c>
      <c r="B144" s="1279" t="s">
        <v>2978</v>
      </c>
      <c r="C144" s="10" t="s">
        <v>48</v>
      </c>
      <c r="D144" s="10" t="s">
        <v>48</v>
      </c>
      <c r="E144" s="10" t="s">
        <v>48</v>
      </c>
      <c r="F144" s="10" t="s">
        <v>48</v>
      </c>
      <c r="G144" s="10" t="s">
        <v>48</v>
      </c>
      <c r="H144" s="10">
        <v>32</v>
      </c>
      <c r="I144" s="425" t="s">
        <v>1800</v>
      </c>
      <c r="J144" s="554" t="s">
        <v>2055</v>
      </c>
      <c r="K144" s="1604"/>
      <c r="L144" s="1513"/>
    </row>
    <row r="145" spans="1:12" ht="43.2">
      <c r="A145" s="1278" t="s">
        <v>2979</v>
      </c>
      <c r="B145" s="1279" t="s">
        <v>2980</v>
      </c>
      <c r="C145" s="10" t="s">
        <v>48</v>
      </c>
      <c r="D145" s="10" t="s">
        <v>48</v>
      </c>
      <c r="E145" s="10" t="s">
        <v>48</v>
      </c>
      <c r="F145" s="10" t="s">
        <v>48</v>
      </c>
      <c r="G145" s="10" t="s">
        <v>48</v>
      </c>
      <c r="H145" s="10">
        <v>8</v>
      </c>
      <c r="I145" s="10" t="s">
        <v>839</v>
      </c>
      <c r="J145" s="554" t="s">
        <v>2055</v>
      </c>
      <c r="K145" s="1604"/>
      <c r="L145" s="1513"/>
    </row>
    <row r="146" spans="1:12">
      <c r="A146" s="1278" t="s">
        <v>2981</v>
      </c>
      <c r="B146" s="1279" t="s">
        <v>2978</v>
      </c>
      <c r="C146" s="10" t="s">
        <v>48</v>
      </c>
      <c r="D146" s="10" t="s">
        <v>48</v>
      </c>
      <c r="E146" s="10" t="s">
        <v>48</v>
      </c>
      <c r="F146" s="10" t="s">
        <v>48</v>
      </c>
      <c r="G146" s="10" t="s">
        <v>48</v>
      </c>
      <c r="H146" s="10">
        <v>32</v>
      </c>
      <c r="I146" s="425" t="s">
        <v>1800</v>
      </c>
      <c r="J146" s="554" t="s">
        <v>2055</v>
      </c>
      <c r="K146" s="1604"/>
      <c r="L146" s="1513"/>
    </row>
    <row r="147" spans="1:12" ht="43.2">
      <c r="A147" s="1278" t="s">
        <v>2982</v>
      </c>
      <c r="B147" s="1279" t="s">
        <v>2983</v>
      </c>
      <c r="C147" s="10" t="s">
        <v>48</v>
      </c>
      <c r="D147" s="10" t="s">
        <v>48</v>
      </c>
      <c r="E147" s="10" t="s">
        <v>48</v>
      </c>
      <c r="F147" s="10" t="s">
        <v>48</v>
      </c>
      <c r="G147" s="10" t="s">
        <v>48</v>
      </c>
      <c r="H147" s="10">
        <v>8</v>
      </c>
      <c r="I147" s="10" t="s">
        <v>839</v>
      </c>
      <c r="J147" s="554" t="s">
        <v>2055</v>
      </c>
      <c r="K147" s="1604"/>
      <c r="L147" s="1513"/>
    </row>
    <row r="148" spans="1:12">
      <c r="A148" s="1278" t="s">
        <v>2984</v>
      </c>
      <c r="B148" s="1279" t="s">
        <v>2978</v>
      </c>
      <c r="C148" s="10" t="s">
        <v>48</v>
      </c>
      <c r="D148" s="10" t="s">
        <v>48</v>
      </c>
      <c r="E148" s="10" t="s">
        <v>48</v>
      </c>
      <c r="F148" s="10" t="s">
        <v>48</v>
      </c>
      <c r="G148" s="10" t="s">
        <v>48</v>
      </c>
      <c r="H148" s="10">
        <v>32</v>
      </c>
      <c r="I148" s="425" t="s">
        <v>1800</v>
      </c>
      <c r="J148" s="554" t="s">
        <v>2055</v>
      </c>
      <c r="K148" s="1604"/>
      <c r="L148" s="1513"/>
    </row>
    <row r="149" spans="1:12" ht="43.2">
      <c r="A149" s="1278" t="s">
        <v>2985</v>
      </c>
      <c r="B149" s="1279" t="s">
        <v>2986</v>
      </c>
      <c r="C149" s="10" t="s">
        <v>48</v>
      </c>
      <c r="D149" s="10" t="s">
        <v>48</v>
      </c>
      <c r="E149" s="10" t="s">
        <v>48</v>
      </c>
      <c r="F149" s="10" t="s">
        <v>48</v>
      </c>
      <c r="G149" s="10" t="s">
        <v>48</v>
      </c>
      <c r="H149" s="10">
        <v>8</v>
      </c>
      <c r="I149" s="10" t="s">
        <v>839</v>
      </c>
      <c r="J149" s="554" t="s">
        <v>2055</v>
      </c>
      <c r="K149" s="1604"/>
      <c r="L149" s="1513"/>
    </row>
    <row r="150" spans="1:12">
      <c r="A150" s="1278" t="s">
        <v>2987</v>
      </c>
      <c r="B150" s="1279" t="s">
        <v>2978</v>
      </c>
      <c r="C150" s="10" t="s">
        <v>48</v>
      </c>
      <c r="D150" s="10" t="s">
        <v>48</v>
      </c>
      <c r="E150" s="10" t="s">
        <v>48</v>
      </c>
      <c r="F150" s="10" t="s">
        <v>48</v>
      </c>
      <c r="G150" s="10" t="s">
        <v>48</v>
      </c>
      <c r="H150" s="10">
        <v>32</v>
      </c>
      <c r="I150" s="425" t="s">
        <v>1800</v>
      </c>
      <c r="J150" s="554" t="s">
        <v>2055</v>
      </c>
      <c r="K150" s="1604"/>
      <c r="L150" s="1513"/>
    </row>
    <row r="151" spans="1:12" ht="43.2">
      <c r="A151" s="1278" t="s">
        <v>2988</v>
      </c>
      <c r="B151" s="1279" t="s">
        <v>2989</v>
      </c>
      <c r="C151" s="10" t="s">
        <v>48</v>
      </c>
      <c r="D151" s="10" t="s">
        <v>48</v>
      </c>
      <c r="E151" s="10" t="s">
        <v>48</v>
      </c>
      <c r="F151" s="10" t="s">
        <v>48</v>
      </c>
      <c r="G151" s="10" t="s">
        <v>48</v>
      </c>
      <c r="H151" s="10">
        <v>8</v>
      </c>
      <c r="I151" s="10" t="s">
        <v>839</v>
      </c>
      <c r="J151" s="554" t="s">
        <v>2055</v>
      </c>
      <c r="K151" s="1604"/>
      <c r="L151" s="1513"/>
    </row>
    <row r="152" spans="1:12">
      <c r="A152" s="1278" t="s">
        <v>2990</v>
      </c>
      <c r="B152" s="1279" t="s">
        <v>2978</v>
      </c>
      <c r="C152" s="10" t="s">
        <v>48</v>
      </c>
      <c r="D152" s="10" t="s">
        <v>48</v>
      </c>
      <c r="E152" s="10" t="s">
        <v>48</v>
      </c>
      <c r="F152" s="10" t="s">
        <v>48</v>
      </c>
      <c r="G152" s="10" t="s">
        <v>48</v>
      </c>
      <c r="H152" s="10">
        <v>32</v>
      </c>
      <c r="I152" s="425" t="s">
        <v>1800</v>
      </c>
      <c r="J152" s="554" t="s">
        <v>2055</v>
      </c>
      <c r="K152" s="1604"/>
      <c r="L152" s="1513"/>
    </row>
    <row r="153" spans="1:12" ht="43.2">
      <c r="A153" s="1278" t="s">
        <v>2991</v>
      </c>
      <c r="B153" s="1279" t="s">
        <v>2992</v>
      </c>
      <c r="C153" s="10" t="s">
        <v>48</v>
      </c>
      <c r="D153" s="10" t="s">
        <v>48</v>
      </c>
      <c r="E153" s="10" t="s">
        <v>48</v>
      </c>
      <c r="F153" s="10" t="s">
        <v>48</v>
      </c>
      <c r="G153" s="10" t="s">
        <v>48</v>
      </c>
      <c r="H153" s="10">
        <v>8</v>
      </c>
      <c r="I153" s="10" t="s">
        <v>839</v>
      </c>
      <c r="J153" s="554" t="s">
        <v>2055</v>
      </c>
      <c r="K153" s="1604"/>
      <c r="L153" s="1513"/>
    </row>
    <row r="154" spans="1:12">
      <c r="A154" s="1278" t="s">
        <v>2993</v>
      </c>
      <c r="B154" s="1279" t="s">
        <v>2978</v>
      </c>
      <c r="C154" s="10" t="s">
        <v>48</v>
      </c>
      <c r="D154" s="10" t="s">
        <v>48</v>
      </c>
      <c r="E154" s="10" t="s">
        <v>48</v>
      </c>
      <c r="F154" s="10" t="s">
        <v>48</v>
      </c>
      <c r="G154" s="10" t="s">
        <v>48</v>
      </c>
      <c r="H154" s="10">
        <v>32</v>
      </c>
      <c r="I154" s="425" t="s">
        <v>1800</v>
      </c>
      <c r="J154" s="554" t="s">
        <v>2055</v>
      </c>
      <c r="K154" s="1604"/>
      <c r="L154" s="1513"/>
    </row>
    <row r="155" spans="1:12" ht="43.2">
      <c r="A155" s="1278" t="s">
        <v>2994</v>
      </c>
      <c r="B155" s="1279" t="s">
        <v>2995</v>
      </c>
      <c r="C155" s="10" t="s">
        <v>48</v>
      </c>
      <c r="D155" s="10" t="s">
        <v>48</v>
      </c>
      <c r="E155" s="10" t="s">
        <v>48</v>
      </c>
      <c r="F155" s="10" t="s">
        <v>48</v>
      </c>
      <c r="G155" s="10" t="s">
        <v>48</v>
      </c>
      <c r="H155" s="10">
        <v>8</v>
      </c>
      <c r="I155" s="10" t="s">
        <v>839</v>
      </c>
      <c r="J155" s="554" t="s">
        <v>2055</v>
      </c>
      <c r="K155" s="1604"/>
      <c r="L155" s="1513"/>
    </row>
    <row r="156" spans="1:12" ht="28.8">
      <c r="A156" s="1278" t="s">
        <v>2996</v>
      </c>
      <c r="B156" s="1279" t="s">
        <v>2997</v>
      </c>
      <c r="C156" s="10" t="s">
        <v>48</v>
      </c>
      <c r="D156" s="10" t="s">
        <v>48</v>
      </c>
      <c r="E156" s="10" t="s">
        <v>48</v>
      </c>
      <c r="F156" s="10" t="s">
        <v>48</v>
      </c>
      <c r="G156" s="10" t="s">
        <v>48</v>
      </c>
      <c r="H156" s="10">
        <v>32</v>
      </c>
      <c r="I156" s="425" t="s">
        <v>1800</v>
      </c>
      <c r="J156" s="554" t="s">
        <v>2055</v>
      </c>
      <c r="K156" s="1604"/>
      <c r="L156" s="1513"/>
    </row>
    <row r="157" spans="1:12" ht="43.2">
      <c r="A157" s="1278" t="s">
        <v>2998</v>
      </c>
      <c r="B157" s="1279" t="s">
        <v>2999</v>
      </c>
      <c r="C157" s="10" t="s">
        <v>48</v>
      </c>
      <c r="D157" s="10" t="s">
        <v>48</v>
      </c>
      <c r="E157" s="10" t="s">
        <v>48</v>
      </c>
      <c r="F157" s="10" t="s">
        <v>48</v>
      </c>
      <c r="G157" s="10" t="s">
        <v>48</v>
      </c>
      <c r="H157" s="10">
        <v>8</v>
      </c>
      <c r="I157" s="10" t="s">
        <v>839</v>
      </c>
      <c r="J157" s="554" t="s">
        <v>2055</v>
      </c>
      <c r="K157" s="1604"/>
      <c r="L157" s="1513"/>
    </row>
    <row r="158" spans="1:12" ht="28.8">
      <c r="A158" s="1278" t="s">
        <v>3000</v>
      </c>
      <c r="B158" s="1279" t="s">
        <v>2997</v>
      </c>
      <c r="C158" s="10" t="s">
        <v>48</v>
      </c>
      <c r="D158" s="10" t="s">
        <v>48</v>
      </c>
      <c r="E158" s="10" t="s">
        <v>48</v>
      </c>
      <c r="F158" s="10" t="s">
        <v>48</v>
      </c>
      <c r="G158" s="10" t="s">
        <v>48</v>
      </c>
      <c r="H158" s="10">
        <v>32</v>
      </c>
      <c r="I158" s="425" t="s">
        <v>1800</v>
      </c>
      <c r="J158" s="554" t="s">
        <v>2055</v>
      </c>
      <c r="K158" s="1604"/>
      <c r="L158" s="1513"/>
    </row>
    <row r="159" spans="1:12" ht="43.2">
      <c r="A159" s="1278" t="s">
        <v>3001</v>
      </c>
      <c r="B159" s="1279" t="s">
        <v>3002</v>
      </c>
      <c r="C159" s="10" t="s">
        <v>48</v>
      </c>
      <c r="D159" s="10" t="s">
        <v>48</v>
      </c>
      <c r="E159" s="10" t="s">
        <v>48</v>
      </c>
      <c r="F159" s="10" t="s">
        <v>48</v>
      </c>
      <c r="G159" s="10" t="s">
        <v>48</v>
      </c>
      <c r="H159" s="10">
        <v>8</v>
      </c>
      <c r="I159" s="10" t="s">
        <v>839</v>
      </c>
      <c r="J159" s="554" t="s">
        <v>2055</v>
      </c>
      <c r="K159" s="1604"/>
      <c r="L159" s="1513"/>
    </row>
    <row r="160" spans="1:12" ht="28.8">
      <c r="A160" s="1278" t="s">
        <v>3003</v>
      </c>
      <c r="B160" s="1279" t="s">
        <v>2997</v>
      </c>
      <c r="C160" s="10" t="s">
        <v>48</v>
      </c>
      <c r="D160" s="10" t="s">
        <v>48</v>
      </c>
      <c r="E160" s="10" t="s">
        <v>48</v>
      </c>
      <c r="F160" s="10" t="s">
        <v>48</v>
      </c>
      <c r="G160" s="10" t="s">
        <v>48</v>
      </c>
      <c r="H160" s="10">
        <v>32</v>
      </c>
      <c r="I160" s="425" t="s">
        <v>1800</v>
      </c>
      <c r="J160" s="554" t="s">
        <v>2055</v>
      </c>
      <c r="K160" s="1604"/>
      <c r="L160" s="1513"/>
    </row>
    <row r="161" spans="1:12" ht="43.2">
      <c r="A161" s="1278" t="s">
        <v>3004</v>
      </c>
      <c r="B161" s="1279" t="s">
        <v>3005</v>
      </c>
      <c r="C161" s="10" t="s">
        <v>48</v>
      </c>
      <c r="D161" s="10" t="s">
        <v>48</v>
      </c>
      <c r="E161" s="10" t="s">
        <v>48</v>
      </c>
      <c r="F161" s="10" t="s">
        <v>48</v>
      </c>
      <c r="G161" s="10" t="s">
        <v>48</v>
      </c>
      <c r="H161" s="10">
        <v>8</v>
      </c>
      <c r="I161" s="10" t="s">
        <v>839</v>
      </c>
      <c r="J161" s="554" t="s">
        <v>2055</v>
      </c>
      <c r="K161" s="1604"/>
      <c r="L161" s="1513"/>
    </row>
    <row r="162" spans="1:12" ht="28.8">
      <c r="A162" s="1278" t="s">
        <v>3006</v>
      </c>
      <c r="B162" s="1279" t="s">
        <v>2997</v>
      </c>
      <c r="C162" s="10" t="s">
        <v>48</v>
      </c>
      <c r="D162" s="10" t="s">
        <v>48</v>
      </c>
      <c r="E162" s="10" t="s">
        <v>48</v>
      </c>
      <c r="F162" s="10" t="s">
        <v>48</v>
      </c>
      <c r="G162" s="10" t="s">
        <v>48</v>
      </c>
      <c r="H162" s="10">
        <v>32</v>
      </c>
      <c r="I162" s="425" t="s">
        <v>1800</v>
      </c>
      <c r="J162" s="554" t="s">
        <v>2055</v>
      </c>
      <c r="K162" s="1604"/>
      <c r="L162" s="1513"/>
    </row>
    <row r="163" spans="1:12" ht="43.2">
      <c r="A163" s="1278" t="s">
        <v>3007</v>
      </c>
      <c r="B163" s="1279" t="s">
        <v>3008</v>
      </c>
      <c r="C163" s="10" t="s">
        <v>48</v>
      </c>
      <c r="D163" s="10" t="s">
        <v>48</v>
      </c>
      <c r="E163" s="10" t="s">
        <v>48</v>
      </c>
      <c r="F163" s="10" t="s">
        <v>48</v>
      </c>
      <c r="G163" s="10" t="s">
        <v>48</v>
      </c>
      <c r="H163" s="10">
        <v>8</v>
      </c>
      <c r="I163" s="10" t="s">
        <v>839</v>
      </c>
      <c r="J163" s="554" t="s">
        <v>2055</v>
      </c>
      <c r="K163" s="1604"/>
      <c r="L163" s="1513"/>
    </row>
    <row r="164" spans="1:12" ht="28.8">
      <c r="A164" s="1278" t="s">
        <v>3009</v>
      </c>
      <c r="B164" s="1279" t="s">
        <v>2997</v>
      </c>
      <c r="C164" s="10" t="s">
        <v>48</v>
      </c>
      <c r="D164" s="10" t="s">
        <v>48</v>
      </c>
      <c r="E164" s="10" t="s">
        <v>48</v>
      </c>
      <c r="F164" s="10" t="s">
        <v>48</v>
      </c>
      <c r="G164" s="10" t="s">
        <v>48</v>
      </c>
      <c r="H164" s="10">
        <v>32</v>
      </c>
      <c r="I164" s="425" t="s">
        <v>1800</v>
      </c>
      <c r="J164" s="554" t="s">
        <v>2055</v>
      </c>
      <c r="K164" s="1604"/>
      <c r="L164" s="1513"/>
    </row>
    <row r="165" spans="1:12" ht="43.2">
      <c r="A165" s="1278" t="s">
        <v>3010</v>
      </c>
      <c r="B165" s="1279" t="s">
        <v>3011</v>
      </c>
      <c r="C165" s="10" t="s">
        <v>48</v>
      </c>
      <c r="D165" s="10" t="s">
        <v>48</v>
      </c>
      <c r="E165" s="10" t="s">
        <v>48</v>
      </c>
      <c r="F165" s="10" t="s">
        <v>48</v>
      </c>
      <c r="G165" s="10" t="s">
        <v>48</v>
      </c>
      <c r="H165" s="10">
        <v>8</v>
      </c>
      <c r="I165" s="10" t="s">
        <v>839</v>
      </c>
      <c r="J165" s="554" t="s">
        <v>2055</v>
      </c>
      <c r="K165" s="1604"/>
      <c r="L165" s="1513"/>
    </row>
    <row r="166" spans="1:12" ht="28.8">
      <c r="A166" s="1278" t="s">
        <v>3012</v>
      </c>
      <c r="B166" s="1279" t="s">
        <v>2997</v>
      </c>
      <c r="C166" s="10" t="s">
        <v>48</v>
      </c>
      <c r="D166" s="10" t="s">
        <v>48</v>
      </c>
      <c r="E166" s="10" t="s">
        <v>48</v>
      </c>
      <c r="F166" s="10" t="s">
        <v>48</v>
      </c>
      <c r="G166" s="10" t="s">
        <v>48</v>
      </c>
      <c r="H166" s="10">
        <v>32</v>
      </c>
      <c r="I166" s="425" t="s">
        <v>1800</v>
      </c>
      <c r="J166" s="554" t="s">
        <v>2055</v>
      </c>
      <c r="K166" s="1604"/>
      <c r="L166" s="1513"/>
    </row>
    <row r="167" spans="1:12" ht="43.2">
      <c r="A167" s="1278" t="s">
        <v>3013</v>
      </c>
      <c r="B167" s="1279" t="s">
        <v>3014</v>
      </c>
      <c r="C167" s="10" t="s">
        <v>48</v>
      </c>
      <c r="D167" s="10" t="s">
        <v>48</v>
      </c>
      <c r="E167" s="10" t="s">
        <v>48</v>
      </c>
      <c r="F167" s="10" t="s">
        <v>48</v>
      </c>
      <c r="G167" s="10" t="s">
        <v>48</v>
      </c>
      <c r="H167" s="10">
        <v>8</v>
      </c>
      <c r="I167" s="10" t="s">
        <v>839</v>
      </c>
      <c r="J167" s="554" t="s">
        <v>2055</v>
      </c>
      <c r="K167" s="1604"/>
      <c r="L167" s="1513"/>
    </row>
    <row r="168" spans="1:12" ht="28.8">
      <c r="A168" s="1278" t="s">
        <v>3015</v>
      </c>
      <c r="B168" s="1279" t="s">
        <v>3016</v>
      </c>
      <c r="C168" s="10" t="s">
        <v>48</v>
      </c>
      <c r="D168" s="10" t="s">
        <v>48</v>
      </c>
      <c r="E168" s="10" t="s">
        <v>48</v>
      </c>
      <c r="F168" s="10" t="s">
        <v>48</v>
      </c>
      <c r="G168" s="10" t="s">
        <v>48</v>
      </c>
      <c r="H168" s="10">
        <v>32</v>
      </c>
      <c r="I168" s="425" t="s">
        <v>1800</v>
      </c>
      <c r="J168" s="554" t="s">
        <v>2055</v>
      </c>
      <c r="K168" s="1604"/>
      <c r="L168" s="1513"/>
    </row>
    <row r="169" spans="1:12" ht="43.2">
      <c r="A169" s="1278" t="s">
        <v>3017</v>
      </c>
      <c r="B169" s="1279" t="s">
        <v>3018</v>
      </c>
      <c r="C169" s="10" t="s">
        <v>48</v>
      </c>
      <c r="D169" s="10" t="s">
        <v>48</v>
      </c>
      <c r="E169" s="10" t="s">
        <v>48</v>
      </c>
      <c r="F169" s="10" t="s">
        <v>48</v>
      </c>
      <c r="G169" s="10" t="s">
        <v>48</v>
      </c>
      <c r="H169" s="10">
        <v>8</v>
      </c>
      <c r="I169" s="10" t="s">
        <v>839</v>
      </c>
      <c r="J169" s="554" t="s">
        <v>2055</v>
      </c>
      <c r="K169" s="1604"/>
      <c r="L169" s="1513"/>
    </row>
    <row r="170" spans="1:12" ht="28.8">
      <c r="A170" s="1278" t="s">
        <v>3019</v>
      </c>
      <c r="B170" s="1279" t="s">
        <v>3016</v>
      </c>
      <c r="C170" s="10" t="s">
        <v>48</v>
      </c>
      <c r="D170" s="10" t="s">
        <v>48</v>
      </c>
      <c r="E170" s="10" t="s">
        <v>48</v>
      </c>
      <c r="F170" s="10" t="s">
        <v>48</v>
      </c>
      <c r="G170" s="10" t="s">
        <v>48</v>
      </c>
      <c r="H170" s="10">
        <v>32</v>
      </c>
      <c r="I170" s="425" t="s">
        <v>1800</v>
      </c>
      <c r="J170" s="554" t="s">
        <v>2055</v>
      </c>
      <c r="K170" s="1604"/>
      <c r="L170" s="1513"/>
    </row>
    <row r="171" spans="1:12" ht="43.2">
      <c r="A171" s="1278" t="s">
        <v>3020</v>
      </c>
      <c r="B171" s="1279" t="s">
        <v>3021</v>
      </c>
      <c r="C171" s="10" t="s">
        <v>48</v>
      </c>
      <c r="D171" s="10" t="s">
        <v>48</v>
      </c>
      <c r="E171" s="10" t="s">
        <v>48</v>
      </c>
      <c r="F171" s="10" t="s">
        <v>48</v>
      </c>
      <c r="G171" s="10" t="s">
        <v>48</v>
      </c>
      <c r="H171" s="10">
        <v>8</v>
      </c>
      <c r="I171" s="10" t="s">
        <v>839</v>
      </c>
      <c r="J171" s="554" t="s">
        <v>2055</v>
      </c>
      <c r="K171" s="1604"/>
      <c r="L171" s="1513"/>
    </row>
    <row r="172" spans="1:12" ht="28.8">
      <c r="A172" s="1278" t="s">
        <v>3022</v>
      </c>
      <c r="B172" s="1279" t="s">
        <v>3016</v>
      </c>
      <c r="C172" s="10" t="s">
        <v>48</v>
      </c>
      <c r="D172" s="10" t="s">
        <v>48</v>
      </c>
      <c r="E172" s="10" t="s">
        <v>48</v>
      </c>
      <c r="F172" s="10" t="s">
        <v>48</v>
      </c>
      <c r="G172" s="10" t="s">
        <v>48</v>
      </c>
      <c r="H172" s="10">
        <v>32</v>
      </c>
      <c r="I172" s="425" t="s">
        <v>1800</v>
      </c>
      <c r="J172" s="554" t="s">
        <v>2055</v>
      </c>
      <c r="K172" s="1604"/>
      <c r="L172" s="1513"/>
    </row>
    <row r="173" spans="1:12" ht="43.2">
      <c r="A173" s="1278" t="s">
        <v>3023</v>
      </c>
      <c r="B173" s="1279" t="s">
        <v>3024</v>
      </c>
      <c r="C173" s="10" t="s">
        <v>48</v>
      </c>
      <c r="D173" s="10" t="s">
        <v>48</v>
      </c>
      <c r="E173" s="10" t="s">
        <v>48</v>
      </c>
      <c r="F173" s="10" t="s">
        <v>48</v>
      </c>
      <c r="G173" s="10" t="s">
        <v>48</v>
      </c>
      <c r="H173" s="10">
        <v>8</v>
      </c>
      <c r="I173" s="10" t="s">
        <v>839</v>
      </c>
      <c r="J173" s="554" t="s">
        <v>2055</v>
      </c>
      <c r="K173" s="1604"/>
      <c r="L173" s="1513"/>
    </row>
    <row r="174" spans="1:12" ht="28.8">
      <c r="A174" s="1278" t="s">
        <v>3025</v>
      </c>
      <c r="B174" s="1279" t="s">
        <v>3016</v>
      </c>
      <c r="C174" s="10" t="s">
        <v>48</v>
      </c>
      <c r="D174" s="10" t="s">
        <v>48</v>
      </c>
      <c r="E174" s="10" t="s">
        <v>48</v>
      </c>
      <c r="F174" s="10" t="s">
        <v>48</v>
      </c>
      <c r="G174" s="10" t="s">
        <v>48</v>
      </c>
      <c r="H174" s="10">
        <v>32</v>
      </c>
      <c r="I174" s="425" t="s">
        <v>1800</v>
      </c>
      <c r="J174" s="554" t="s">
        <v>2055</v>
      </c>
      <c r="K174" s="1604"/>
      <c r="L174" s="1513"/>
    </row>
    <row r="175" spans="1:12" ht="43.2">
      <c r="A175" s="1278" t="s">
        <v>3026</v>
      </c>
      <c r="B175" s="1279" t="s">
        <v>3027</v>
      </c>
      <c r="C175" s="10" t="s">
        <v>48</v>
      </c>
      <c r="D175" s="10" t="s">
        <v>48</v>
      </c>
      <c r="E175" s="10" t="s">
        <v>48</v>
      </c>
      <c r="F175" s="10" t="s">
        <v>48</v>
      </c>
      <c r="G175" s="10" t="s">
        <v>48</v>
      </c>
      <c r="H175" s="10">
        <v>8</v>
      </c>
      <c r="I175" s="10" t="s">
        <v>839</v>
      </c>
      <c r="J175" s="554" t="s">
        <v>2055</v>
      </c>
      <c r="K175" s="1604"/>
      <c r="L175" s="1513"/>
    </row>
    <row r="176" spans="1:12" ht="28.8">
      <c r="A176" s="1278" t="s">
        <v>3028</v>
      </c>
      <c r="B176" s="1279" t="s">
        <v>3016</v>
      </c>
      <c r="C176" s="10" t="s">
        <v>48</v>
      </c>
      <c r="D176" s="10" t="s">
        <v>48</v>
      </c>
      <c r="E176" s="10" t="s">
        <v>48</v>
      </c>
      <c r="F176" s="10" t="s">
        <v>48</v>
      </c>
      <c r="G176" s="10" t="s">
        <v>48</v>
      </c>
      <c r="H176" s="10">
        <v>32</v>
      </c>
      <c r="I176" s="425" t="s">
        <v>1800</v>
      </c>
      <c r="J176" s="554" t="s">
        <v>2055</v>
      </c>
      <c r="K176" s="1604"/>
      <c r="L176" s="1513"/>
    </row>
    <row r="177" spans="1:12" ht="43.2">
      <c r="A177" s="1278" t="s">
        <v>3029</v>
      </c>
      <c r="B177" s="1279" t="s">
        <v>3030</v>
      </c>
      <c r="C177" s="10" t="s">
        <v>48</v>
      </c>
      <c r="D177" s="10" t="s">
        <v>48</v>
      </c>
      <c r="E177" s="10" t="s">
        <v>48</v>
      </c>
      <c r="F177" s="10" t="s">
        <v>48</v>
      </c>
      <c r="G177" s="10" t="s">
        <v>48</v>
      </c>
      <c r="H177" s="10">
        <v>8</v>
      </c>
      <c r="I177" s="10" t="s">
        <v>839</v>
      </c>
      <c r="J177" s="554" t="s">
        <v>2055</v>
      </c>
      <c r="K177" s="1604"/>
      <c r="L177" s="1513"/>
    </row>
    <row r="178" spans="1:12" ht="28.8">
      <c r="A178" s="1278" t="s">
        <v>3031</v>
      </c>
      <c r="B178" s="1279" t="s">
        <v>3016</v>
      </c>
      <c r="C178" s="10" t="s">
        <v>48</v>
      </c>
      <c r="D178" s="10" t="s">
        <v>48</v>
      </c>
      <c r="E178" s="10" t="s">
        <v>48</v>
      </c>
      <c r="F178" s="10" t="s">
        <v>48</v>
      </c>
      <c r="G178" s="10" t="s">
        <v>48</v>
      </c>
      <c r="H178" s="10">
        <v>32</v>
      </c>
      <c r="I178" s="425" t="s">
        <v>1800</v>
      </c>
      <c r="J178" s="554" t="s">
        <v>2055</v>
      </c>
      <c r="K178" s="1604"/>
      <c r="L178" s="1513"/>
    </row>
    <row r="179" spans="1:12" ht="43.2">
      <c r="A179" s="1278" t="s">
        <v>3032</v>
      </c>
      <c r="B179" s="1279" t="s">
        <v>3033</v>
      </c>
      <c r="C179" s="10" t="s">
        <v>48</v>
      </c>
      <c r="D179" s="10" t="s">
        <v>48</v>
      </c>
      <c r="E179" s="10" t="s">
        <v>48</v>
      </c>
      <c r="F179" s="10" t="s">
        <v>48</v>
      </c>
      <c r="G179" s="10" t="s">
        <v>48</v>
      </c>
      <c r="H179" s="10">
        <v>8</v>
      </c>
      <c r="I179" s="10" t="s">
        <v>839</v>
      </c>
      <c r="J179" s="554" t="s">
        <v>2055</v>
      </c>
      <c r="K179" s="1604"/>
      <c r="L179" s="1513"/>
    </row>
    <row r="180" spans="1:12" ht="28.8">
      <c r="A180" s="1278" t="s">
        <v>3034</v>
      </c>
      <c r="B180" s="1279" t="s">
        <v>3035</v>
      </c>
      <c r="C180" s="10" t="s">
        <v>48</v>
      </c>
      <c r="D180" s="10" t="s">
        <v>48</v>
      </c>
      <c r="E180" s="10" t="s">
        <v>48</v>
      </c>
      <c r="F180" s="10" t="s">
        <v>48</v>
      </c>
      <c r="G180" s="10" t="s">
        <v>48</v>
      </c>
      <c r="H180" s="10">
        <v>32</v>
      </c>
      <c r="I180" s="425" t="s">
        <v>1800</v>
      </c>
      <c r="J180" s="554" t="s">
        <v>2055</v>
      </c>
      <c r="K180" s="1604"/>
      <c r="L180" s="1513"/>
    </row>
    <row r="181" spans="1:12" ht="43.2">
      <c r="A181" s="1278" t="s">
        <v>3036</v>
      </c>
      <c r="B181" s="1279" t="s">
        <v>3037</v>
      </c>
      <c r="C181" s="10" t="s">
        <v>48</v>
      </c>
      <c r="D181" s="10" t="s">
        <v>48</v>
      </c>
      <c r="E181" s="10" t="s">
        <v>48</v>
      </c>
      <c r="F181" s="10" t="s">
        <v>48</v>
      </c>
      <c r="G181" s="10" t="s">
        <v>48</v>
      </c>
      <c r="H181" s="10">
        <v>8</v>
      </c>
      <c r="I181" s="10" t="s">
        <v>839</v>
      </c>
      <c r="J181" s="554" t="s">
        <v>2055</v>
      </c>
      <c r="K181" s="1604"/>
      <c r="L181" s="1513"/>
    </row>
    <row r="182" spans="1:12" ht="28.8">
      <c r="A182" s="1278" t="s">
        <v>3038</v>
      </c>
      <c r="B182" s="1279" t="s">
        <v>3035</v>
      </c>
      <c r="C182" s="10" t="s">
        <v>48</v>
      </c>
      <c r="D182" s="10" t="s">
        <v>48</v>
      </c>
      <c r="E182" s="10" t="s">
        <v>48</v>
      </c>
      <c r="F182" s="10" t="s">
        <v>48</v>
      </c>
      <c r="G182" s="10" t="s">
        <v>48</v>
      </c>
      <c r="H182" s="10">
        <v>32</v>
      </c>
      <c r="I182" s="425" t="s">
        <v>1800</v>
      </c>
      <c r="J182" s="554" t="s">
        <v>2055</v>
      </c>
      <c r="K182" s="1604"/>
      <c r="L182" s="1513"/>
    </row>
    <row r="183" spans="1:12" ht="43.2">
      <c r="A183" s="1278" t="s">
        <v>3039</v>
      </c>
      <c r="B183" s="1279" t="s">
        <v>3040</v>
      </c>
      <c r="C183" s="10" t="s">
        <v>48</v>
      </c>
      <c r="D183" s="10" t="s">
        <v>48</v>
      </c>
      <c r="E183" s="10" t="s">
        <v>48</v>
      </c>
      <c r="F183" s="10" t="s">
        <v>48</v>
      </c>
      <c r="G183" s="10" t="s">
        <v>48</v>
      </c>
      <c r="H183" s="10">
        <v>8</v>
      </c>
      <c r="I183" s="10" t="s">
        <v>839</v>
      </c>
      <c r="J183" s="554" t="s">
        <v>2055</v>
      </c>
      <c r="K183" s="1604"/>
      <c r="L183" s="1513"/>
    </row>
    <row r="184" spans="1:12" ht="28.8">
      <c r="A184" s="1278" t="s">
        <v>3041</v>
      </c>
      <c r="B184" s="1279" t="s">
        <v>3035</v>
      </c>
      <c r="C184" s="10" t="s">
        <v>48</v>
      </c>
      <c r="D184" s="10" t="s">
        <v>48</v>
      </c>
      <c r="E184" s="10" t="s">
        <v>48</v>
      </c>
      <c r="F184" s="10" t="s">
        <v>48</v>
      </c>
      <c r="G184" s="10" t="s">
        <v>48</v>
      </c>
      <c r="H184" s="10">
        <v>32</v>
      </c>
      <c r="I184" s="425" t="s">
        <v>1800</v>
      </c>
      <c r="J184" s="554" t="s">
        <v>2055</v>
      </c>
      <c r="K184" s="1604"/>
      <c r="L184" s="1513"/>
    </row>
    <row r="185" spans="1:12" ht="43.2">
      <c r="A185" s="1278" t="s">
        <v>3042</v>
      </c>
      <c r="B185" s="1279" t="s">
        <v>3043</v>
      </c>
      <c r="C185" s="10" t="s">
        <v>48</v>
      </c>
      <c r="D185" s="10" t="s">
        <v>48</v>
      </c>
      <c r="E185" s="10" t="s">
        <v>48</v>
      </c>
      <c r="F185" s="10" t="s">
        <v>48</v>
      </c>
      <c r="G185" s="10" t="s">
        <v>48</v>
      </c>
      <c r="H185" s="10">
        <v>8</v>
      </c>
      <c r="I185" s="10" t="s">
        <v>839</v>
      </c>
      <c r="J185" s="554" t="s">
        <v>2055</v>
      </c>
      <c r="K185" s="1604"/>
      <c r="L185" s="1513"/>
    </row>
    <row r="186" spans="1:12" ht="28.8">
      <c r="A186" s="1278" t="s">
        <v>3044</v>
      </c>
      <c r="B186" s="1279" t="s">
        <v>3035</v>
      </c>
      <c r="C186" s="10" t="s">
        <v>48</v>
      </c>
      <c r="D186" s="10" t="s">
        <v>48</v>
      </c>
      <c r="E186" s="10" t="s">
        <v>48</v>
      </c>
      <c r="F186" s="10" t="s">
        <v>48</v>
      </c>
      <c r="G186" s="10" t="s">
        <v>48</v>
      </c>
      <c r="H186" s="10">
        <v>32</v>
      </c>
      <c r="I186" s="425" t="s">
        <v>1800</v>
      </c>
      <c r="J186" s="554" t="s">
        <v>2055</v>
      </c>
      <c r="K186" s="1604"/>
      <c r="L186" s="1513"/>
    </row>
    <row r="187" spans="1:12" ht="43.2">
      <c r="A187" s="1278" t="s">
        <v>3045</v>
      </c>
      <c r="B187" s="1279" t="s">
        <v>3046</v>
      </c>
      <c r="C187" s="10" t="s">
        <v>48</v>
      </c>
      <c r="D187" s="10" t="s">
        <v>48</v>
      </c>
      <c r="E187" s="10" t="s">
        <v>48</v>
      </c>
      <c r="F187" s="10" t="s">
        <v>48</v>
      </c>
      <c r="G187" s="10" t="s">
        <v>48</v>
      </c>
      <c r="H187" s="10">
        <v>8</v>
      </c>
      <c r="I187" s="10" t="s">
        <v>839</v>
      </c>
      <c r="J187" s="554" t="s">
        <v>2055</v>
      </c>
      <c r="K187" s="1604"/>
      <c r="L187" s="1513"/>
    </row>
    <row r="188" spans="1:12" ht="28.8">
      <c r="A188" s="1278" t="s">
        <v>3047</v>
      </c>
      <c r="B188" s="1279" t="s">
        <v>3035</v>
      </c>
      <c r="C188" s="10" t="s">
        <v>48</v>
      </c>
      <c r="D188" s="10" t="s">
        <v>48</v>
      </c>
      <c r="E188" s="10" t="s">
        <v>48</v>
      </c>
      <c r="F188" s="10" t="s">
        <v>48</v>
      </c>
      <c r="G188" s="10" t="s">
        <v>48</v>
      </c>
      <c r="H188" s="10">
        <v>32</v>
      </c>
      <c r="I188" s="425" t="s">
        <v>1800</v>
      </c>
      <c r="J188" s="554" t="s">
        <v>2055</v>
      </c>
      <c r="K188" s="1604"/>
      <c r="L188" s="1513"/>
    </row>
    <row r="189" spans="1:12" ht="43.2">
      <c r="A189" s="1278" t="s">
        <v>3048</v>
      </c>
      <c r="B189" s="1279" t="s">
        <v>3049</v>
      </c>
      <c r="C189" s="10" t="s">
        <v>48</v>
      </c>
      <c r="D189" s="10" t="s">
        <v>48</v>
      </c>
      <c r="E189" s="10" t="s">
        <v>48</v>
      </c>
      <c r="F189" s="10" t="s">
        <v>48</v>
      </c>
      <c r="G189" s="10" t="s">
        <v>48</v>
      </c>
      <c r="H189" s="10">
        <v>8</v>
      </c>
      <c r="I189" s="10" t="s">
        <v>839</v>
      </c>
      <c r="J189" s="554" t="s">
        <v>2055</v>
      </c>
      <c r="K189" s="1604"/>
      <c r="L189" s="1513"/>
    </row>
    <row r="190" spans="1:12" ht="28.8">
      <c r="A190" s="1278" t="s">
        <v>3050</v>
      </c>
      <c r="B190" s="1279" t="s">
        <v>3035</v>
      </c>
      <c r="C190" s="10" t="s">
        <v>48</v>
      </c>
      <c r="D190" s="10" t="s">
        <v>48</v>
      </c>
      <c r="E190" s="10" t="s">
        <v>48</v>
      </c>
      <c r="F190" s="10" t="s">
        <v>48</v>
      </c>
      <c r="G190" s="10" t="s">
        <v>48</v>
      </c>
      <c r="H190" s="10">
        <v>32</v>
      </c>
      <c r="I190" s="425" t="s">
        <v>1800</v>
      </c>
      <c r="J190" s="554" t="s">
        <v>2055</v>
      </c>
      <c r="K190" s="1604"/>
      <c r="L190" s="1513"/>
    </row>
    <row r="191" spans="1:12" ht="28.8">
      <c r="A191" s="1278" t="s">
        <v>3051</v>
      </c>
      <c r="B191" s="1279" t="s">
        <v>3052</v>
      </c>
      <c r="C191" s="10" t="s">
        <v>48</v>
      </c>
      <c r="D191" s="10" t="s">
        <v>48</v>
      </c>
      <c r="E191" s="10" t="s">
        <v>48</v>
      </c>
      <c r="F191" s="10" t="s">
        <v>48</v>
      </c>
      <c r="G191" s="10" t="s">
        <v>48</v>
      </c>
      <c r="H191" s="10">
        <v>8</v>
      </c>
      <c r="I191" s="10" t="s">
        <v>839</v>
      </c>
      <c r="J191" s="554" t="s">
        <v>2055</v>
      </c>
      <c r="K191" s="1604"/>
      <c r="L191" s="1513"/>
    </row>
    <row r="192" spans="1:12" ht="28.8">
      <c r="A192" s="1278" t="s">
        <v>3053</v>
      </c>
      <c r="B192" s="1279" t="s">
        <v>3054</v>
      </c>
      <c r="C192" s="98" t="s">
        <v>48</v>
      </c>
      <c r="D192" s="98">
        <v>0</v>
      </c>
      <c r="E192" s="10">
        <v>1</v>
      </c>
      <c r="F192" s="346" t="s">
        <v>2008</v>
      </c>
      <c r="G192" s="10">
        <v>0</v>
      </c>
      <c r="H192" s="346">
        <v>8</v>
      </c>
      <c r="I192" s="10" t="s">
        <v>1056</v>
      </c>
      <c r="J192" s="554" t="s">
        <v>2055</v>
      </c>
      <c r="K192" s="1604"/>
      <c r="L192" s="1513"/>
    </row>
    <row r="193" spans="1:12" ht="43.2">
      <c r="A193" s="1278" t="s">
        <v>3055</v>
      </c>
      <c r="B193" s="1279" t="s">
        <v>3056</v>
      </c>
      <c r="C193" s="10" t="s">
        <v>48</v>
      </c>
      <c r="D193" s="10" t="s">
        <v>48</v>
      </c>
      <c r="E193" s="10" t="s">
        <v>48</v>
      </c>
      <c r="F193" s="10" t="s">
        <v>48</v>
      </c>
      <c r="G193" s="10" t="s">
        <v>48</v>
      </c>
      <c r="H193" s="10">
        <v>8</v>
      </c>
      <c r="I193" s="10" t="s">
        <v>839</v>
      </c>
      <c r="J193" s="554" t="s">
        <v>2055</v>
      </c>
      <c r="K193" s="1604"/>
      <c r="L193" s="1513"/>
    </row>
    <row r="194" spans="1:12" ht="28.8">
      <c r="A194" s="1278" t="s">
        <v>3057</v>
      </c>
      <c r="B194" s="1279" t="s">
        <v>3058</v>
      </c>
      <c r="C194" s="98" t="s">
        <v>48</v>
      </c>
      <c r="D194" s="98">
        <v>0</v>
      </c>
      <c r="E194" s="10">
        <v>1</v>
      </c>
      <c r="F194" s="346" t="s">
        <v>2008</v>
      </c>
      <c r="G194" s="10">
        <v>0</v>
      </c>
      <c r="H194" s="346">
        <v>8</v>
      </c>
      <c r="I194" s="10" t="s">
        <v>1056</v>
      </c>
      <c r="J194" s="554" t="s">
        <v>2055</v>
      </c>
      <c r="K194" s="1604"/>
      <c r="L194" s="1513"/>
    </row>
    <row r="195" spans="1:12" ht="28.8">
      <c r="A195" s="1278" t="s">
        <v>3059</v>
      </c>
      <c r="B195" s="1279" t="s">
        <v>3060</v>
      </c>
      <c r="C195" s="10" t="s">
        <v>48</v>
      </c>
      <c r="D195" s="10" t="s">
        <v>48</v>
      </c>
      <c r="E195" s="10" t="s">
        <v>48</v>
      </c>
      <c r="F195" s="10" t="s">
        <v>48</v>
      </c>
      <c r="G195" s="10" t="s">
        <v>48</v>
      </c>
      <c r="H195" s="10">
        <v>8</v>
      </c>
      <c r="I195" s="10" t="s">
        <v>839</v>
      </c>
      <c r="J195" s="554" t="s">
        <v>2055</v>
      </c>
      <c r="K195" s="1604"/>
      <c r="L195" s="1513"/>
    </row>
    <row r="196" spans="1:12" ht="25.8">
      <c r="A196" s="1278" t="s">
        <v>3061</v>
      </c>
      <c r="B196" s="1279" t="s">
        <v>3062</v>
      </c>
      <c r="C196" s="98" t="s">
        <v>48</v>
      </c>
      <c r="D196" s="98">
        <v>0</v>
      </c>
      <c r="E196" s="10">
        <v>1</v>
      </c>
      <c r="F196" s="346" t="s">
        <v>2008</v>
      </c>
      <c r="G196" s="10">
        <v>0</v>
      </c>
      <c r="H196" s="346">
        <v>8</v>
      </c>
      <c r="I196" s="10" t="s">
        <v>1056</v>
      </c>
      <c r="J196" s="554" t="s">
        <v>2055</v>
      </c>
      <c r="K196" s="1604"/>
      <c r="L196" s="1513"/>
    </row>
    <row r="197" spans="1:12" ht="28.8">
      <c r="A197" s="1278" t="s">
        <v>3063</v>
      </c>
      <c r="B197" s="1279" t="s">
        <v>3064</v>
      </c>
      <c r="C197" s="10" t="s">
        <v>48</v>
      </c>
      <c r="D197" s="10" t="s">
        <v>48</v>
      </c>
      <c r="E197" s="10" t="s">
        <v>48</v>
      </c>
      <c r="F197" s="10" t="s">
        <v>48</v>
      </c>
      <c r="G197" s="10" t="s">
        <v>48</v>
      </c>
      <c r="H197" s="10">
        <v>8</v>
      </c>
      <c r="I197" s="10" t="s">
        <v>839</v>
      </c>
      <c r="J197" s="554" t="s">
        <v>2055</v>
      </c>
      <c r="K197" s="1604"/>
      <c r="L197" s="1513"/>
    </row>
    <row r="198" spans="1:12" ht="25.8">
      <c r="A198" s="1278" t="s">
        <v>3065</v>
      </c>
      <c r="B198" s="1279" t="s">
        <v>3066</v>
      </c>
      <c r="C198" s="98" t="s">
        <v>48</v>
      </c>
      <c r="D198" s="98">
        <v>0</v>
      </c>
      <c r="E198" s="10">
        <v>1</v>
      </c>
      <c r="F198" s="346" t="s">
        <v>2008</v>
      </c>
      <c r="G198" s="10">
        <v>0</v>
      </c>
      <c r="H198" s="346">
        <v>8</v>
      </c>
      <c r="I198" s="10" t="s">
        <v>1056</v>
      </c>
      <c r="J198" s="554" t="s">
        <v>2055</v>
      </c>
      <c r="K198" s="1604"/>
      <c r="L198" s="1513"/>
    </row>
    <row r="199" spans="1:12" ht="28.8">
      <c r="A199" s="1278" t="s">
        <v>3067</v>
      </c>
      <c r="B199" s="1279" t="s">
        <v>3064</v>
      </c>
      <c r="C199" s="10" t="s">
        <v>48</v>
      </c>
      <c r="D199" s="10" t="s">
        <v>48</v>
      </c>
      <c r="E199" s="10" t="s">
        <v>48</v>
      </c>
      <c r="F199" s="10" t="s">
        <v>48</v>
      </c>
      <c r="G199" s="10" t="s">
        <v>48</v>
      </c>
      <c r="H199" s="10">
        <v>8</v>
      </c>
      <c r="I199" s="10" t="s">
        <v>839</v>
      </c>
      <c r="J199" s="554" t="s">
        <v>2055</v>
      </c>
      <c r="K199" s="1604"/>
      <c r="L199" s="1513"/>
    </row>
    <row r="200" spans="1:12" ht="25.8">
      <c r="A200" s="1278" t="s">
        <v>3068</v>
      </c>
      <c r="B200" s="1279" t="s">
        <v>3069</v>
      </c>
      <c r="C200" s="98" t="s">
        <v>48</v>
      </c>
      <c r="D200" s="98">
        <v>0</v>
      </c>
      <c r="E200" s="10">
        <v>1</v>
      </c>
      <c r="F200" s="346" t="s">
        <v>2008</v>
      </c>
      <c r="G200" s="10">
        <v>0</v>
      </c>
      <c r="H200" s="346">
        <v>8</v>
      </c>
      <c r="I200" s="10" t="s">
        <v>1056</v>
      </c>
      <c r="J200" s="554" t="s">
        <v>2055</v>
      </c>
      <c r="K200" s="1604"/>
      <c r="L200" s="1513"/>
    </row>
    <row r="201" spans="1:12" ht="43.2">
      <c r="A201" s="1278" t="s">
        <v>3070</v>
      </c>
      <c r="B201" s="1279" t="s">
        <v>3071</v>
      </c>
      <c r="C201" s="10" t="s">
        <v>48</v>
      </c>
      <c r="D201" s="10" t="s">
        <v>48</v>
      </c>
      <c r="E201" s="10" t="s">
        <v>48</v>
      </c>
      <c r="F201" s="10" t="s">
        <v>48</v>
      </c>
      <c r="G201" s="10" t="s">
        <v>48</v>
      </c>
      <c r="H201" s="10">
        <v>8</v>
      </c>
      <c r="I201" s="10" t="s">
        <v>839</v>
      </c>
      <c r="J201" s="554" t="s">
        <v>2055</v>
      </c>
      <c r="K201" s="1604"/>
      <c r="L201" s="1513"/>
    </row>
    <row r="202" spans="1:12" ht="28.8">
      <c r="A202" s="1278" t="s">
        <v>3072</v>
      </c>
      <c r="B202" s="1279" t="s">
        <v>3073</v>
      </c>
      <c r="C202" s="10" t="s">
        <v>1035</v>
      </c>
      <c r="D202" s="10">
        <v>0</v>
      </c>
      <c r="E202" s="10" t="s">
        <v>920</v>
      </c>
      <c r="F202" s="9" t="s">
        <v>1774</v>
      </c>
      <c r="G202" s="10" t="s">
        <v>920</v>
      </c>
      <c r="H202" s="10">
        <v>32</v>
      </c>
      <c r="I202" s="10" t="s">
        <v>922</v>
      </c>
      <c r="J202" s="554" t="s">
        <v>2055</v>
      </c>
      <c r="K202" s="1604"/>
      <c r="L202" s="1513"/>
    </row>
    <row r="203" spans="1:12" ht="43.2">
      <c r="A203" s="1278" t="s">
        <v>3074</v>
      </c>
      <c r="B203" s="1279" t="s">
        <v>3075</v>
      </c>
      <c r="C203" s="10" t="s">
        <v>48</v>
      </c>
      <c r="D203" s="10" t="s">
        <v>48</v>
      </c>
      <c r="E203" s="10" t="s">
        <v>48</v>
      </c>
      <c r="F203" s="10" t="s">
        <v>48</v>
      </c>
      <c r="G203" s="10" t="s">
        <v>48</v>
      </c>
      <c r="H203" s="10">
        <v>8</v>
      </c>
      <c r="I203" s="10" t="s">
        <v>839</v>
      </c>
      <c r="J203" s="554" t="s">
        <v>2055</v>
      </c>
      <c r="K203" s="1604"/>
      <c r="L203" s="1513"/>
    </row>
    <row r="204" spans="1:12" ht="28.8">
      <c r="A204" s="1278" t="s">
        <v>3076</v>
      </c>
      <c r="B204" s="1279" t="s">
        <v>3077</v>
      </c>
      <c r="C204" s="10" t="s">
        <v>1035</v>
      </c>
      <c r="D204" s="10">
        <v>0</v>
      </c>
      <c r="E204" s="10" t="s">
        <v>920</v>
      </c>
      <c r="F204" s="9" t="s">
        <v>1957</v>
      </c>
      <c r="G204" s="10" t="s">
        <v>920</v>
      </c>
      <c r="H204" s="10">
        <v>32</v>
      </c>
      <c r="I204" s="10" t="s">
        <v>922</v>
      </c>
      <c r="J204" s="554" t="s">
        <v>2055</v>
      </c>
      <c r="K204" s="1604"/>
      <c r="L204" s="1513"/>
    </row>
  </sheetData>
  <mergeCells count="5">
    <mergeCell ref="C1:D1"/>
    <mergeCell ref="A2:B2"/>
    <mergeCell ref="C2:I2"/>
    <mergeCell ref="L4:L204"/>
    <mergeCell ref="K4:K204"/>
  </mergeCells>
  <hyperlinks>
    <hyperlink ref="L1" location="'AVI_FCF_VRU'!A1" display="AVI_FCF_VRU" xr:uid="{9BE97C71-5405-4F9C-98EF-6086208F6721}"/>
    <hyperlink ref="I1" location="'Revision Map'!A1" display="INDEX" xr:uid="{4C4560AA-E9C7-4748-8116-3DAA39A7729D}"/>
    <hyperlink ref="J1" location="'Cross-FCN_Definitions'!A1" display="Cross-FCN_Definitions" xr:uid="{B8B01A1E-FF19-441E-A082-AF6114E77582}"/>
    <hyperlink ref="K1" location="FCF_Definitions!A1" display="FCF_Definitions" xr:uid="{8649E8EF-9D51-45AB-BBE9-D63726E53D6F}"/>
  </hyperlinks>
  <pageMargins left="0.7" right="0.7" top="0.75" bottom="0.75" header="0.3" footer="0.3"/>
  <headerFooter>
    <oddFooter>&amp;C_x000D_&amp;1#&amp;"Calibri"&amp;11&amp;KFF0000 Internal</oddFooter>
  </headerFooter>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9681C-FFCE-4E20-A328-CA90DBF3BB64}">
  <sheetPr codeName="Sheet102"/>
  <dimension ref="A1:E21"/>
  <sheetViews>
    <sheetView topLeftCell="A8" workbookViewId="0">
      <selection activeCell="B21" sqref="B21"/>
    </sheetView>
  </sheetViews>
  <sheetFormatPr defaultRowHeight="14.4"/>
  <cols>
    <col min="1" max="1" width="11" style="1014" bestFit="1" customWidth="1"/>
    <col min="2" max="2" width="13.83984375" customWidth="1"/>
    <col min="3" max="3" width="84.26171875" customWidth="1"/>
    <col min="4" max="4" width="24.578125" customWidth="1"/>
    <col min="5" max="5" width="24.41796875" customWidth="1"/>
  </cols>
  <sheetData>
    <row r="1" spans="1:5">
      <c r="A1" s="1051" t="s">
        <v>644</v>
      </c>
      <c r="B1" s="662" t="s">
        <v>645</v>
      </c>
      <c r="C1" s="663" t="s">
        <v>646</v>
      </c>
      <c r="D1" s="663" t="s">
        <v>647</v>
      </c>
      <c r="E1" s="664" t="s">
        <v>648</v>
      </c>
    </row>
    <row r="2" spans="1:5" ht="19.5" customHeight="1">
      <c r="A2" s="1010">
        <v>0.1</v>
      </c>
      <c r="B2" s="404">
        <v>44956</v>
      </c>
      <c r="C2" s="405" t="s">
        <v>1743</v>
      </c>
      <c r="D2" s="403" t="s">
        <v>676</v>
      </c>
      <c r="E2" s="406" t="s">
        <v>655</v>
      </c>
    </row>
    <row r="3" spans="1:5">
      <c r="A3" s="1010">
        <v>0.1</v>
      </c>
      <c r="B3" s="51">
        <v>44957</v>
      </c>
      <c r="C3" s="5" t="s">
        <v>815</v>
      </c>
      <c r="D3" s="5" t="s">
        <v>678</v>
      </c>
      <c r="E3" s="5" t="s">
        <v>655</v>
      </c>
    </row>
    <row r="4" spans="1:5" ht="17.25" customHeight="1">
      <c r="A4" s="1010">
        <v>1</v>
      </c>
      <c r="B4" s="51">
        <v>44957</v>
      </c>
      <c r="C4" s="602" t="s">
        <v>1753</v>
      </c>
      <c r="D4" s="5" t="s">
        <v>676</v>
      </c>
      <c r="E4" s="5" t="s">
        <v>651</v>
      </c>
    </row>
    <row r="5" spans="1:5">
      <c r="A5" s="1010">
        <v>1</v>
      </c>
      <c r="B5" s="51">
        <v>44957</v>
      </c>
      <c r="C5" s="5" t="s">
        <v>1448</v>
      </c>
      <c r="D5" s="5" t="s">
        <v>676</v>
      </c>
      <c r="E5" s="5" t="s">
        <v>661</v>
      </c>
    </row>
    <row r="6" spans="1:5">
      <c r="A6" s="1010">
        <v>1</v>
      </c>
      <c r="B6" s="51">
        <v>44970</v>
      </c>
      <c r="C6" s="2" t="s">
        <v>691</v>
      </c>
      <c r="D6" s="5" t="s">
        <v>676</v>
      </c>
      <c r="E6" s="5" t="s">
        <v>661</v>
      </c>
    </row>
    <row r="7" spans="1:5">
      <c r="A7" s="1010">
        <v>2</v>
      </c>
      <c r="B7" s="51">
        <v>44957</v>
      </c>
      <c r="C7" s="602" t="s">
        <v>1754</v>
      </c>
      <c r="D7" s="5" t="s">
        <v>683</v>
      </c>
      <c r="E7" s="5" t="s">
        <v>651</v>
      </c>
    </row>
    <row r="8" spans="1:5">
      <c r="A8" s="1010">
        <v>2</v>
      </c>
      <c r="B8" s="191">
        <v>44998</v>
      </c>
      <c r="C8" s="2" t="s">
        <v>692</v>
      </c>
      <c r="D8" s="5" t="s">
        <v>678</v>
      </c>
      <c r="E8" s="5" t="s">
        <v>661</v>
      </c>
    </row>
    <row r="9" spans="1:5">
      <c r="A9" s="1010">
        <v>2.1</v>
      </c>
      <c r="B9" s="191">
        <v>45072</v>
      </c>
      <c r="C9" t="s">
        <v>1755</v>
      </c>
      <c r="D9" s="5" t="s">
        <v>697</v>
      </c>
      <c r="E9" s="5" t="s">
        <v>655</v>
      </c>
    </row>
    <row r="10" spans="1:5">
      <c r="A10" s="1010">
        <v>2.2000000000000002</v>
      </c>
      <c r="B10" s="191">
        <v>45076</v>
      </c>
      <c r="C10" s="181" t="s">
        <v>1758</v>
      </c>
      <c r="D10" t="s">
        <v>697</v>
      </c>
      <c r="E10" t="s">
        <v>655</v>
      </c>
    </row>
    <row r="11" spans="1:5">
      <c r="A11" s="1010" t="s">
        <v>2694</v>
      </c>
      <c r="B11" s="191">
        <v>45077</v>
      </c>
      <c r="C11" t="s">
        <v>1971</v>
      </c>
      <c r="D11" t="s">
        <v>658</v>
      </c>
      <c r="E11" t="s">
        <v>655</v>
      </c>
    </row>
    <row r="12" spans="1:5">
      <c r="A12" s="1010" t="s">
        <v>2695</v>
      </c>
      <c r="B12" s="191">
        <v>45077</v>
      </c>
      <c r="C12" t="s">
        <v>2696</v>
      </c>
      <c r="D12" t="s">
        <v>697</v>
      </c>
      <c r="E12" t="s">
        <v>655</v>
      </c>
    </row>
    <row r="13" spans="1:5">
      <c r="A13" s="1010" t="s">
        <v>2695</v>
      </c>
      <c r="B13" s="191">
        <v>45078</v>
      </c>
      <c r="C13" t="s">
        <v>1752</v>
      </c>
      <c r="D13" t="s">
        <v>658</v>
      </c>
      <c r="E13" t="s">
        <v>655</v>
      </c>
    </row>
    <row r="14" spans="1:5">
      <c r="A14" s="1010" t="s">
        <v>666</v>
      </c>
      <c r="B14" s="51">
        <v>45078</v>
      </c>
      <c r="C14" s="1053" t="s">
        <v>1760</v>
      </c>
      <c r="D14" s="5" t="s">
        <v>697</v>
      </c>
      <c r="E14" s="5" t="s">
        <v>651</v>
      </c>
    </row>
    <row r="15" spans="1:5">
      <c r="A15" s="1010" t="s">
        <v>666</v>
      </c>
      <c r="B15" s="191">
        <v>45078</v>
      </c>
      <c r="C15" s="5" t="s">
        <v>699</v>
      </c>
      <c r="D15" s="5" t="s">
        <v>678</v>
      </c>
      <c r="E15" s="5" t="s">
        <v>661</v>
      </c>
    </row>
    <row r="16" spans="1:5">
      <c r="A16" s="629" t="s">
        <v>668</v>
      </c>
      <c r="B16" s="188">
        <v>45097</v>
      </c>
      <c r="C16" s="585" t="s">
        <v>1761</v>
      </c>
      <c r="D16" s="585" t="s">
        <v>697</v>
      </c>
      <c r="E16" s="586" t="s">
        <v>655</v>
      </c>
    </row>
    <row r="17" spans="1:5">
      <c r="A17" s="629" t="s">
        <v>668</v>
      </c>
      <c r="B17" s="188">
        <v>45097</v>
      </c>
      <c r="C17" s="585" t="s">
        <v>1752</v>
      </c>
      <c r="D17" s="585" t="s">
        <v>678</v>
      </c>
      <c r="E17" s="586" t="s">
        <v>655</v>
      </c>
    </row>
    <row r="18" spans="1:5" ht="43.2">
      <c r="A18" s="1010" t="s">
        <v>1347</v>
      </c>
      <c r="B18" s="191">
        <v>45097</v>
      </c>
      <c r="C18" s="2" t="s">
        <v>2738</v>
      </c>
      <c r="D18" s="5" t="s">
        <v>697</v>
      </c>
      <c r="E18" s="5" t="s">
        <v>655</v>
      </c>
    </row>
    <row r="19" spans="1:5">
      <c r="A19" s="629" t="s">
        <v>686</v>
      </c>
      <c r="B19" s="188">
        <v>45097</v>
      </c>
      <c r="C19" s="1053" t="s">
        <v>1760</v>
      </c>
      <c r="D19" s="585" t="s">
        <v>678</v>
      </c>
      <c r="E19" s="586" t="s">
        <v>651</v>
      </c>
    </row>
    <row r="20" spans="1:5">
      <c r="A20" s="1012" t="s">
        <v>686</v>
      </c>
      <c r="B20" s="191">
        <v>45097</v>
      </c>
      <c r="C20" s="594" t="s">
        <v>700</v>
      </c>
      <c r="D20" s="595" t="s">
        <v>678</v>
      </c>
      <c r="E20" s="596" t="s">
        <v>661</v>
      </c>
    </row>
    <row r="21" spans="1:5">
      <c r="A21" s="1012" t="s">
        <v>686</v>
      </c>
      <c r="B21" s="1065">
        <v>45205</v>
      </c>
      <c r="C21" s="595" t="s">
        <v>701</v>
      </c>
      <c r="D21" s="595" t="s">
        <v>678</v>
      </c>
      <c r="E21" s="596" t="s">
        <v>661</v>
      </c>
    </row>
  </sheetData>
  <pageMargins left="0.7" right="0.7" top="0.75" bottom="0.75" header="0.3" footer="0.3"/>
  <headerFooter>
    <oddFooter>&amp;C_x000D_&amp;1#&amp;"Calibri"&amp;11&amp;KFF0000 Internal</oddFooter>
  </headerFooter>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ADC2C-01EB-4DFB-AFEC-BC847BE191D3}">
  <sheetPr codeName="Sheet75"/>
  <dimension ref="A1:O39"/>
  <sheetViews>
    <sheetView zoomScale="85" workbookViewId="0">
      <pane ySplit="3" topLeftCell="A4" activePane="bottomLeft" state="frozen"/>
      <selection activeCell="J3" sqref="J3"/>
      <selection pane="bottomLeft"/>
    </sheetView>
  </sheetViews>
  <sheetFormatPr defaultColWidth="9.15625" defaultRowHeight="14.4"/>
  <cols>
    <col min="1" max="1" width="39" customWidth="1"/>
    <col min="2" max="2" width="25.578125" customWidth="1"/>
    <col min="3" max="4" width="9.15625" bestFit="1" customWidth="1"/>
    <col min="5" max="5" width="12.41796875" customWidth="1"/>
    <col min="6" max="6" width="30.41796875" customWidth="1"/>
    <col min="7" max="8" width="9.15625" bestFit="1" customWidth="1"/>
    <col min="9" max="9" width="20.83984375" customWidth="1"/>
    <col min="10" max="10" width="18.68359375" customWidth="1"/>
    <col min="11" max="11" width="22.578125" customWidth="1"/>
    <col min="12" max="12" width="20.83984375" customWidth="1"/>
    <col min="13" max="13" width="23.41796875" bestFit="1" customWidth="1"/>
  </cols>
  <sheetData>
    <row r="1" spans="1:15">
      <c r="A1" s="23" t="s">
        <v>104</v>
      </c>
      <c r="B1" s="1280" t="s">
        <v>90</v>
      </c>
      <c r="C1" s="1631" t="s">
        <v>106</v>
      </c>
      <c r="D1" s="1631"/>
      <c r="E1" s="994">
        <v>5</v>
      </c>
      <c r="F1" s="1274" t="s">
        <v>702</v>
      </c>
      <c r="G1" s="1281">
        <v>276712</v>
      </c>
      <c r="H1" s="1274"/>
      <c r="I1" s="1274"/>
      <c r="J1" s="1275" t="s">
        <v>69</v>
      </c>
      <c r="K1" s="1275" t="s">
        <v>703</v>
      </c>
      <c r="L1" s="1275" t="s">
        <v>92</v>
      </c>
    </row>
    <row r="2" spans="1:15" ht="220.5" customHeight="1">
      <c r="A2" s="1632" t="s">
        <v>1529</v>
      </c>
      <c r="B2" s="1633"/>
      <c r="C2" s="1550" t="s">
        <v>1457</v>
      </c>
      <c r="D2" s="1551"/>
      <c r="E2" s="1551"/>
      <c r="F2" s="1551"/>
      <c r="G2" s="1551"/>
      <c r="H2" s="1551"/>
      <c r="I2" s="1552"/>
      <c r="J2" s="324" t="s">
        <v>707</v>
      </c>
      <c r="K2" s="1282" t="s">
        <v>3078</v>
      </c>
      <c r="L2" s="225"/>
      <c r="N2" s="319"/>
    </row>
    <row r="3" spans="1:15">
      <c r="A3" s="1283" t="s">
        <v>709</v>
      </c>
      <c r="B3" s="1283" t="s">
        <v>710</v>
      </c>
      <c r="C3" s="316" t="s">
        <v>711</v>
      </c>
      <c r="D3" s="316" t="s">
        <v>712</v>
      </c>
      <c r="E3" s="316" t="s">
        <v>713</v>
      </c>
      <c r="F3" s="316" t="s">
        <v>714</v>
      </c>
      <c r="G3" s="317" t="s">
        <v>715</v>
      </c>
      <c r="H3" s="316" t="s">
        <v>716</v>
      </c>
      <c r="I3" s="316" t="s">
        <v>717</v>
      </c>
      <c r="J3" s="316" t="s">
        <v>718</v>
      </c>
      <c r="K3" s="316" t="s">
        <v>719</v>
      </c>
      <c r="L3" s="316" t="s">
        <v>720</v>
      </c>
      <c r="M3" s="4"/>
      <c r="O3" s="318"/>
    </row>
    <row r="4" spans="1:15" ht="25.8">
      <c r="A4" s="1284" t="s">
        <v>3079</v>
      </c>
      <c r="B4" s="1285" t="s">
        <v>722</v>
      </c>
      <c r="C4" s="123" t="s">
        <v>48</v>
      </c>
      <c r="D4" s="123" t="s">
        <v>48</v>
      </c>
      <c r="E4" s="123" t="s">
        <v>48</v>
      </c>
      <c r="F4" s="123" t="s">
        <v>48</v>
      </c>
      <c r="G4" s="320" t="s">
        <v>48</v>
      </c>
      <c r="H4" s="123">
        <v>216</v>
      </c>
      <c r="I4" s="123" t="s">
        <v>723</v>
      </c>
      <c r="J4" s="123" t="s">
        <v>724</v>
      </c>
      <c r="K4" s="1634">
        <v>1</v>
      </c>
      <c r="L4" s="1630" t="s">
        <v>3080</v>
      </c>
    </row>
    <row r="5" spans="1:15" ht="25.8">
      <c r="A5" s="1286" t="s">
        <v>3081</v>
      </c>
      <c r="B5" s="1287" t="s">
        <v>3082</v>
      </c>
      <c r="C5" s="323" t="s">
        <v>48</v>
      </c>
      <c r="D5" s="323">
        <v>0</v>
      </c>
      <c r="E5" s="323">
        <v>320</v>
      </c>
      <c r="F5" s="323" t="s">
        <v>3083</v>
      </c>
      <c r="G5" s="1288">
        <v>65535</v>
      </c>
      <c r="H5" s="323">
        <v>16</v>
      </c>
      <c r="I5" s="323" t="s">
        <v>991</v>
      </c>
      <c r="J5" s="323" t="s">
        <v>724</v>
      </c>
      <c r="K5" s="1634"/>
      <c r="L5" s="1630"/>
    </row>
    <row r="6" spans="1:15" s="409" customFormat="1" ht="51.6">
      <c r="A6" s="1289" t="s">
        <v>3084</v>
      </c>
      <c r="B6" s="1290" t="s">
        <v>3085</v>
      </c>
      <c r="C6" s="408" t="s">
        <v>48</v>
      </c>
      <c r="D6" s="408" t="s">
        <v>48</v>
      </c>
      <c r="E6" s="408" t="s">
        <v>48</v>
      </c>
      <c r="F6" s="408" t="s">
        <v>48</v>
      </c>
      <c r="G6" s="1291" t="s">
        <v>48</v>
      </c>
      <c r="H6" s="408">
        <v>8</v>
      </c>
      <c r="I6" s="408" t="s">
        <v>839</v>
      </c>
      <c r="J6" s="408" t="s">
        <v>724</v>
      </c>
      <c r="K6" s="1626">
        <v>320</v>
      </c>
      <c r="L6" s="1628" t="s">
        <v>3086</v>
      </c>
    </row>
    <row r="7" spans="1:15" ht="15" customHeight="1">
      <c r="A7" s="1292" t="s">
        <v>3087</v>
      </c>
      <c r="B7" s="1293" t="s">
        <v>3088</v>
      </c>
      <c r="C7" s="1294" t="s">
        <v>48</v>
      </c>
      <c r="D7" s="1294" t="s">
        <v>48</v>
      </c>
      <c r="E7" s="1294" t="s">
        <v>48</v>
      </c>
      <c r="F7" s="1294" t="s">
        <v>48</v>
      </c>
      <c r="G7" s="1295" t="s">
        <v>48</v>
      </c>
      <c r="H7" s="146">
        <v>32</v>
      </c>
      <c r="I7" s="1294" t="s">
        <v>1577</v>
      </c>
      <c r="J7" s="1288" t="s">
        <v>724</v>
      </c>
      <c r="K7" s="1627"/>
      <c r="L7" s="1629"/>
    </row>
    <row r="8" spans="1:15" s="322" customFormat="1" ht="88.5" customHeight="1">
      <c r="A8" s="1296" t="s">
        <v>3089</v>
      </c>
      <c r="B8" s="1297" t="s">
        <v>3090</v>
      </c>
      <c r="C8" s="939" t="s">
        <v>48</v>
      </c>
      <c r="D8" s="1298">
        <v>1</v>
      </c>
      <c r="E8" s="1298">
        <v>255</v>
      </c>
      <c r="F8" s="1298" t="s">
        <v>3091</v>
      </c>
      <c r="G8" s="1299">
        <v>255</v>
      </c>
      <c r="H8" s="123">
        <v>8</v>
      </c>
      <c r="I8" s="123" t="s">
        <v>743</v>
      </c>
      <c r="J8" s="1291" t="s">
        <v>729</v>
      </c>
      <c r="K8" s="1627"/>
      <c r="L8" s="1629"/>
    </row>
    <row r="9" spans="1:15">
      <c r="A9" s="1300" t="s">
        <v>3092</v>
      </c>
      <c r="B9" s="1293" t="s">
        <v>3093</v>
      </c>
      <c r="C9" s="1294" t="s">
        <v>48</v>
      </c>
      <c r="D9" s="1294" t="s">
        <v>48</v>
      </c>
      <c r="E9" s="1294" t="s">
        <v>48</v>
      </c>
      <c r="F9" s="1294" t="s">
        <v>48</v>
      </c>
      <c r="G9" s="1295" t="s">
        <v>48</v>
      </c>
      <c r="H9" s="146">
        <v>32</v>
      </c>
      <c r="I9" s="1294" t="s">
        <v>1583</v>
      </c>
      <c r="J9" s="1295" t="s">
        <v>724</v>
      </c>
      <c r="K9" s="1627"/>
      <c r="L9" s="1629"/>
    </row>
    <row r="10" spans="1:15" s="322" customFormat="1" ht="240.75" customHeight="1">
      <c r="A10" s="1301" t="s">
        <v>3094</v>
      </c>
      <c r="B10" s="1297" t="s">
        <v>3095</v>
      </c>
      <c r="C10" s="939" t="s">
        <v>48</v>
      </c>
      <c r="D10" s="1298">
        <v>1</v>
      </c>
      <c r="E10" s="1298">
        <v>255</v>
      </c>
      <c r="F10" s="1298" t="s">
        <v>3096</v>
      </c>
      <c r="G10" s="1299">
        <v>255</v>
      </c>
      <c r="H10" s="1299">
        <v>8</v>
      </c>
      <c r="I10" s="1298" t="s">
        <v>743</v>
      </c>
      <c r="J10" s="1299" t="s">
        <v>724</v>
      </c>
      <c r="K10" s="1627"/>
      <c r="L10" s="1629"/>
    </row>
    <row r="11" spans="1:15" ht="15" customHeight="1">
      <c r="A11" s="1300" t="s">
        <v>3097</v>
      </c>
      <c r="B11" s="1293" t="s">
        <v>3098</v>
      </c>
      <c r="C11" s="1294" t="s">
        <v>48</v>
      </c>
      <c r="D11" s="1294" t="s">
        <v>48</v>
      </c>
      <c r="E11" s="1294" t="s">
        <v>48</v>
      </c>
      <c r="F11" s="1294" t="s">
        <v>48</v>
      </c>
      <c r="G11" s="1295" t="s">
        <v>48</v>
      </c>
      <c r="H11" s="1295">
        <v>16</v>
      </c>
      <c r="I11" s="1294" t="s">
        <v>1544</v>
      </c>
      <c r="J11" s="1295" t="s">
        <v>729</v>
      </c>
      <c r="K11" s="1627"/>
      <c r="L11" s="1629"/>
    </row>
    <row r="12" spans="1:15" s="322" customFormat="1" ht="99.75" customHeight="1">
      <c r="A12" s="973" t="s">
        <v>3099</v>
      </c>
      <c r="B12" s="940" t="s">
        <v>3100</v>
      </c>
      <c r="C12" s="939" t="s">
        <v>48</v>
      </c>
      <c r="D12" s="939">
        <v>1</v>
      </c>
      <c r="E12" s="939">
        <v>255</v>
      </c>
      <c r="F12" s="939" t="s">
        <v>3101</v>
      </c>
      <c r="G12" s="941">
        <v>255</v>
      </c>
      <c r="H12" s="1299">
        <v>8</v>
      </c>
      <c r="I12" s="1298" t="s">
        <v>743</v>
      </c>
      <c r="J12" s="1291" t="s">
        <v>729</v>
      </c>
      <c r="K12" s="1627"/>
      <c r="L12" s="1629"/>
    </row>
    <row r="13" spans="1:15" ht="25.8">
      <c r="A13" s="862" t="s">
        <v>3102</v>
      </c>
      <c r="B13" s="863" t="s">
        <v>3103</v>
      </c>
      <c r="C13" s="321" t="s">
        <v>919</v>
      </c>
      <c r="D13" s="321" t="s">
        <v>3104</v>
      </c>
      <c r="E13" s="321" t="s">
        <v>920</v>
      </c>
      <c r="F13" s="321" t="s">
        <v>3105</v>
      </c>
      <c r="G13" s="1295" t="s">
        <v>920</v>
      </c>
      <c r="H13" s="1295">
        <v>32</v>
      </c>
      <c r="I13" s="1294" t="s">
        <v>922</v>
      </c>
      <c r="J13" s="1295" t="s">
        <v>724</v>
      </c>
      <c r="K13" s="1627"/>
      <c r="L13" s="1629"/>
      <c r="M13" s="318"/>
    </row>
    <row r="14" spans="1:15" ht="25.8">
      <c r="A14" s="1301" t="s">
        <v>3106</v>
      </c>
      <c r="B14" s="1297" t="s">
        <v>3107</v>
      </c>
      <c r="C14" s="1298" t="s">
        <v>919</v>
      </c>
      <c r="D14" s="1298" t="s">
        <v>3104</v>
      </c>
      <c r="E14" s="1298" t="s">
        <v>920</v>
      </c>
      <c r="F14" s="1298" t="s">
        <v>1574</v>
      </c>
      <c r="G14" s="1299" t="s">
        <v>920</v>
      </c>
      <c r="H14" s="1299">
        <v>32</v>
      </c>
      <c r="I14" s="123" t="s">
        <v>922</v>
      </c>
      <c r="J14" s="1299" t="s">
        <v>729</v>
      </c>
      <c r="K14" s="1627"/>
      <c r="L14" s="1629"/>
      <c r="M14" s="318"/>
    </row>
    <row r="15" spans="1:15" ht="25.8">
      <c r="A15" s="1300" t="s">
        <v>3108</v>
      </c>
      <c r="B15" s="1293" t="s">
        <v>3109</v>
      </c>
      <c r="C15" s="1294" t="s">
        <v>919</v>
      </c>
      <c r="D15" s="1294" t="s">
        <v>3110</v>
      </c>
      <c r="E15" s="1294" t="s">
        <v>920</v>
      </c>
      <c r="F15" s="1294" t="s">
        <v>3111</v>
      </c>
      <c r="G15" s="1295" t="s">
        <v>920</v>
      </c>
      <c r="H15" s="1295">
        <v>32</v>
      </c>
      <c r="I15" s="1294" t="s">
        <v>922</v>
      </c>
      <c r="J15" s="1295" t="s">
        <v>724</v>
      </c>
      <c r="K15" s="1627"/>
      <c r="L15" s="1629"/>
      <c r="M15" s="318"/>
    </row>
    <row r="16" spans="1:15" ht="25.8">
      <c r="A16" s="1301" t="s">
        <v>3112</v>
      </c>
      <c r="B16" s="1297" t="s">
        <v>3113</v>
      </c>
      <c r="C16" s="1298" t="s">
        <v>919</v>
      </c>
      <c r="D16" s="1298" t="s">
        <v>3104</v>
      </c>
      <c r="E16" s="1298" t="s">
        <v>920</v>
      </c>
      <c r="F16" s="1298" t="s">
        <v>3114</v>
      </c>
      <c r="G16" s="1299" t="s">
        <v>920</v>
      </c>
      <c r="H16" s="1299">
        <v>32</v>
      </c>
      <c r="I16" s="123" t="s">
        <v>922</v>
      </c>
      <c r="J16" s="1299" t="s">
        <v>724</v>
      </c>
      <c r="K16" s="1627"/>
      <c r="L16" s="1629"/>
      <c r="M16" s="318"/>
    </row>
    <row r="17" spans="1:13" ht="51.6">
      <c r="A17" s="1302" t="s">
        <v>3115</v>
      </c>
      <c r="B17" s="1293" t="s">
        <v>3116</v>
      </c>
      <c r="C17" s="1294" t="s">
        <v>936</v>
      </c>
      <c r="D17" s="1294" t="s">
        <v>3117</v>
      </c>
      <c r="E17" s="1294" t="s">
        <v>920</v>
      </c>
      <c r="F17" s="1294" t="s">
        <v>3118</v>
      </c>
      <c r="G17" s="1295" t="s">
        <v>920</v>
      </c>
      <c r="H17" s="1295">
        <v>32</v>
      </c>
      <c r="I17" s="1294" t="s">
        <v>922</v>
      </c>
      <c r="J17" s="1295" t="s">
        <v>724</v>
      </c>
      <c r="K17" s="1627"/>
      <c r="L17" s="1629"/>
      <c r="M17" s="318"/>
    </row>
    <row r="18" spans="1:13" ht="25.8">
      <c r="A18" s="1303" t="s">
        <v>3119</v>
      </c>
      <c r="B18" s="1297" t="s">
        <v>3120</v>
      </c>
      <c r="C18" s="1298" t="s">
        <v>936</v>
      </c>
      <c r="D18" s="1298" t="s">
        <v>3121</v>
      </c>
      <c r="E18" s="1298" t="s">
        <v>920</v>
      </c>
      <c r="F18" s="1298" t="s">
        <v>3122</v>
      </c>
      <c r="G18" s="1299" t="s">
        <v>920</v>
      </c>
      <c r="H18" s="1299">
        <v>32</v>
      </c>
      <c r="I18" s="123" t="s">
        <v>922</v>
      </c>
      <c r="J18" s="1299" t="s">
        <v>729</v>
      </c>
      <c r="K18" s="1627"/>
      <c r="L18" s="1629"/>
      <c r="M18" s="318"/>
    </row>
    <row r="19" spans="1:13" ht="38.700000000000003">
      <c r="A19" s="1302" t="s">
        <v>3123</v>
      </c>
      <c r="B19" s="1293" t="s">
        <v>3124</v>
      </c>
      <c r="C19" s="1294" t="s">
        <v>936</v>
      </c>
      <c r="D19" s="1294" t="s">
        <v>3125</v>
      </c>
      <c r="E19" s="1294" t="s">
        <v>920</v>
      </c>
      <c r="F19" s="1294" t="s">
        <v>3126</v>
      </c>
      <c r="G19" s="1295" t="s">
        <v>920</v>
      </c>
      <c r="H19" s="1295">
        <v>32</v>
      </c>
      <c r="I19" s="1294" t="s">
        <v>922</v>
      </c>
      <c r="J19" s="1295" t="s">
        <v>724</v>
      </c>
      <c r="K19" s="1627"/>
      <c r="L19" s="1629"/>
      <c r="M19" s="318"/>
    </row>
    <row r="20" spans="1:13" ht="25.8">
      <c r="A20" s="974" t="s">
        <v>3127</v>
      </c>
      <c r="B20" s="1297" t="s">
        <v>3128</v>
      </c>
      <c r="C20" s="939" t="s">
        <v>936</v>
      </c>
      <c r="D20" s="1298" t="s">
        <v>3125</v>
      </c>
      <c r="E20" s="939" t="s">
        <v>920</v>
      </c>
      <c r="F20" s="939" t="s">
        <v>3126</v>
      </c>
      <c r="G20" s="941" t="s">
        <v>920</v>
      </c>
      <c r="H20" s="1299">
        <v>32</v>
      </c>
      <c r="I20" s="123" t="s">
        <v>922</v>
      </c>
      <c r="J20" s="1299" t="s">
        <v>729</v>
      </c>
      <c r="K20" s="1627"/>
      <c r="L20" s="1629"/>
      <c r="M20" s="318"/>
    </row>
    <row r="21" spans="1:13" ht="35.25" customHeight="1">
      <c r="A21" s="975" t="s">
        <v>3129</v>
      </c>
      <c r="B21" s="942" t="s">
        <v>3130</v>
      </c>
      <c r="C21" s="943" t="s">
        <v>936</v>
      </c>
      <c r="D21" s="943" t="s">
        <v>3125</v>
      </c>
      <c r="E21" s="943" t="s">
        <v>920</v>
      </c>
      <c r="F21" s="943" t="s">
        <v>3126</v>
      </c>
      <c r="G21" s="944" t="s">
        <v>920</v>
      </c>
      <c r="H21" s="146">
        <v>32</v>
      </c>
      <c r="I21" s="1294" t="s">
        <v>922</v>
      </c>
      <c r="J21" s="1295" t="s">
        <v>729</v>
      </c>
      <c r="K21" s="1627"/>
      <c r="L21" s="1629"/>
      <c r="M21" s="318"/>
    </row>
    <row r="22" spans="1:13" ht="25.8">
      <c r="A22" s="864" t="s">
        <v>3131</v>
      </c>
      <c r="B22" s="1304" t="s">
        <v>3132</v>
      </c>
      <c r="C22" s="1305" t="s">
        <v>936</v>
      </c>
      <c r="D22" s="1305" t="s">
        <v>3125</v>
      </c>
      <c r="E22" s="1305" t="s">
        <v>920</v>
      </c>
      <c r="F22" s="1305" t="s">
        <v>3126</v>
      </c>
      <c r="G22" s="1305" t="s">
        <v>920</v>
      </c>
      <c r="H22" s="1299">
        <v>32</v>
      </c>
      <c r="I22" s="123" t="s">
        <v>922</v>
      </c>
      <c r="J22" s="1305" t="s">
        <v>729</v>
      </c>
      <c r="K22" s="1627"/>
      <c r="L22" s="1629"/>
      <c r="M22" s="318"/>
    </row>
    <row r="23" spans="1:13">
      <c r="A23" s="1300" t="s">
        <v>3133</v>
      </c>
      <c r="B23" s="1293" t="s">
        <v>3088</v>
      </c>
      <c r="C23" s="1294" t="s">
        <v>48</v>
      </c>
      <c r="D23" s="1294" t="s">
        <v>48</v>
      </c>
      <c r="E23" s="1294" t="s">
        <v>48</v>
      </c>
      <c r="F23" s="1294" t="s">
        <v>48</v>
      </c>
      <c r="G23" s="1295" t="s">
        <v>48</v>
      </c>
      <c r="H23" s="146">
        <v>32</v>
      </c>
      <c r="I23" s="1294" t="s">
        <v>1577</v>
      </c>
      <c r="J23" s="1288" t="s">
        <v>729</v>
      </c>
      <c r="K23" s="1627"/>
      <c r="L23" s="1629"/>
    </row>
    <row r="24" spans="1:13" ht="51.6">
      <c r="A24" s="1306" t="s">
        <v>3134</v>
      </c>
      <c r="B24" s="945" t="s">
        <v>3085</v>
      </c>
      <c r="C24" s="1307" t="s">
        <v>48</v>
      </c>
      <c r="D24" s="1307" t="s">
        <v>48</v>
      </c>
      <c r="E24" s="1307" t="s">
        <v>48</v>
      </c>
      <c r="F24" s="1307" t="s">
        <v>48</v>
      </c>
      <c r="G24" s="1307" t="s">
        <v>48</v>
      </c>
      <c r="H24" s="146">
        <v>8</v>
      </c>
      <c r="I24" s="1294" t="s">
        <v>839</v>
      </c>
      <c r="J24" s="1295" t="s">
        <v>729</v>
      </c>
      <c r="K24" s="1627"/>
      <c r="L24" s="1629"/>
    </row>
    <row r="25" spans="1:13" s="322" customFormat="1" ht="90" customHeight="1">
      <c r="A25" s="1301" t="s">
        <v>3135</v>
      </c>
      <c r="B25" s="1297" t="s">
        <v>3090</v>
      </c>
      <c r="C25" s="939" t="s">
        <v>48</v>
      </c>
      <c r="D25" s="1298">
        <v>1</v>
      </c>
      <c r="E25" s="1298">
        <v>255</v>
      </c>
      <c r="F25" s="1298" t="s">
        <v>3091</v>
      </c>
      <c r="G25" s="1299">
        <v>255</v>
      </c>
      <c r="H25" s="123">
        <v>8</v>
      </c>
      <c r="I25" s="123" t="s">
        <v>743</v>
      </c>
      <c r="J25" s="1291" t="s">
        <v>729</v>
      </c>
      <c r="K25" s="1627"/>
      <c r="L25" s="1629"/>
    </row>
    <row r="26" spans="1:13">
      <c r="A26" s="1300" t="s">
        <v>3136</v>
      </c>
      <c r="B26" s="1293" t="s">
        <v>3093</v>
      </c>
      <c r="C26" s="1294" t="s">
        <v>48</v>
      </c>
      <c r="D26" s="1294" t="s">
        <v>48</v>
      </c>
      <c r="E26" s="1294" t="s">
        <v>48</v>
      </c>
      <c r="F26" s="1294" t="s">
        <v>48</v>
      </c>
      <c r="G26" s="1295" t="s">
        <v>48</v>
      </c>
      <c r="H26" s="146">
        <v>32</v>
      </c>
      <c r="I26" s="1294" t="s">
        <v>1583</v>
      </c>
      <c r="J26" s="1295" t="s">
        <v>729</v>
      </c>
      <c r="K26" s="1627"/>
      <c r="L26" s="1629"/>
    </row>
    <row r="27" spans="1:13" s="322" customFormat="1" ht="261" customHeight="1">
      <c r="A27" s="1301" t="s">
        <v>3137</v>
      </c>
      <c r="B27" s="1297" t="s">
        <v>3095</v>
      </c>
      <c r="C27" s="939" t="s">
        <v>48</v>
      </c>
      <c r="D27" s="1298">
        <v>1</v>
      </c>
      <c r="E27" s="1298">
        <v>255</v>
      </c>
      <c r="F27" s="1298" t="s">
        <v>3096</v>
      </c>
      <c r="G27" s="1299">
        <v>255</v>
      </c>
      <c r="H27" s="1299">
        <v>8</v>
      </c>
      <c r="I27" s="1298" t="s">
        <v>743</v>
      </c>
      <c r="J27" s="1299" t="s">
        <v>729</v>
      </c>
      <c r="K27" s="1627"/>
      <c r="L27" s="1629"/>
    </row>
    <row r="28" spans="1:13" ht="67.5" customHeight="1">
      <c r="A28" s="1300" t="s">
        <v>3138</v>
      </c>
      <c r="B28" s="1293" t="s">
        <v>3098</v>
      </c>
      <c r="C28" s="1294" t="s">
        <v>48</v>
      </c>
      <c r="D28" s="1294" t="s">
        <v>48</v>
      </c>
      <c r="E28" s="1294" t="s">
        <v>48</v>
      </c>
      <c r="F28" s="1294" t="s">
        <v>48</v>
      </c>
      <c r="G28" s="1295" t="s">
        <v>48</v>
      </c>
      <c r="H28" s="1295">
        <v>16</v>
      </c>
      <c r="I28" s="1294" t="s">
        <v>1544</v>
      </c>
      <c r="J28" s="1295" t="s">
        <v>729</v>
      </c>
      <c r="K28" s="1627"/>
      <c r="L28" s="1629"/>
    </row>
    <row r="29" spans="1:13" s="322" customFormat="1" ht="90.3">
      <c r="A29" s="973" t="s">
        <v>3139</v>
      </c>
      <c r="B29" s="940" t="s">
        <v>3100</v>
      </c>
      <c r="C29" s="939" t="s">
        <v>48</v>
      </c>
      <c r="D29" s="939">
        <v>1</v>
      </c>
      <c r="E29" s="939">
        <v>255</v>
      </c>
      <c r="F29" s="939" t="s">
        <v>3101</v>
      </c>
      <c r="G29" s="941">
        <v>255</v>
      </c>
      <c r="H29" s="1299">
        <v>8</v>
      </c>
      <c r="I29" s="1298" t="s">
        <v>743</v>
      </c>
      <c r="J29" s="1291" t="s">
        <v>729</v>
      </c>
      <c r="K29" s="1627"/>
      <c r="L29" s="1629"/>
    </row>
    <row r="30" spans="1:13" ht="25.8">
      <c r="A30" s="862" t="s">
        <v>3140</v>
      </c>
      <c r="B30" s="863" t="s">
        <v>3103</v>
      </c>
      <c r="C30" s="321" t="s">
        <v>919</v>
      </c>
      <c r="D30" s="321" t="s">
        <v>3104</v>
      </c>
      <c r="E30" s="321" t="s">
        <v>920</v>
      </c>
      <c r="F30" s="321" t="s">
        <v>3105</v>
      </c>
      <c r="G30" s="1295" t="s">
        <v>920</v>
      </c>
      <c r="H30" s="1295">
        <v>32</v>
      </c>
      <c r="I30" s="1294" t="s">
        <v>922</v>
      </c>
      <c r="J30" s="1295" t="s">
        <v>729</v>
      </c>
      <c r="K30" s="1627"/>
      <c r="L30" s="1629"/>
      <c r="M30" s="318"/>
    </row>
    <row r="31" spans="1:13" ht="25.8">
      <c r="A31" s="1301" t="s">
        <v>3141</v>
      </c>
      <c r="B31" s="1297" t="s">
        <v>3107</v>
      </c>
      <c r="C31" s="1298" t="s">
        <v>919</v>
      </c>
      <c r="D31" s="1298" t="s">
        <v>3104</v>
      </c>
      <c r="E31" s="1298" t="s">
        <v>920</v>
      </c>
      <c r="F31" s="1298" t="s">
        <v>1574</v>
      </c>
      <c r="G31" s="1299" t="s">
        <v>920</v>
      </c>
      <c r="H31" s="1299">
        <v>32</v>
      </c>
      <c r="I31" s="123" t="s">
        <v>922</v>
      </c>
      <c r="J31" s="1299" t="s">
        <v>729</v>
      </c>
      <c r="K31" s="1627"/>
      <c r="L31" s="1629"/>
      <c r="M31" s="318"/>
    </row>
    <row r="32" spans="1:13" ht="25.8">
      <c r="A32" s="1300" t="s">
        <v>3142</v>
      </c>
      <c r="B32" s="1293" t="s">
        <v>3109</v>
      </c>
      <c r="C32" s="1294" t="s">
        <v>919</v>
      </c>
      <c r="D32" s="1294" t="s">
        <v>3110</v>
      </c>
      <c r="E32" s="1294" t="s">
        <v>920</v>
      </c>
      <c r="F32" s="1294" t="s">
        <v>3111</v>
      </c>
      <c r="G32" s="1295" t="s">
        <v>920</v>
      </c>
      <c r="H32" s="1295">
        <v>32</v>
      </c>
      <c r="I32" s="1294" t="s">
        <v>922</v>
      </c>
      <c r="J32" s="1295" t="s">
        <v>729</v>
      </c>
      <c r="K32" s="1627"/>
      <c r="L32" s="1629"/>
      <c r="M32" s="318"/>
    </row>
    <row r="33" spans="1:13" ht="25.8">
      <c r="A33" s="1301" t="s">
        <v>3143</v>
      </c>
      <c r="B33" s="1297" t="s">
        <v>3113</v>
      </c>
      <c r="C33" s="1298" t="s">
        <v>919</v>
      </c>
      <c r="D33" s="1298" t="s">
        <v>3104</v>
      </c>
      <c r="E33" s="1298" t="s">
        <v>920</v>
      </c>
      <c r="F33" s="1298" t="s">
        <v>3114</v>
      </c>
      <c r="G33" s="1299" t="s">
        <v>920</v>
      </c>
      <c r="H33" s="1299">
        <v>32</v>
      </c>
      <c r="I33" s="123" t="s">
        <v>922</v>
      </c>
      <c r="J33" s="1299" t="s">
        <v>729</v>
      </c>
      <c r="K33" s="1627"/>
      <c r="L33" s="1629"/>
      <c r="M33" s="318"/>
    </row>
    <row r="34" spans="1:13" ht="51.6">
      <c r="A34" s="1300" t="s">
        <v>3144</v>
      </c>
      <c r="B34" s="1293" t="s">
        <v>3116</v>
      </c>
      <c r="C34" s="1294" t="s">
        <v>936</v>
      </c>
      <c r="D34" s="1294" t="s">
        <v>3117</v>
      </c>
      <c r="E34" s="1294" t="s">
        <v>920</v>
      </c>
      <c r="F34" s="1294" t="s">
        <v>3118</v>
      </c>
      <c r="G34" s="1295" t="s">
        <v>920</v>
      </c>
      <c r="H34" s="1295">
        <v>32</v>
      </c>
      <c r="I34" s="1294" t="s">
        <v>922</v>
      </c>
      <c r="J34" s="1295" t="s">
        <v>729</v>
      </c>
      <c r="K34" s="1627"/>
      <c r="L34" s="1629"/>
      <c r="M34" s="318"/>
    </row>
    <row r="35" spans="1:13" ht="25.8">
      <c r="A35" s="1301" t="s">
        <v>3145</v>
      </c>
      <c r="B35" s="1297" t="s">
        <v>3120</v>
      </c>
      <c r="C35" s="1298" t="s">
        <v>936</v>
      </c>
      <c r="D35" s="1298" t="s">
        <v>3121</v>
      </c>
      <c r="E35" s="1298" t="s">
        <v>920</v>
      </c>
      <c r="F35" s="1298" t="s">
        <v>3122</v>
      </c>
      <c r="G35" s="1299" t="s">
        <v>920</v>
      </c>
      <c r="H35" s="1299">
        <v>32</v>
      </c>
      <c r="I35" s="123" t="s">
        <v>922</v>
      </c>
      <c r="J35" s="1299" t="s">
        <v>729</v>
      </c>
      <c r="K35" s="1627"/>
      <c r="L35" s="1629"/>
      <c r="M35" s="318"/>
    </row>
    <row r="36" spans="1:13" ht="38.700000000000003">
      <c r="A36" s="1300" t="s">
        <v>3146</v>
      </c>
      <c r="B36" s="1293" t="s">
        <v>3124</v>
      </c>
      <c r="C36" s="1294" t="s">
        <v>936</v>
      </c>
      <c r="D36" s="1294" t="s">
        <v>3125</v>
      </c>
      <c r="E36" s="1294" t="s">
        <v>920</v>
      </c>
      <c r="F36" s="1294" t="s">
        <v>3126</v>
      </c>
      <c r="G36" s="1295" t="s">
        <v>920</v>
      </c>
      <c r="H36" s="1295">
        <v>32</v>
      </c>
      <c r="I36" s="1294" t="s">
        <v>922</v>
      </c>
      <c r="J36" s="1295" t="s">
        <v>729</v>
      </c>
      <c r="K36" s="1627"/>
      <c r="L36" s="1629"/>
      <c r="M36" s="318"/>
    </row>
    <row r="37" spans="1:13" ht="25.8">
      <c r="A37" s="973" t="s">
        <v>3147</v>
      </c>
      <c r="B37" s="1297" t="s">
        <v>3128</v>
      </c>
      <c r="C37" s="939" t="s">
        <v>936</v>
      </c>
      <c r="D37" s="1298" t="s">
        <v>3125</v>
      </c>
      <c r="E37" s="939" t="s">
        <v>920</v>
      </c>
      <c r="F37" s="939" t="s">
        <v>3126</v>
      </c>
      <c r="G37" s="941" t="s">
        <v>920</v>
      </c>
      <c r="H37" s="1299">
        <v>32</v>
      </c>
      <c r="I37" s="123" t="s">
        <v>922</v>
      </c>
      <c r="J37" s="1299" t="s">
        <v>729</v>
      </c>
      <c r="K37" s="1627"/>
      <c r="L37" s="1629"/>
      <c r="M37" s="318"/>
    </row>
    <row r="38" spans="1:13" ht="51.6">
      <c r="A38" s="975" t="s">
        <v>3148</v>
      </c>
      <c r="B38" s="942" t="s">
        <v>3130</v>
      </c>
      <c r="C38" s="943" t="s">
        <v>936</v>
      </c>
      <c r="D38" s="943" t="s">
        <v>3125</v>
      </c>
      <c r="E38" s="943" t="s">
        <v>920</v>
      </c>
      <c r="F38" s="943" t="s">
        <v>3126</v>
      </c>
      <c r="G38" s="944" t="s">
        <v>920</v>
      </c>
      <c r="H38" s="146">
        <v>32</v>
      </c>
      <c r="I38" s="1294" t="s">
        <v>922</v>
      </c>
      <c r="J38" s="1295" t="s">
        <v>729</v>
      </c>
      <c r="K38" s="1627"/>
      <c r="L38" s="1629"/>
      <c r="M38" s="318"/>
    </row>
    <row r="39" spans="1:13" ht="25.8">
      <c r="A39" s="864" t="s">
        <v>3149</v>
      </c>
      <c r="B39" s="1304" t="s">
        <v>3132</v>
      </c>
      <c r="C39" s="1305" t="s">
        <v>936</v>
      </c>
      <c r="D39" s="1305" t="s">
        <v>3125</v>
      </c>
      <c r="E39" s="1305" t="s">
        <v>920</v>
      </c>
      <c r="F39" s="1305" t="s">
        <v>3126</v>
      </c>
      <c r="G39" s="1305" t="s">
        <v>920</v>
      </c>
      <c r="H39" s="1299">
        <v>32</v>
      </c>
      <c r="I39" s="123" t="s">
        <v>922</v>
      </c>
      <c r="J39" s="1305" t="s">
        <v>729</v>
      </c>
      <c r="K39" s="1627"/>
      <c r="L39" s="1629"/>
      <c r="M39" s="318"/>
    </row>
  </sheetData>
  <mergeCells count="7">
    <mergeCell ref="K6:K39"/>
    <mergeCell ref="L6:L39"/>
    <mergeCell ref="L4:L5"/>
    <mergeCell ref="C1:D1"/>
    <mergeCell ref="A2:B2"/>
    <mergeCell ref="C2:I2"/>
    <mergeCell ref="K4:K5"/>
  </mergeCells>
  <hyperlinks>
    <hyperlink ref="J1" location="'Revision Map'!A1" display="INDEX" xr:uid="{6E98BCCA-5584-4764-AC02-16CF9521BB86}"/>
    <hyperlink ref="K1" location="'Cross-FCN_Definitions'!A1" display="Cross-FCN_Definitions" xr:uid="{9E7BC20B-1B4A-47BB-B22C-826B395660B4}"/>
    <hyperlink ref="L1" location="'AVI_Freespace_Debug'!A1" display="AVI_Freespace_Debug" xr:uid="{86FB0E77-B3D0-4987-AC03-CD80A7A363B9}"/>
  </hyperlinks>
  <pageMargins left="0.7" right="0.7" top="0.75" bottom="0.75" header="0.3" footer="0.3"/>
  <headerFooter>
    <oddFooter>&amp;C_x000D_&amp;1#&amp;"Calibri"&amp;11&amp;KFF0000 Internal</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02F28-36B6-495F-9E81-D5F15A1CD657}">
  <sheetPr codeName="Sheet76"/>
  <dimension ref="A1:G21"/>
  <sheetViews>
    <sheetView workbookViewId="0">
      <pane ySplit="1" topLeftCell="A7" activePane="bottomLeft" state="frozen"/>
      <selection activeCell="C22" activeCellId="1" sqref="A1:AS1 C22"/>
      <selection pane="bottomLeft" activeCell="B21" sqref="B21"/>
    </sheetView>
  </sheetViews>
  <sheetFormatPr defaultColWidth="9.15625" defaultRowHeight="14.4"/>
  <cols>
    <col min="1" max="1" width="11" style="1010" bestFit="1" customWidth="1"/>
    <col min="2" max="2" width="12.83984375" style="51" customWidth="1"/>
    <col min="3" max="3" width="92.41796875" customWidth="1"/>
    <col min="4" max="4" width="19" customWidth="1"/>
    <col min="5" max="5" width="10.83984375" bestFit="1" customWidth="1"/>
  </cols>
  <sheetData>
    <row r="1" spans="1:7">
      <c r="A1" s="1010" t="s">
        <v>644</v>
      </c>
      <c r="B1" s="51" t="s">
        <v>645</v>
      </c>
      <c r="C1" t="s">
        <v>646</v>
      </c>
      <c r="D1" t="s">
        <v>647</v>
      </c>
      <c r="E1" t="s">
        <v>793</v>
      </c>
    </row>
    <row r="2" spans="1:7" ht="33.299999999999997">
      <c r="A2" s="1010" t="s">
        <v>655</v>
      </c>
      <c r="B2" s="51">
        <v>44908</v>
      </c>
      <c r="C2" s="576" t="s">
        <v>3150</v>
      </c>
      <c r="D2" s="5" t="s">
        <v>3151</v>
      </c>
      <c r="E2" s="5" t="s">
        <v>655</v>
      </c>
      <c r="G2" s="319"/>
    </row>
    <row r="3" spans="1:7">
      <c r="A3" s="1010">
        <v>1</v>
      </c>
      <c r="B3" s="51">
        <v>44935</v>
      </c>
      <c r="C3" s="610" t="s">
        <v>3152</v>
      </c>
      <c r="D3" s="5" t="s">
        <v>678</v>
      </c>
      <c r="E3" s="5" t="s">
        <v>655</v>
      </c>
    </row>
    <row r="4" spans="1:7">
      <c r="A4" s="1010">
        <v>1</v>
      </c>
      <c r="B4" s="51">
        <v>44936</v>
      </c>
      <c r="C4" s="5" t="s">
        <v>3153</v>
      </c>
      <c r="D4" s="5" t="s">
        <v>678</v>
      </c>
      <c r="E4" s="5" t="s">
        <v>655</v>
      </c>
    </row>
    <row r="5" spans="1:7">
      <c r="A5" s="1010">
        <v>1</v>
      </c>
      <c r="B5" s="51">
        <v>44936</v>
      </c>
      <c r="C5" s="5" t="s">
        <v>677</v>
      </c>
      <c r="D5" s="5" t="s">
        <v>678</v>
      </c>
      <c r="E5" s="5" t="s">
        <v>655</v>
      </c>
    </row>
    <row r="6" spans="1:7" ht="43.2">
      <c r="A6" s="1010">
        <v>1.1000000000000001</v>
      </c>
      <c r="B6" s="51">
        <v>44945</v>
      </c>
      <c r="C6" s="584" t="s">
        <v>3154</v>
      </c>
      <c r="D6" s="585" t="s">
        <v>1001</v>
      </c>
      <c r="E6" s="586" t="s">
        <v>655</v>
      </c>
    </row>
    <row r="7" spans="1:7" ht="28.8">
      <c r="A7" s="1010">
        <v>1.2</v>
      </c>
      <c r="B7" s="51">
        <v>44950</v>
      </c>
      <c r="C7" s="576" t="s">
        <v>3155</v>
      </c>
      <c r="D7" s="5" t="s">
        <v>1001</v>
      </c>
      <c r="E7" s="5" t="s">
        <v>655</v>
      </c>
    </row>
    <row r="8" spans="1:7" ht="28.8">
      <c r="A8" s="1010">
        <v>1.2</v>
      </c>
      <c r="B8" s="51">
        <v>44953</v>
      </c>
      <c r="C8" s="576" t="s">
        <v>3156</v>
      </c>
      <c r="D8" s="5" t="s">
        <v>658</v>
      </c>
      <c r="E8" s="5" t="s">
        <v>655</v>
      </c>
    </row>
    <row r="9" spans="1:7">
      <c r="A9" s="1010">
        <v>1.3</v>
      </c>
      <c r="B9" s="51">
        <v>44956</v>
      </c>
      <c r="C9" s="5" t="s">
        <v>3157</v>
      </c>
      <c r="D9" s="5" t="s">
        <v>1001</v>
      </c>
      <c r="E9" s="5" t="s">
        <v>655</v>
      </c>
    </row>
    <row r="10" spans="1:7">
      <c r="A10" s="1010">
        <v>1.3</v>
      </c>
      <c r="B10" s="51">
        <v>44956</v>
      </c>
      <c r="C10" s="5" t="s">
        <v>3158</v>
      </c>
      <c r="D10" s="5" t="s">
        <v>658</v>
      </c>
      <c r="E10" s="5" t="s">
        <v>655</v>
      </c>
    </row>
    <row r="11" spans="1:7">
      <c r="A11" s="1010">
        <v>2</v>
      </c>
      <c r="B11" s="51">
        <v>44957</v>
      </c>
      <c r="C11" s="5" t="s">
        <v>1011</v>
      </c>
      <c r="D11" s="5" t="s">
        <v>3151</v>
      </c>
      <c r="E11" s="5" t="s">
        <v>651</v>
      </c>
    </row>
    <row r="12" spans="1:7">
      <c r="A12" s="1010">
        <v>2</v>
      </c>
      <c r="B12" s="51">
        <v>44957</v>
      </c>
      <c r="C12" s="5" t="s">
        <v>687</v>
      </c>
      <c r="D12" s="5" t="s">
        <v>676</v>
      </c>
      <c r="E12" s="5" t="s">
        <v>661</v>
      </c>
    </row>
    <row r="13" spans="1:7">
      <c r="A13" s="1010">
        <v>2</v>
      </c>
      <c r="B13" s="51">
        <v>44970</v>
      </c>
      <c r="C13" s="576" t="s">
        <v>691</v>
      </c>
      <c r="D13" s="5" t="s">
        <v>676</v>
      </c>
      <c r="E13" s="5" t="s">
        <v>661</v>
      </c>
    </row>
    <row r="14" spans="1:7">
      <c r="A14" s="1010">
        <v>3</v>
      </c>
      <c r="B14" s="51">
        <v>44994</v>
      </c>
      <c r="C14" s="602" t="s">
        <v>3159</v>
      </c>
      <c r="D14" s="5" t="s">
        <v>683</v>
      </c>
      <c r="E14" s="5" t="s">
        <v>651</v>
      </c>
    </row>
    <row r="15" spans="1:7">
      <c r="A15" s="1010">
        <v>3</v>
      </c>
      <c r="B15" s="191">
        <v>44998</v>
      </c>
      <c r="C15" s="576" t="s">
        <v>692</v>
      </c>
      <c r="D15" s="5" t="s">
        <v>678</v>
      </c>
      <c r="E15" s="5" t="s">
        <v>661</v>
      </c>
    </row>
    <row r="16" spans="1:7">
      <c r="A16" s="1010" t="s">
        <v>686</v>
      </c>
      <c r="B16" s="191">
        <v>45078</v>
      </c>
      <c r="C16" s="602" t="s">
        <v>3160</v>
      </c>
      <c r="D16" s="5" t="s">
        <v>678</v>
      </c>
      <c r="E16" s="5" t="s">
        <v>651</v>
      </c>
    </row>
    <row r="17" spans="1:5">
      <c r="A17" s="1010" t="s">
        <v>686</v>
      </c>
      <c r="B17" s="191">
        <v>45078</v>
      </c>
      <c r="C17" s="5" t="s">
        <v>699</v>
      </c>
      <c r="D17" s="5" t="s">
        <v>678</v>
      </c>
      <c r="E17" s="5" t="s">
        <v>661</v>
      </c>
    </row>
    <row r="18" spans="1:5">
      <c r="A18" s="1010" t="s">
        <v>688</v>
      </c>
      <c r="B18" s="188">
        <v>45097</v>
      </c>
      <c r="C18" s="584" t="s">
        <v>818</v>
      </c>
      <c r="D18" s="585" t="s">
        <v>678</v>
      </c>
      <c r="E18" s="5" t="s">
        <v>655</v>
      </c>
    </row>
    <row r="19" spans="1:5">
      <c r="A19" s="629" t="s">
        <v>690</v>
      </c>
      <c r="B19" s="188">
        <v>45097</v>
      </c>
      <c r="C19" s="602" t="s">
        <v>3160</v>
      </c>
      <c r="D19" s="585" t="s">
        <v>678</v>
      </c>
      <c r="E19" s="586" t="s">
        <v>651</v>
      </c>
    </row>
    <row r="20" spans="1:5">
      <c r="A20" s="1012" t="s">
        <v>690</v>
      </c>
      <c r="B20" s="191">
        <v>45097</v>
      </c>
      <c r="C20" s="594" t="s">
        <v>700</v>
      </c>
      <c r="D20" s="595" t="s">
        <v>678</v>
      </c>
      <c r="E20" s="596" t="s">
        <v>661</v>
      </c>
    </row>
    <row r="21" spans="1:5">
      <c r="A21" s="1012" t="s">
        <v>690</v>
      </c>
      <c r="B21" s="1065">
        <v>45205</v>
      </c>
      <c r="C21" s="595" t="s">
        <v>701</v>
      </c>
      <c r="D21" s="595" t="s">
        <v>678</v>
      </c>
      <c r="E21" s="596" t="s">
        <v>661</v>
      </c>
    </row>
  </sheetData>
  <pageMargins left="0.7" right="0.7" top="0.75" bottom="0.75" header="0.3" footer="0.3"/>
  <headerFooter>
    <oddFooter>&amp;C_x000D_&amp;1#&amp;"Calibri"&amp;11&amp;KFF0000 Internal</oddFooter>
  </headerFooter>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3F121-C8F8-416E-B415-DF07C0E1C932}">
  <sheetPr codeName="Sheet42"/>
  <dimension ref="A1:L7"/>
  <sheetViews>
    <sheetView workbookViewId="0">
      <selection activeCell="C2" sqref="C2:I2"/>
    </sheetView>
  </sheetViews>
  <sheetFormatPr defaultColWidth="9.15625" defaultRowHeight="14.4"/>
  <cols>
    <col min="1" max="1" width="34.83984375" customWidth="1"/>
    <col min="2" max="2" width="41.15625" customWidth="1"/>
    <col min="3" max="3" width="25.41796875" customWidth="1"/>
    <col min="6" max="6" width="17.26171875" customWidth="1"/>
    <col min="9" max="9" width="23.26171875" customWidth="1"/>
    <col min="10" max="10" width="14.26171875" customWidth="1"/>
    <col min="11" max="11" width="22.26171875" customWidth="1"/>
    <col min="12" max="12" width="30" customWidth="1"/>
  </cols>
  <sheetData>
    <row r="1" spans="1:12">
      <c r="A1" s="336" t="s">
        <v>104</v>
      </c>
      <c r="B1" s="339" t="s">
        <v>92</v>
      </c>
      <c r="C1" s="1564" t="s">
        <v>106</v>
      </c>
      <c r="D1" s="1565"/>
      <c r="E1" s="337">
        <v>4</v>
      </c>
      <c r="F1" s="1308" t="s">
        <v>702</v>
      </c>
      <c r="G1" s="1309">
        <v>25832</v>
      </c>
      <c r="H1" s="1308"/>
      <c r="I1" s="1308"/>
      <c r="J1" s="1310" t="s">
        <v>69</v>
      </c>
      <c r="K1" s="1310" t="s">
        <v>703</v>
      </c>
      <c r="L1" s="1275" t="s">
        <v>90</v>
      </c>
    </row>
    <row r="2" spans="1:12" ht="131.25" customHeight="1">
      <c r="A2" s="1566" t="s">
        <v>3161</v>
      </c>
      <c r="B2" s="1567"/>
      <c r="C2" s="1550" t="s">
        <v>1457</v>
      </c>
      <c r="D2" s="1551"/>
      <c r="E2" s="1551"/>
      <c r="F2" s="1551"/>
      <c r="G2" s="1551"/>
      <c r="H2" s="1551"/>
      <c r="I2" s="1552"/>
      <c r="J2" s="240" t="s">
        <v>707</v>
      </c>
      <c r="K2" s="1311" t="s">
        <v>1384</v>
      </c>
      <c r="L2" s="18"/>
    </row>
    <row r="3" spans="1:12">
      <c r="A3" s="1312" t="s">
        <v>709</v>
      </c>
      <c r="B3" s="1313" t="s">
        <v>710</v>
      </c>
      <c r="C3" s="80" t="s">
        <v>711</v>
      </c>
      <c r="D3" s="80" t="s">
        <v>712</v>
      </c>
      <c r="E3" s="80" t="s">
        <v>713</v>
      </c>
      <c r="F3" s="80" t="s">
        <v>714</v>
      </c>
      <c r="G3" s="344" t="s">
        <v>715</v>
      </c>
      <c r="H3" s="80" t="s">
        <v>716</v>
      </c>
      <c r="I3" s="80" t="s">
        <v>717</v>
      </c>
      <c r="J3" s="80" t="s">
        <v>718</v>
      </c>
      <c r="K3" s="357" t="s">
        <v>719</v>
      </c>
      <c r="L3" s="80" t="s">
        <v>720</v>
      </c>
    </row>
    <row r="4" spans="1:12">
      <c r="A4" s="1001" t="s">
        <v>3162</v>
      </c>
      <c r="B4" s="1001" t="s">
        <v>722</v>
      </c>
      <c r="C4" s="418" t="s">
        <v>48</v>
      </c>
      <c r="D4" s="418" t="s">
        <v>48</v>
      </c>
      <c r="E4" s="418" t="s">
        <v>48</v>
      </c>
      <c r="F4" s="418" t="s">
        <v>48</v>
      </c>
      <c r="G4" s="418" t="s">
        <v>48</v>
      </c>
      <c r="H4" s="418">
        <v>216</v>
      </c>
      <c r="I4" s="418" t="s">
        <v>723</v>
      </c>
      <c r="J4" s="345" t="s">
        <v>724</v>
      </c>
      <c r="K4" s="1568">
        <v>1</v>
      </c>
      <c r="L4" s="1570" t="s">
        <v>3163</v>
      </c>
    </row>
    <row r="5" spans="1:12" ht="28.8">
      <c r="A5" s="360" t="s">
        <v>3164</v>
      </c>
      <c r="B5" s="359" t="s">
        <v>1619</v>
      </c>
      <c r="C5" s="345" t="s">
        <v>48</v>
      </c>
      <c r="D5" s="345">
        <v>0</v>
      </c>
      <c r="E5" s="345">
        <v>65535</v>
      </c>
      <c r="F5" s="345" t="s">
        <v>1620</v>
      </c>
      <c r="G5" s="345">
        <v>65535</v>
      </c>
      <c r="H5" s="346">
        <v>16</v>
      </c>
      <c r="I5" s="347" t="s">
        <v>991</v>
      </c>
      <c r="J5" s="348" t="s">
        <v>729</v>
      </c>
      <c r="K5" s="1569"/>
      <c r="L5" s="1571"/>
    </row>
    <row r="6" spans="1:12" ht="41.25" customHeight="1">
      <c r="A6" s="371" t="s">
        <v>3165</v>
      </c>
      <c r="B6" s="372" t="s">
        <v>3166</v>
      </c>
      <c r="C6" s="373" t="s">
        <v>48</v>
      </c>
      <c r="D6" s="373">
        <v>0</v>
      </c>
      <c r="E6" s="373">
        <v>255</v>
      </c>
      <c r="F6" s="374" t="s">
        <v>3167</v>
      </c>
      <c r="G6" s="373">
        <v>255</v>
      </c>
      <c r="H6" s="373">
        <v>8</v>
      </c>
      <c r="I6" s="373" t="s">
        <v>743</v>
      </c>
      <c r="J6" s="373" t="s">
        <v>729</v>
      </c>
      <c r="K6" s="1595">
        <v>640</v>
      </c>
      <c r="L6" s="1635" t="s">
        <v>3168</v>
      </c>
    </row>
    <row r="7" spans="1:12">
      <c r="A7" s="703" t="s">
        <v>3169</v>
      </c>
      <c r="B7" s="370" t="s">
        <v>3170</v>
      </c>
      <c r="C7" s="10" t="s">
        <v>48</v>
      </c>
      <c r="D7" s="10" t="s">
        <v>48</v>
      </c>
      <c r="E7" s="10" t="s">
        <v>48</v>
      </c>
      <c r="F7" s="10" t="s">
        <v>48</v>
      </c>
      <c r="G7" s="10" t="s">
        <v>48</v>
      </c>
      <c r="H7" s="10">
        <v>32</v>
      </c>
      <c r="I7" s="702" t="s">
        <v>3171</v>
      </c>
      <c r="J7" s="10" t="s">
        <v>729</v>
      </c>
      <c r="K7" s="1637"/>
      <c r="L7" s="1636"/>
    </row>
  </sheetData>
  <mergeCells count="7">
    <mergeCell ref="L6:L7"/>
    <mergeCell ref="K6:K7"/>
    <mergeCell ref="L4:L5"/>
    <mergeCell ref="C1:D1"/>
    <mergeCell ref="A2:B2"/>
    <mergeCell ref="C2:I2"/>
    <mergeCell ref="K4:K5"/>
  </mergeCells>
  <conditionalFormatting sqref="C5:J5">
    <cfRule type="expression" dxfId="463" priority="3">
      <formula>MOD(ROW(), 2)=0</formula>
    </cfRule>
  </conditionalFormatting>
  <conditionalFormatting sqref="K4">
    <cfRule type="expression" dxfId="462" priority="2">
      <formula>MOD(ROW(), 2)=0</formula>
    </cfRule>
  </conditionalFormatting>
  <conditionalFormatting sqref="J4">
    <cfRule type="expression" dxfId="461" priority="1">
      <formula>MOD(ROW(), 2)=0</formula>
    </cfRule>
  </conditionalFormatting>
  <hyperlinks>
    <hyperlink ref="J1" location="'Revision Map'!A1" display="INDEX" xr:uid="{15AA30A1-3BC5-477F-AB95-3E0341B5EF4A}"/>
    <hyperlink ref="K1" location="'Cross-FCN_Definitions'!A1" display="Cross-FCN_Definitions" xr:uid="{B0C9C573-171C-4ADE-9FEC-F0D2DD06AA0C}"/>
    <hyperlink ref="L1" location="'AVI_Freespace'!A1" display="AVI_Freespace" xr:uid="{E2E53E72-62F4-4561-9CEE-24EFA9A3B97A}"/>
  </hyperlinks>
  <pageMargins left="0.7" right="0.7" top="0.75" bottom="0.75" header="0.3" footer="0.3"/>
  <headerFooter>
    <oddFooter>&amp;C_x000D_&amp;1#&amp;"Calibri"&amp;11&amp;KFF0000 Internal</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51229-F62D-4EF4-8A73-CF312AFE22DB}">
  <sheetPr codeName="Sheet77"/>
  <dimension ref="A1:E21"/>
  <sheetViews>
    <sheetView topLeftCell="A11" workbookViewId="0">
      <selection activeCell="B21" sqref="B21"/>
    </sheetView>
  </sheetViews>
  <sheetFormatPr defaultColWidth="9.15625" defaultRowHeight="14.4"/>
  <cols>
    <col min="1" max="1" width="11" style="1014" bestFit="1" customWidth="1"/>
    <col min="2" max="2" width="10.41796875" bestFit="1" customWidth="1"/>
    <col min="3" max="3" width="52.83984375" customWidth="1"/>
    <col min="4" max="4" width="19.26171875" customWidth="1"/>
    <col min="5" max="5" width="11.578125" bestFit="1" customWidth="1"/>
  </cols>
  <sheetData>
    <row r="1" spans="1:5">
      <c r="A1" s="670" t="s">
        <v>644</v>
      </c>
      <c r="B1" s="642" t="s">
        <v>645</v>
      </c>
      <c r="C1" s="643" t="s">
        <v>646</v>
      </c>
      <c r="D1" s="643" t="s">
        <v>647</v>
      </c>
      <c r="E1" s="644" t="s">
        <v>793</v>
      </c>
    </row>
    <row r="2" spans="1:5">
      <c r="A2" s="628">
        <v>0.1</v>
      </c>
      <c r="B2" s="356">
        <v>44949</v>
      </c>
      <c r="C2" s="589" t="s">
        <v>3172</v>
      </c>
      <c r="D2" s="590" t="s">
        <v>678</v>
      </c>
      <c r="E2" s="591" t="s">
        <v>655</v>
      </c>
    </row>
    <row r="3" spans="1:5">
      <c r="A3" s="629">
        <v>0.1</v>
      </c>
      <c r="B3" s="188">
        <v>44950</v>
      </c>
      <c r="C3" s="584" t="s">
        <v>1626</v>
      </c>
      <c r="D3" s="585" t="s">
        <v>1627</v>
      </c>
      <c r="E3" s="586" t="s">
        <v>655</v>
      </c>
    </row>
    <row r="4" spans="1:5" ht="86.4">
      <c r="A4" s="1011">
        <v>0.2</v>
      </c>
      <c r="B4" s="515">
        <v>44953</v>
      </c>
      <c r="C4" s="611" t="s">
        <v>3173</v>
      </c>
      <c r="D4" s="590" t="s">
        <v>678</v>
      </c>
      <c r="E4" s="591" t="s">
        <v>655</v>
      </c>
    </row>
    <row r="5" spans="1:5" ht="28.8">
      <c r="A5" s="1010">
        <v>0.2</v>
      </c>
      <c r="B5" s="51">
        <v>44953</v>
      </c>
      <c r="C5" s="576" t="s">
        <v>3174</v>
      </c>
      <c r="D5" s="5" t="s">
        <v>658</v>
      </c>
      <c r="E5" s="5" t="s">
        <v>655</v>
      </c>
    </row>
    <row r="6" spans="1:5">
      <c r="A6" s="1011">
        <v>0.3</v>
      </c>
      <c r="B6" s="515">
        <v>44953</v>
      </c>
      <c r="C6" s="419" t="s">
        <v>3175</v>
      </c>
      <c r="D6" s="590" t="s">
        <v>678</v>
      </c>
      <c r="E6" s="591" t="s">
        <v>655</v>
      </c>
    </row>
    <row r="7" spans="1:5">
      <c r="A7" s="1010">
        <v>0.3</v>
      </c>
      <c r="B7" s="51">
        <v>44953</v>
      </c>
      <c r="C7" s="5" t="s">
        <v>1602</v>
      </c>
      <c r="D7" s="5" t="s">
        <v>658</v>
      </c>
      <c r="E7" s="5" t="s">
        <v>655</v>
      </c>
    </row>
    <row r="8" spans="1:5">
      <c r="A8" s="1010">
        <v>1</v>
      </c>
      <c r="B8" s="51">
        <v>44957</v>
      </c>
      <c r="C8" s="5" t="s">
        <v>1011</v>
      </c>
      <c r="D8" s="5" t="s">
        <v>3151</v>
      </c>
      <c r="E8" s="5" t="s">
        <v>651</v>
      </c>
    </row>
    <row r="9" spans="1:5">
      <c r="A9" s="1010">
        <v>1</v>
      </c>
      <c r="B9" s="51">
        <v>44957</v>
      </c>
      <c r="C9" s="5" t="s">
        <v>687</v>
      </c>
      <c r="D9" s="5" t="s">
        <v>676</v>
      </c>
      <c r="E9" s="5" t="s">
        <v>661</v>
      </c>
    </row>
    <row r="10" spans="1:5">
      <c r="A10" s="1010">
        <v>1</v>
      </c>
      <c r="B10" s="51">
        <v>44970</v>
      </c>
      <c r="C10" s="2" t="s">
        <v>691</v>
      </c>
      <c r="D10" s="5" t="s">
        <v>676</v>
      </c>
      <c r="E10" s="5" t="s">
        <v>661</v>
      </c>
    </row>
    <row r="11" spans="1:5" ht="100.8">
      <c r="A11" s="1010">
        <v>1.1000000000000001</v>
      </c>
      <c r="B11" s="51">
        <v>44987</v>
      </c>
      <c r="C11" s="2" t="s">
        <v>1630</v>
      </c>
      <c r="D11" s="5" t="s">
        <v>3176</v>
      </c>
      <c r="E11" s="5" t="s">
        <v>655</v>
      </c>
    </row>
    <row r="12" spans="1:5">
      <c r="A12" s="1010">
        <v>2</v>
      </c>
      <c r="B12" s="51">
        <v>44994</v>
      </c>
      <c r="C12" s="5" t="s">
        <v>1012</v>
      </c>
      <c r="D12" s="5" t="s">
        <v>3176</v>
      </c>
      <c r="E12" s="5" t="s">
        <v>651</v>
      </c>
    </row>
    <row r="13" spans="1:5">
      <c r="A13" s="1010">
        <v>2</v>
      </c>
      <c r="B13" s="191">
        <v>44998</v>
      </c>
      <c r="C13" s="2" t="s">
        <v>692</v>
      </c>
      <c r="D13" s="5" t="s">
        <v>678</v>
      </c>
      <c r="E13" s="5" t="s">
        <v>661</v>
      </c>
    </row>
    <row r="14" spans="1:5">
      <c r="A14" s="1010">
        <v>2.1</v>
      </c>
      <c r="B14" s="51">
        <v>45077</v>
      </c>
      <c r="C14" s="2" t="s">
        <v>3177</v>
      </c>
      <c r="D14" s="5" t="s">
        <v>683</v>
      </c>
      <c r="E14" s="5" t="s">
        <v>655</v>
      </c>
    </row>
    <row r="15" spans="1:5">
      <c r="A15" s="1010" t="s">
        <v>663</v>
      </c>
      <c r="B15" s="51">
        <v>45078</v>
      </c>
      <c r="C15" t="s">
        <v>1602</v>
      </c>
      <c r="D15" s="5" t="s">
        <v>658</v>
      </c>
      <c r="E15" s="5" t="s">
        <v>655</v>
      </c>
    </row>
    <row r="16" spans="1:5">
      <c r="A16" s="1010" t="s">
        <v>666</v>
      </c>
      <c r="B16" s="51">
        <v>45078</v>
      </c>
      <c r="C16" s="5" t="s">
        <v>1013</v>
      </c>
      <c r="D16" s="5" t="s">
        <v>678</v>
      </c>
      <c r="E16" s="5" t="s">
        <v>651</v>
      </c>
    </row>
    <row r="17" spans="1:5">
      <c r="A17" s="1010" t="s">
        <v>666</v>
      </c>
      <c r="B17" s="191">
        <v>45078</v>
      </c>
      <c r="C17" s="5" t="s">
        <v>699</v>
      </c>
      <c r="D17" s="5" t="s">
        <v>678</v>
      </c>
      <c r="E17" s="5" t="s">
        <v>661</v>
      </c>
    </row>
    <row r="18" spans="1:5">
      <c r="A18" s="1010" t="s">
        <v>668</v>
      </c>
      <c r="B18" s="188">
        <v>45097</v>
      </c>
      <c r="C18" s="584" t="s">
        <v>818</v>
      </c>
      <c r="D18" s="585" t="s">
        <v>678</v>
      </c>
      <c r="E18" s="5" t="s">
        <v>655</v>
      </c>
    </row>
    <row r="19" spans="1:5">
      <c r="A19" s="629" t="s">
        <v>686</v>
      </c>
      <c r="B19" s="188">
        <v>45097</v>
      </c>
      <c r="C19" s="5" t="s">
        <v>1013</v>
      </c>
      <c r="D19" s="585" t="s">
        <v>678</v>
      </c>
      <c r="E19" s="586" t="s">
        <v>651</v>
      </c>
    </row>
    <row r="20" spans="1:5">
      <c r="A20" s="1012" t="s">
        <v>686</v>
      </c>
      <c r="B20" s="191">
        <v>45097</v>
      </c>
      <c r="C20" s="594" t="s">
        <v>700</v>
      </c>
      <c r="D20" s="595" t="s">
        <v>678</v>
      </c>
      <c r="E20" s="596" t="s">
        <v>661</v>
      </c>
    </row>
    <row r="21" spans="1:5">
      <c r="A21" s="1012" t="s">
        <v>686</v>
      </c>
      <c r="B21" s="1065">
        <v>45205</v>
      </c>
      <c r="C21" s="595" t="s">
        <v>701</v>
      </c>
      <c r="D21" s="595" t="s">
        <v>678</v>
      </c>
      <c r="E21" s="596" t="s">
        <v>661</v>
      </c>
    </row>
  </sheetData>
  <pageMargins left="0.7" right="0.7" top="0.75" bottom="0.75" header="0.3" footer="0.3"/>
  <headerFooter>
    <oddFooter>&amp;C_x000D_&amp;1#&amp;"Calibri"&amp;11&amp;KFF0000 Internal</oddFooter>
  </headerFooter>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867AC-5DC1-4CB4-B83A-FC8E2D987B71}">
  <sheetPr codeName="Sheet60"/>
  <dimension ref="A1:L11"/>
  <sheetViews>
    <sheetView zoomScaleNormal="100" workbookViewId="0">
      <pane ySplit="3" topLeftCell="A4" activePane="bottomLeft" state="frozen"/>
      <selection sqref="A1:E1"/>
      <selection pane="bottomLeft"/>
    </sheetView>
  </sheetViews>
  <sheetFormatPr defaultColWidth="9.15625" defaultRowHeight="14.4"/>
  <cols>
    <col min="1" max="1" width="25.578125" customWidth="1"/>
    <col min="2" max="2" width="29.578125" style="2" customWidth="1"/>
    <col min="6" max="6" width="12.26171875" customWidth="1"/>
    <col min="8" max="8" width="8.578125" bestFit="1" customWidth="1"/>
    <col min="9" max="9" width="19.68359375" bestFit="1" customWidth="1"/>
    <col min="10" max="10" width="21.578125" customWidth="1"/>
    <col min="11" max="11" width="26.41796875" bestFit="1" customWidth="1"/>
    <col min="12" max="12" width="22.83984375" bestFit="1" customWidth="1"/>
    <col min="13" max="13" width="16.41796875" customWidth="1"/>
  </cols>
  <sheetData>
    <row r="1" spans="1:12">
      <c r="A1" s="41" t="s">
        <v>104</v>
      </c>
      <c r="B1" s="95" t="s">
        <v>85</v>
      </c>
      <c r="C1" s="1642" t="s">
        <v>106</v>
      </c>
      <c r="D1" s="1643"/>
      <c r="E1" s="655">
        <v>6</v>
      </c>
      <c r="F1" s="1274" t="s">
        <v>702</v>
      </c>
      <c r="G1" s="1273">
        <v>456</v>
      </c>
      <c r="H1" s="1274"/>
      <c r="I1" s="1314" t="s">
        <v>69</v>
      </c>
      <c r="J1" s="1314" t="s">
        <v>703</v>
      </c>
      <c r="K1" s="177" t="s">
        <v>3178</v>
      </c>
      <c r="L1" s="568" t="s">
        <v>3179</v>
      </c>
    </row>
    <row r="2" spans="1:12" ht="45" customHeight="1">
      <c r="A2" s="1638" t="s">
        <v>1456</v>
      </c>
      <c r="B2" s="1638"/>
      <c r="C2" s="1550" t="s">
        <v>1457</v>
      </c>
      <c r="D2" s="1551"/>
      <c r="E2" s="1551"/>
      <c r="F2" s="1551"/>
      <c r="G2" s="1551"/>
      <c r="H2" s="1551"/>
      <c r="I2" s="1552"/>
      <c r="J2" s="240" t="s">
        <v>707</v>
      </c>
      <c r="K2" s="1277" t="s">
        <v>1384</v>
      </c>
      <c r="L2" s="245"/>
    </row>
    <row r="3" spans="1:12">
      <c r="A3" s="1315" t="s">
        <v>709</v>
      </c>
      <c r="B3" s="1316" t="s">
        <v>710</v>
      </c>
      <c r="C3" s="125" t="s">
        <v>711</v>
      </c>
      <c r="D3" s="125" t="s">
        <v>712</v>
      </c>
      <c r="E3" s="125" t="s">
        <v>713</v>
      </c>
      <c r="F3" s="125" t="s">
        <v>714</v>
      </c>
      <c r="G3" s="126" t="s">
        <v>715</v>
      </c>
      <c r="H3" s="125" t="s">
        <v>716</v>
      </c>
      <c r="I3" s="125" t="s">
        <v>717</v>
      </c>
      <c r="J3" s="1317" t="s">
        <v>718</v>
      </c>
      <c r="K3" s="1317" t="s">
        <v>719</v>
      </c>
      <c r="L3" s="1315" t="s">
        <v>720</v>
      </c>
    </row>
    <row r="4" spans="1:12" ht="25.8">
      <c r="A4" s="1291" t="s">
        <v>3180</v>
      </c>
      <c r="B4" s="1291" t="s">
        <v>722</v>
      </c>
      <c r="C4" s="123" t="s">
        <v>48</v>
      </c>
      <c r="D4" s="123" t="s">
        <v>48</v>
      </c>
      <c r="E4" s="123" t="s">
        <v>48</v>
      </c>
      <c r="F4" s="123" t="s">
        <v>48</v>
      </c>
      <c r="G4" s="123" t="s">
        <v>48</v>
      </c>
      <c r="H4" s="123">
        <v>216</v>
      </c>
      <c r="I4" s="123" t="s">
        <v>723</v>
      </c>
      <c r="J4" s="1318" t="s">
        <v>729</v>
      </c>
      <c r="K4" s="1634">
        <v>1</v>
      </c>
      <c r="L4" s="1639" t="s">
        <v>3181</v>
      </c>
    </row>
    <row r="5" spans="1:12" ht="103.5" customHeight="1">
      <c r="A5" s="1319" t="s">
        <v>3182</v>
      </c>
      <c r="B5" s="111" t="s">
        <v>3183</v>
      </c>
      <c r="C5" s="1320" t="s">
        <v>48</v>
      </c>
      <c r="D5" s="1320" t="s">
        <v>48</v>
      </c>
      <c r="E5" s="1320" t="s">
        <v>48</v>
      </c>
      <c r="F5" s="1320" t="s">
        <v>48</v>
      </c>
      <c r="G5" s="1320" t="s">
        <v>48</v>
      </c>
      <c r="H5" s="1320">
        <v>8</v>
      </c>
      <c r="I5" s="1321" t="s">
        <v>3184</v>
      </c>
      <c r="J5" s="1320" t="s">
        <v>729</v>
      </c>
      <c r="K5" s="1634"/>
      <c r="L5" s="1640"/>
    </row>
    <row r="6" spans="1:12" ht="111" customHeight="1">
      <c r="A6" s="1319" t="s">
        <v>3185</v>
      </c>
      <c r="B6" s="1319" t="s">
        <v>3186</v>
      </c>
      <c r="C6" s="1322" t="s">
        <v>48</v>
      </c>
      <c r="D6" s="1322" t="s">
        <v>48</v>
      </c>
      <c r="E6" s="1322" t="s">
        <v>48</v>
      </c>
      <c r="F6" s="1322" t="s">
        <v>48</v>
      </c>
      <c r="G6" s="1322" t="s">
        <v>48</v>
      </c>
      <c r="H6" s="1322">
        <v>8</v>
      </c>
      <c r="I6" s="1323" t="s">
        <v>3187</v>
      </c>
      <c r="J6" s="1322" t="s">
        <v>729</v>
      </c>
      <c r="K6" s="1634"/>
      <c r="L6" s="1640"/>
    </row>
    <row r="7" spans="1:12" ht="26.1">
      <c r="A7" s="1319" t="s">
        <v>3188</v>
      </c>
      <c r="B7" s="1324" t="s">
        <v>3189</v>
      </c>
      <c r="C7" s="1320" t="s">
        <v>48</v>
      </c>
      <c r="D7" s="1320" t="s">
        <v>48</v>
      </c>
      <c r="E7" s="1320" t="s">
        <v>48</v>
      </c>
      <c r="F7" s="1320" t="s">
        <v>48</v>
      </c>
      <c r="G7" s="1320" t="s">
        <v>48</v>
      </c>
      <c r="H7" s="1320">
        <v>8</v>
      </c>
      <c r="I7" s="1321" t="s">
        <v>3190</v>
      </c>
      <c r="J7" s="1320" t="s">
        <v>729</v>
      </c>
      <c r="K7" s="1634"/>
      <c r="L7" s="1640"/>
    </row>
    <row r="8" spans="1:12" ht="25.8">
      <c r="A8" s="1319" t="s">
        <v>3191</v>
      </c>
      <c r="B8" s="1322" t="s">
        <v>3192</v>
      </c>
      <c r="C8" s="1325" t="s">
        <v>48</v>
      </c>
      <c r="D8" s="1325" t="s">
        <v>48</v>
      </c>
      <c r="E8" s="1325" t="s">
        <v>48</v>
      </c>
      <c r="F8" s="1325" t="s">
        <v>48</v>
      </c>
      <c r="G8" s="1325" t="s">
        <v>48</v>
      </c>
      <c r="H8" s="1326">
        <v>8</v>
      </c>
      <c r="I8" s="1327" t="s">
        <v>1538</v>
      </c>
      <c r="J8" s="1322" t="s">
        <v>729</v>
      </c>
      <c r="K8" s="1634"/>
      <c r="L8" s="1640"/>
    </row>
    <row r="9" spans="1:12">
      <c r="A9" s="1319" t="s">
        <v>3193</v>
      </c>
      <c r="B9" s="1324" t="s">
        <v>3194</v>
      </c>
      <c r="C9" s="1320" t="s">
        <v>48</v>
      </c>
      <c r="D9" s="1320" t="s">
        <v>48</v>
      </c>
      <c r="E9" s="1320" t="s">
        <v>48</v>
      </c>
      <c r="F9" s="1320" t="s">
        <v>48</v>
      </c>
      <c r="G9" s="1320" t="s">
        <v>48</v>
      </c>
      <c r="H9" s="1320">
        <v>168</v>
      </c>
      <c r="I9" s="1321" t="s">
        <v>3195</v>
      </c>
      <c r="J9" s="1320" t="s">
        <v>729</v>
      </c>
      <c r="K9" s="1634"/>
      <c r="L9" s="1640"/>
    </row>
    <row r="10" spans="1:12" ht="26.1">
      <c r="A10" s="1319" t="s">
        <v>3196</v>
      </c>
      <c r="B10" s="112" t="s">
        <v>3197</v>
      </c>
      <c r="C10" s="1322" t="s">
        <v>48</v>
      </c>
      <c r="D10" s="1322" t="s">
        <v>48</v>
      </c>
      <c r="E10" s="1322" t="s">
        <v>48</v>
      </c>
      <c r="F10" s="1322" t="s">
        <v>48</v>
      </c>
      <c r="G10" s="1322" t="s">
        <v>48</v>
      </c>
      <c r="H10" s="1322">
        <v>32</v>
      </c>
      <c r="I10" s="1328" t="s">
        <v>3198</v>
      </c>
      <c r="J10" s="1329" t="s">
        <v>729</v>
      </c>
      <c r="K10" s="1634"/>
      <c r="L10" s="1640"/>
    </row>
    <row r="11" spans="1:12" ht="25.8">
      <c r="A11" s="1330" t="s">
        <v>3199</v>
      </c>
      <c r="B11" s="1331" t="s">
        <v>3200</v>
      </c>
      <c r="C11" s="1332" t="s">
        <v>48</v>
      </c>
      <c r="D11" s="1332">
        <v>0</v>
      </c>
      <c r="E11" s="1332">
        <v>1</v>
      </c>
      <c r="F11" s="1333" t="s">
        <v>1055</v>
      </c>
      <c r="G11" s="1332">
        <v>0</v>
      </c>
      <c r="H11" s="1334">
        <v>8</v>
      </c>
      <c r="I11" s="1332" t="s">
        <v>1056</v>
      </c>
      <c r="J11" s="1332" t="s">
        <v>729</v>
      </c>
      <c r="K11" s="1634"/>
      <c r="L11" s="1641"/>
    </row>
  </sheetData>
  <autoFilter ref="A3:L11" xr:uid="{76E867AC-5DC1-4CB4-B83A-FC8E2D987B71}"/>
  <mergeCells count="5">
    <mergeCell ref="A2:B2"/>
    <mergeCell ref="K4:K11"/>
    <mergeCell ref="L4:L11"/>
    <mergeCell ref="C1:D1"/>
    <mergeCell ref="C2:I2"/>
  </mergeCells>
  <conditionalFormatting sqref="B4:H4 B6:H6 B8:H8">
    <cfRule type="expression" dxfId="452" priority="19">
      <formula>MOD(ROW(), 2)=0</formula>
    </cfRule>
  </conditionalFormatting>
  <conditionalFormatting sqref="A4">
    <cfRule type="expression" dxfId="451" priority="13">
      <formula>MOD(ROW(), 2)=0</formula>
    </cfRule>
  </conditionalFormatting>
  <conditionalFormatting sqref="A6:A10">
    <cfRule type="expression" dxfId="450" priority="11">
      <formula>MOD(ROW(), 2)=0</formula>
    </cfRule>
  </conditionalFormatting>
  <conditionalFormatting sqref="A5">
    <cfRule type="expression" dxfId="449" priority="12">
      <formula>MOD(ROW(), 2)=0</formula>
    </cfRule>
  </conditionalFormatting>
  <conditionalFormatting sqref="I4:J4">
    <cfRule type="expression" dxfId="448" priority="10">
      <formula>MOD(ROW(), 2)=0</formula>
    </cfRule>
  </conditionalFormatting>
  <conditionalFormatting sqref="B5">
    <cfRule type="notContainsErrors" dxfId="447" priority="9">
      <formula>NOT(ISERROR(B5))</formula>
    </cfRule>
  </conditionalFormatting>
  <conditionalFormatting sqref="B10">
    <cfRule type="notContainsErrors" dxfId="446" priority="8">
      <formula>NOT(ISERROR(B10))</formula>
    </cfRule>
  </conditionalFormatting>
  <conditionalFormatting sqref="I6:J6">
    <cfRule type="expression" dxfId="445" priority="5">
      <formula>MOD(ROW(), 2)=0</formula>
    </cfRule>
  </conditionalFormatting>
  <conditionalFormatting sqref="I8:J8">
    <cfRule type="expression" dxfId="444" priority="4">
      <formula>MOD(ROW(), 2)=0</formula>
    </cfRule>
  </conditionalFormatting>
  <conditionalFormatting sqref="H11">
    <cfRule type="expression" dxfId="443" priority="2">
      <formula>MOD(ROW(), 2)=0</formula>
    </cfRule>
  </conditionalFormatting>
  <conditionalFormatting sqref="C10:H10">
    <cfRule type="expression" dxfId="442" priority="1">
      <formula>MOD(ROW(), 2)=0</formula>
    </cfRule>
  </conditionalFormatting>
  <hyperlinks>
    <hyperlink ref="L1" location="'AVI_HLB_Config'!A1" display="AVI_HLB_Config" xr:uid="{DBBCFD8A-4DE9-4EAA-BCBA-86509DEC841E}"/>
    <hyperlink ref="I1" location="'Revision Map'!A1" display="INDEX" xr:uid="{F6D71E1A-372F-44C9-8A2F-0C004CE8BBF9}"/>
    <hyperlink ref="J1" location="'Cross-FCN_Definitions'!A1" display="Cross-FCN_Definitions" xr:uid="{C96CA797-A823-4F62-B301-A43D74E9BA49}"/>
    <hyperlink ref="K1" location="Light_Scene_Definitions!A1" display="Light_Scene_Definitions" xr:uid="{A43DE0C3-9938-4F87-8523-5C2741AE020B}"/>
  </hyperlinks>
  <pageMargins left="0.7" right="0.7" top="0.75" bottom="0.75" header="0.3" footer="0.3"/>
  <headerFooter>
    <oddFooter>&amp;C_x000D_&amp;1#&amp;"Calibri"&amp;11&amp;KFF0000 Internal</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6EEB2-20EF-4B67-82EA-E4BCA1DC0477}">
  <sheetPr codeName="Sheet61"/>
  <dimension ref="A1:F33"/>
  <sheetViews>
    <sheetView topLeftCell="A2" workbookViewId="0">
      <selection activeCell="A2" sqref="A2:A33"/>
    </sheetView>
  </sheetViews>
  <sheetFormatPr defaultColWidth="9.15625" defaultRowHeight="14.4"/>
  <cols>
    <col min="1" max="1" width="11" style="1010" bestFit="1" customWidth="1"/>
    <col min="2" max="2" width="13" style="51" customWidth="1"/>
    <col min="3" max="3" width="81" style="2" customWidth="1"/>
    <col min="4" max="4" width="17.578125" bestFit="1" customWidth="1"/>
    <col min="5" max="5" width="9.68359375" bestFit="1" customWidth="1"/>
  </cols>
  <sheetData>
    <row r="1" spans="1:6">
      <c r="A1" s="1032" t="s">
        <v>644</v>
      </c>
      <c r="B1" s="656" t="s">
        <v>645</v>
      </c>
      <c r="C1" s="657" t="s">
        <v>646</v>
      </c>
      <c r="D1" s="658" t="s">
        <v>647</v>
      </c>
      <c r="E1" s="659" t="s">
        <v>648</v>
      </c>
      <c r="F1" s="30"/>
    </row>
    <row r="2" spans="1:6">
      <c r="A2" s="1010" t="s">
        <v>49</v>
      </c>
      <c r="B2" s="51">
        <v>44449</v>
      </c>
      <c r="C2" s="576" t="s">
        <v>3201</v>
      </c>
      <c r="D2" s="5" t="s">
        <v>3202</v>
      </c>
      <c r="E2" s="5" t="s">
        <v>651</v>
      </c>
    </row>
    <row r="3" spans="1:6">
      <c r="A3" s="1010">
        <v>1</v>
      </c>
      <c r="B3" s="51">
        <v>44452</v>
      </c>
      <c r="C3" s="576" t="s">
        <v>1345</v>
      </c>
      <c r="D3" s="5" t="s">
        <v>654</v>
      </c>
      <c r="E3" s="5" t="s">
        <v>661</v>
      </c>
    </row>
    <row r="4" spans="1:6" ht="72">
      <c r="A4" s="1010">
        <v>1.1000000000000001</v>
      </c>
      <c r="B4" s="51">
        <v>44686</v>
      </c>
      <c r="C4" s="576" t="s">
        <v>3203</v>
      </c>
      <c r="D4" s="5" t="s">
        <v>658</v>
      </c>
      <c r="E4" s="5" t="s">
        <v>655</v>
      </c>
    </row>
    <row r="5" spans="1:6" ht="28.8">
      <c r="A5" s="1010">
        <v>1.2</v>
      </c>
      <c r="B5" s="51">
        <v>44694</v>
      </c>
      <c r="C5" s="576" t="s">
        <v>3204</v>
      </c>
      <c r="D5" s="5" t="s">
        <v>658</v>
      </c>
      <c r="E5" s="5" t="s">
        <v>655</v>
      </c>
    </row>
    <row r="6" spans="1:6">
      <c r="A6" s="1010">
        <v>1.2</v>
      </c>
      <c r="B6" s="51">
        <v>44697</v>
      </c>
      <c r="C6" s="576" t="s">
        <v>999</v>
      </c>
      <c r="D6" s="5" t="s">
        <v>3176</v>
      </c>
      <c r="E6" s="5" t="s">
        <v>655</v>
      </c>
    </row>
    <row r="7" spans="1:6">
      <c r="A7" s="1010">
        <v>1.3</v>
      </c>
      <c r="B7" s="51">
        <v>44698</v>
      </c>
      <c r="C7" s="576"/>
      <c r="D7" s="5" t="s">
        <v>658</v>
      </c>
      <c r="E7" s="5" t="s">
        <v>655</v>
      </c>
    </row>
    <row r="8" spans="1:6">
      <c r="A8" s="1010">
        <v>1.4</v>
      </c>
      <c r="B8" s="51">
        <v>44706</v>
      </c>
      <c r="C8" s="576" t="s">
        <v>1357</v>
      </c>
      <c r="D8" s="5" t="s">
        <v>658</v>
      </c>
      <c r="E8" s="5" t="s">
        <v>655</v>
      </c>
    </row>
    <row r="9" spans="1:6">
      <c r="A9" s="1010">
        <v>1.4</v>
      </c>
      <c r="B9" s="51">
        <v>44711</v>
      </c>
      <c r="C9" s="576" t="s">
        <v>3205</v>
      </c>
      <c r="D9" s="5" t="s">
        <v>654</v>
      </c>
      <c r="E9" s="5" t="s">
        <v>655</v>
      </c>
    </row>
    <row r="10" spans="1:6">
      <c r="A10" s="1010">
        <v>2</v>
      </c>
      <c r="B10" s="51">
        <v>44711</v>
      </c>
      <c r="C10" s="576" t="s">
        <v>3206</v>
      </c>
      <c r="D10" s="5" t="s">
        <v>658</v>
      </c>
      <c r="E10" s="5" t="s">
        <v>651</v>
      </c>
    </row>
    <row r="11" spans="1:6">
      <c r="A11" s="1010">
        <v>2</v>
      </c>
      <c r="B11" s="51">
        <v>44719</v>
      </c>
      <c r="C11" s="576" t="s">
        <v>660</v>
      </c>
      <c r="D11" s="5" t="s">
        <v>654</v>
      </c>
      <c r="E11" s="5" t="s">
        <v>661</v>
      </c>
    </row>
    <row r="12" spans="1:6">
      <c r="A12" s="1010">
        <v>2</v>
      </c>
      <c r="B12" s="51">
        <v>44741</v>
      </c>
      <c r="C12" s="576" t="s">
        <v>3207</v>
      </c>
      <c r="D12" s="5" t="s">
        <v>658</v>
      </c>
      <c r="E12" s="5" t="s">
        <v>651</v>
      </c>
    </row>
    <row r="13" spans="1:6">
      <c r="A13" s="1010">
        <v>2</v>
      </c>
      <c r="B13" s="51">
        <v>44742</v>
      </c>
      <c r="C13" s="576" t="s">
        <v>667</v>
      </c>
      <c r="D13" s="5" t="s">
        <v>654</v>
      </c>
      <c r="E13" s="5" t="s">
        <v>661</v>
      </c>
    </row>
    <row r="14" spans="1:6">
      <c r="A14" s="1010">
        <v>2.1</v>
      </c>
      <c r="B14" s="51">
        <v>44804</v>
      </c>
      <c r="C14" s="576" t="s">
        <v>3208</v>
      </c>
      <c r="D14" s="5" t="s">
        <v>658</v>
      </c>
      <c r="E14" s="5" t="s">
        <v>655</v>
      </c>
    </row>
    <row r="15" spans="1:6" ht="28.8">
      <c r="A15" s="1010">
        <v>2.2000000000000002</v>
      </c>
      <c r="B15" s="51">
        <v>44895</v>
      </c>
      <c r="C15" s="576" t="s">
        <v>1363</v>
      </c>
      <c r="D15" s="5" t="s">
        <v>683</v>
      </c>
      <c r="E15" s="5" t="s">
        <v>655</v>
      </c>
    </row>
    <row r="16" spans="1:6" ht="72">
      <c r="A16" s="1010">
        <v>2.2999999999999998</v>
      </c>
      <c r="B16" s="51">
        <v>44900</v>
      </c>
      <c r="C16" s="576" t="s">
        <v>3209</v>
      </c>
      <c r="D16" s="5" t="s">
        <v>676</v>
      </c>
      <c r="E16" s="5" t="s">
        <v>655</v>
      </c>
    </row>
    <row r="17" spans="1:5">
      <c r="A17" s="1010">
        <v>2.2999999999999998</v>
      </c>
      <c r="B17" s="51">
        <v>44902</v>
      </c>
      <c r="C17" s="576" t="s">
        <v>3210</v>
      </c>
      <c r="D17" s="5" t="s">
        <v>678</v>
      </c>
      <c r="E17" s="5" t="s">
        <v>655</v>
      </c>
    </row>
    <row r="18" spans="1:5">
      <c r="A18" s="1010">
        <v>2.4</v>
      </c>
      <c r="B18" s="51">
        <v>44904</v>
      </c>
      <c r="C18" s="576" t="s">
        <v>3211</v>
      </c>
      <c r="D18" s="5" t="s">
        <v>676</v>
      </c>
      <c r="E18" s="5" t="s">
        <v>655</v>
      </c>
    </row>
    <row r="19" spans="1:5">
      <c r="A19" s="1010">
        <v>2.4</v>
      </c>
      <c r="B19" s="188">
        <v>44937</v>
      </c>
      <c r="C19" s="585" t="s">
        <v>677</v>
      </c>
      <c r="D19" s="585" t="s">
        <v>678</v>
      </c>
      <c r="E19" s="586" t="s">
        <v>655</v>
      </c>
    </row>
    <row r="20" spans="1:5">
      <c r="A20" s="629">
        <v>2.4</v>
      </c>
      <c r="B20" s="188">
        <v>44945</v>
      </c>
      <c r="C20" s="584" t="s">
        <v>1373</v>
      </c>
      <c r="D20" s="585" t="s">
        <v>1001</v>
      </c>
      <c r="E20" s="586" t="s">
        <v>655</v>
      </c>
    </row>
    <row r="21" spans="1:5">
      <c r="A21" s="629">
        <v>2.5</v>
      </c>
      <c r="B21" s="188">
        <v>44946</v>
      </c>
      <c r="C21" s="576" t="s">
        <v>3212</v>
      </c>
      <c r="D21" s="5" t="s">
        <v>796</v>
      </c>
      <c r="E21" s="5" t="s">
        <v>655</v>
      </c>
    </row>
    <row r="22" spans="1:5">
      <c r="A22" s="1010">
        <v>2.5</v>
      </c>
      <c r="B22" s="51">
        <v>44951</v>
      </c>
      <c r="C22" s="576" t="s">
        <v>3210</v>
      </c>
      <c r="D22" s="5" t="s">
        <v>658</v>
      </c>
      <c r="E22" s="5" t="s">
        <v>655</v>
      </c>
    </row>
    <row r="23" spans="1:5">
      <c r="A23" s="1010">
        <v>3</v>
      </c>
      <c r="B23" s="51">
        <v>44957</v>
      </c>
      <c r="C23" s="602" t="s">
        <v>3213</v>
      </c>
      <c r="D23" s="585" t="s">
        <v>678</v>
      </c>
      <c r="E23" s="5" t="s">
        <v>651</v>
      </c>
    </row>
    <row r="24" spans="1:5">
      <c r="A24" s="1010">
        <v>3</v>
      </c>
      <c r="B24" s="191">
        <v>44957</v>
      </c>
      <c r="C24" s="5" t="s">
        <v>687</v>
      </c>
      <c r="D24" s="595" t="s">
        <v>676</v>
      </c>
      <c r="E24" s="5" t="s">
        <v>661</v>
      </c>
    </row>
    <row r="25" spans="1:5">
      <c r="A25" s="1010">
        <v>3</v>
      </c>
      <c r="B25" s="191">
        <v>44970</v>
      </c>
      <c r="C25" s="2" t="s">
        <v>691</v>
      </c>
      <c r="D25" s="595" t="s">
        <v>676</v>
      </c>
      <c r="E25" s="5" t="s">
        <v>661</v>
      </c>
    </row>
    <row r="26" spans="1:5">
      <c r="A26" s="1010">
        <v>4</v>
      </c>
      <c r="B26" s="191">
        <v>44994</v>
      </c>
      <c r="C26" s="602" t="s">
        <v>3214</v>
      </c>
      <c r="D26" s="595" t="s">
        <v>683</v>
      </c>
      <c r="E26" s="5" t="s">
        <v>651</v>
      </c>
    </row>
    <row r="27" spans="1:5">
      <c r="A27" s="1010">
        <v>4</v>
      </c>
      <c r="B27" s="191">
        <v>44998</v>
      </c>
      <c r="C27" s="2" t="s">
        <v>692</v>
      </c>
      <c r="D27" s="595" t="s">
        <v>678</v>
      </c>
      <c r="E27" s="5" t="s">
        <v>661</v>
      </c>
    </row>
    <row r="28" spans="1:5">
      <c r="A28" s="1010" t="s">
        <v>690</v>
      </c>
      <c r="B28" s="191">
        <v>45078</v>
      </c>
      <c r="C28" s="602" t="s">
        <v>3215</v>
      </c>
      <c r="D28" s="595" t="s">
        <v>678</v>
      </c>
      <c r="E28" s="5" t="s">
        <v>651</v>
      </c>
    </row>
    <row r="29" spans="1:5">
      <c r="A29" s="1010" t="s">
        <v>690</v>
      </c>
      <c r="B29" s="188">
        <v>45078</v>
      </c>
      <c r="C29" s="5" t="s">
        <v>699</v>
      </c>
      <c r="D29" s="585" t="s">
        <v>678</v>
      </c>
      <c r="E29" s="5" t="s">
        <v>661</v>
      </c>
    </row>
    <row r="30" spans="1:5">
      <c r="A30" s="628" t="s">
        <v>693</v>
      </c>
      <c r="B30" s="575">
        <v>45097</v>
      </c>
      <c r="C30" s="589" t="s">
        <v>818</v>
      </c>
      <c r="D30" s="590" t="s">
        <v>678</v>
      </c>
      <c r="E30" s="591" t="s">
        <v>655</v>
      </c>
    </row>
    <row r="31" spans="1:5">
      <c r="A31" s="629" t="s">
        <v>698</v>
      </c>
      <c r="B31" s="188">
        <v>45097</v>
      </c>
      <c r="C31" s="1066" t="s">
        <v>3215</v>
      </c>
      <c r="D31" s="585" t="s">
        <v>678</v>
      </c>
      <c r="E31" s="586" t="s">
        <v>651</v>
      </c>
    </row>
    <row r="32" spans="1:5">
      <c r="A32" s="1061" t="s">
        <v>698</v>
      </c>
      <c r="B32" s="742">
        <v>45097</v>
      </c>
      <c r="C32" s="1062" t="s">
        <v>700</v>
      </c>
      <c r="D32" s="1063" t="s">
        <v>678</v>
      </c>
      <c r="E32" s="1064" t="s">
        <v>661</v>
      </c>
    </row>
    <row r="33" spans="1:5">
      <c r="A33" s="1012" t="s">
        <v>698</v>
      </c>
      <c r="B33" s="1065">
        <v>45205</v>
      </c>
      <c r="C33" s="595" t="s">
        <v>701</v>
      </c>
      <c r="D33" s="595" t="s">
        <v>678</v>
      </c>
      <c r="E33" s="596" t="s">
        <v>661</v>
      </c>
    </row>
  </sheetData>
  <pageMargins left="0.7" right="0.7" top="0.75" bottom="0.75" header="0.3" footer="0.3"/>
  <pageSetup paperSize="9" orientation="portrait" r:id="rId1"/>
  <headerFooter>
    <oddFooter>&amp;C_x000D_&amp;1#&amp;"Calibri"&amp;11&amp;KFF0000 Internal</oddFooter>
  </headerFooter>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9A952-F6C5-4DCE-8420-AF22B5D73412}">
  <sheetPr codeName="Sheet78"/>
  <dimension ref="A1:L206"/>
  <sheetViews>
    <sheetView workbookViewId="0">
      <pane ySplit="3" topLeftCell="A162" activePane="bottomLeft" state="frozen"/>
      <selection pane="bottomLeft" activeCell="A171" sqref="A171"/>
    </sheetView>
  </sheetViews>
  <sheetFormatPr defaultColWidth="9.15625" defaultRowHeight="14.4"/>
  <cols>
    <col min="1" max="1" width="42" customWidth="1"/>
    <col min="2" max="2" width="44" customWidth="1"/>
    <col min="3" max="3" width="6.68359375" customWidth="1"/>
    <col min="4" max="4" width="6.578125" customWidth="1"/>
    <col min="5" max="5" width="6.83984375" bestFit="1" customWidth="1"/>
    <col min="6" max="6" width="16.83984375" customWidth="1"/>
    <col min="8" max="8" width="6.41796875" bestFit="1" customWidth="1"/>
    <col min="9" max="9" width="12.41796875" customWidth="1"/>
    <col min="10" max="10" width="16.26171875" customWidth="1"/>
    <col min="11" max="11" width="22.26171875" bestFit="1" customWidth="1"/>
    <col min="12" max="12" width="16" customWidth="1"/>
  </cols>
  <sheetData>
    <row r="1" spans="1:12">
      <c r="A1" s="334" t="s">
        <v>104</v>
      </c>
      <c r="B1" s="335" t="s">
        <v>3179</v>
      </c>
      <c r="C1" s="1644" t="s">
        <v>106</v>
      </c>
      <c r="D1" s="1645"/>
      <c r="E1" s="738">
        <v>5</v>
      </c>
      <c r="F1" s="1335" t="s">
        <v>702</v>
      </c>
      <c r="G1" s="1336">
        <v>2664</v>
      </c>
      <c r="H1" s="1336" t="s">
        <v>102</v>
      </c>
      <c r="I1" s="1336" t="s">
        <v>102</v>
      </c>
      <c r="J1" s="1337" t="s">
        <v>69</v>
      </c>
      <c r="K1" s="1338" t="s">
        <v>703</v>
      </c>
      <c r="L1" s="860" t="s">
        <v>85</v>
      </c>
    </row>
    <row r="2" spans="1:12" ht="43.5" customHeight="1">
      <c r="A2" s="1532" t="s">
        <v>1456</v>
      </c>
      <c r="B2" s="1532"/>
      <c r="C2" s="1550" t="s">
        <v>1457</v>
      </c>
      <c r="D2" s="1551"/>
      <c r="E2" s="1551"/>
      <c r="F2" s="1551"/>
      <c r="G2" s="1551"/>
      <c r="H2" s="1551"/>
      <c r="I2" s="1552"/>
      <c r="J2" s="518" t="s">
        <v>707</v>
      </c>
      <c r="K2" s="333">
        <v>1</v>
      </c>
      <c r="L2" s="861" t="s">
        <v>102</v>
      </c>
    </row>
    <row r="3" spans="1:12">
      <c r="A3" s="331" t="s">
        <v>709</v>
      </c>
      <c r="B3" s="122" t="s">
        <v>710</v>
      </c>
      <c r="C3" s="330" t="s">
        <v>711</v>
      </c>
      <c r="D3" s="331" t="s">
        <v>712</v>
      </c>
      <c r="E3" s="331" t="s">
        <v>713</v>
      </c>
      <c r="F3" s="331" t="s">
        <v>714</v>
      </c>
      <c r="G3" s="331" t="s">
        <v>715</v>
      </c>
      <c r="H3" s="331" t="s">
        <v>716</v>
      </c>
      <c r="I3" s="517" t="s">
        <v>717</v>
      </c>
      <c r="J3" s="516" t="s">
        <v>718</v>
      </c>
      <c r="K3" s="157" t="s">
        <v>719</v>
      </c>
      <c r="L3" s="1339" t="s">
        <v>720</v>
      </c>
    </row>
    <row r="4" spans="1:12">
      <c r="A4" s="1340" t="s">
        <v>3216</v>
      </c>
      <c r="B4" s="693" t="s">
        <v>1459</v>
      </c>
      <c r="C4" s="694" t="s">
        <v>48</v>
      </c>
      <c r="D4" s="694" t="s">
        <v>48</v>
      </c>
      <c r="E4" s="694" t="s">
        <v>48</v>
      </c>
      <c r="F4" s="694" t="s">
        <v>48</v>
      </c>
      <c r="G4" s="694" t="s">
        <v>48</v>
      </c>
      <c r="H4" s="407">
        <v>16</v>
      </c>
      <c r="I4" s="694" t="s">
        <v>823</v>
      </c>
      <c r="J4" s="133" t="s">
        <v>729</v>
      </c>
      <c r="K4" s="1646">
        <v>1</v>
      </c>
      <c r="L4" s="1581" t="s">
        <v>3217</v>
      </c>
    </row>
    <row r="5" spans="1:12">
      <c r="A5" s="695" t="s">
        <v>3218</v>
      </c>
      <c r="B5" s="691" t="s">
        <v>826</v>
      </c>
      <c r="C5" s="26" t="s">
        <v>48</v>
      </c>
      <c r="D5" s="26" t="s">
        <v>48</v>
      </c>
      <c r="E5" s="26" t="s">
        <v>48</v>
      </c>
      <c r="F5" s="26" t="s">
        <v>48</v>
      </c>
      <c r="G5" s="26" t="s">
        <v>48</v>
      </c>
      <c r="H5" s="10">
        <v>8</v>
      </c>
      <c r="I5" s="26" t="s">
        <v>827</v>
      </c>
      <c r="J5" s="692" t="s">
        <v>729</v>
      </c>
      <c r="K5" s="1647"/>
      <c r="L5" s="1581"/>
    </row>
    <row r="6" spans="1:12" ht="38.700000000000003">
      <c r="A6" s="1341" t="s">
        <v>3219</v>
      </c>
      <c r="B6" s="717" t="s">
        <v>3220</v>
      </c>
      <c r="C6" s="718" t="s">
        <v>48</v>
      </c>
      <c r="D6" s="718" t="s">
        <v>48</v>
      </c>
      <c r="E6" s="718" t="s">
        <v>48</v>
      </c>
      <c r="F6" s="718" t="s">
        <v>48</v>
      </c>
      <c r="G6" s="718" t="s">
        <v>48</v>
      </c>
      <c r="H6" s="718">
        <v>8</v>
      </c>
      <c r="I6" s="719" t="s">
        <v>839</v>
      </c>
      <c r="J6" s="720" t="s">
        <v>729</v>
      </c>
      <c r="K6" s="1647"/>
      <c r="L6" s="1581"/>
    </row>
    <row r="7" spans="1:12" ht="38.700000000000003">
      <c r="A7" s="1341" t="s">
        <v>3221</v>
      </c>
      <c r="B7" s="1341" t="s">
        <v>3222</v>
      </c>
      <c r="C7" s="1307" t="s">
        <v>919</v>
      </c>
      <c r="D7" s="1307">
        <v>0</v>
      </c>
      <c r="E7" s="1307">
        <v>65535</v>
      </c>
      <c r="F7" s="1307" t="s">
        <v>3223</v>
      </c>
      <c r="G7" s="1307">
        <v>65535</v>
      </c>
      <c r="H7" s="1307">
        <v>16</v>
      </c>
      <c r="I7" s="1342" t="s">
        <v>991</v>
      </c>
      <c r="J7" s="1307" t="s">
        <v>729</v>
      </c>
      <c r="K7" s="1647"/>
      <c r="L7" s="1581"/>
    </row>
    <row r="8" spans="1:12" ht="38.700000000000003">
      <c r="A8" s="1343" t="s">
        <v>3224</v>
      </c>
      <c r="B8" s="332" t="s">
        <v>3225</v>
      </c>
      <c r="C8" s="718" t="s">
        <v>48</v>
      </c>
      <c r="D8" s="718" t="s">
        <v>48</v>
      </c>
      <c r="E8" s="718" t="s">
        <v>48</v>
      </c>
      <c r="F8" s="718" t="s">
        <v>48</v>
      </c>
      <c r="G8" s="718" t="s">
        <v>48</v>
      </c>
      <c r="H8" s="718">
        <v>8</v>
      </c>
      <c r="I8" s="719" t="s">
        <v>839</v>
      </c>
      <c r="J8" s="720" t="s">
        <v>729</v>
      </c>
      <c r="K8" s="1647"/>
      <c r="L8" s="1581"/>
    </row>
    <row r="9" spans="1:12" ht="25.8">
      <c r="A9" s="1341" t="s">
        <v>3226</v>
      </c>
      <c r="B9" s="1341" t="s">
        <v>3227</v>
      </c>
      <c r="C9" s="1307" t="s">
        <v>919</v>
      </c>
      <c r="D9" s="1307">
        <v>0</v>
      </c>
      <c r="E9" s="1307">
        <v>65535</v>
      </c>
      <c r="F9" s="1307" t="s">
        <v>3223</v>
      </c>
      <c r="G9" s="1307">
        <v>65535</v>
      </c>
      <c r="H9" s="1344">
        <v>16</v>
      </c>
      <c r="I9" s="1342" t="s">
        <v>991</v>
      </c>
      <c r="J9" s="1344" t="s">
        <v>729</v>
      </c>
      <c r="K9" s="1647"/>
      <c r="L9" s="1581"/>
    </row>
    <row r="10" spans="1:12" ht="38.700000000000003">
      <c r="A10" s="1343" t="s">
        <v>3228</v>
      </c>
      <c r="B10" s="332" t="s">
        <v>3229</v>
      </c>
      <c r="C10" s="718" t="s">
        <v>48</v>
      </c>
      <c r="D10" s="718" t="s">
        <v>48</v>
      </c>
      <c r="E10" s="718" t="s">
        <v>48</v>
      </c>
      <c r="F10" s="718" t="s">
        <v>48</v>
      </c>
      <c r="G10" s="718" t="s">
        <v>48</v>
      </c>
      <c r="H10" s="1345">
        <v>8</v>
      </c>
      <c r="I10" s="719" t="s">
        <v>839</v>
      </c>
      <c r="J10" s="1346" t="s">
        <v>729</v>
      </c>
      <c r="K10" s="1647"/>
      <c r="L10" s="1581"/>
    </row>
    <row r="11" spans="1:12" ht="38.700000000000003">
      <c r="A11" s="1341" t="s">
        <v>3230</v>
      </c>
      <c r="B11" s="1341" t="s">
        <v>3231</v>
      </c>
      <c r="C11" s="1307" t="s">
        <v>919</v>
      </c>
      <c r="D11" s="1307">
        <v>0</v>
      </c>
      <c r="E11" s="1307">
        <v>65535</v>
      </c>
      <c r="F11" s="1307" t="s">
        <v>3223</v>
      </c>
      <c r="G11" s="1307">
        <v>65535</v>
      </c>
      <c r="H11" s="1307">
        <v>16</v>
      </c>
      <c r="I11" s="719" t="s">
        <v>991</v>
      </c>
      <c r="J11" s="1307" t="s">
        <v>729</v>
      </c>
      <c r="K11" s="1647"/>
      <c r="L11" s="1581"/>
    </row>
    <row r="12" spans="1:12" ht="38.700000000000003">
      <c r="A12" s="1343" t="s">
        <v>3232</v>
      </c>
      <c r="B12" s="1341" t="s">
        <v>3233</v>
      </c>
      <c r="C12" s="718" t="s">
        <v>48</v>
      </c>
      <c r="D12" s="718" t="s">
        <v>48</v>
      </c>
      <c r="E12" s="718" t="s">
        <v>48</v>
      </c>
      <c r="F12" s="718" t="s">
        <v>48</v>
      </c>
      <c r="G12" s="718" t="s">
        <v>48</v>
      </c>
      <c r="H12" s="718">
        <v>8</v>
      </c>
      <c r="I12" s="719" t="s">
        <v>839</v>
      </c>
      <c r="J12" s="329" t="s">
        <v>729</v>
      </c>
      <c r="K12" s="1647"/>
      <c r="L12" s="1581"/>
    </row>
    <row r="13" spans="1:12" ht="38.700000000000003">
      <c r="A13" s="1341" t="s">
        <v>3234</v>
      </c>
      <c r="B13" s="1341" t="s">
        <v>3235</v>
      </c>
      <c r="C13" s="146" t="s">
        <v>919</v>
      </c>
      <c r="D13" s="1307">
        <v>0</v>
      </c>
      <c r="E13" s="146">
        <v>65535</v>
      </c>
      <c r="F13" s="1307" t="s">
        <v>3223</v>
      </c>
      <c r="G13" s="146">
        <v>65535</v>
      </c>
      <c r="H13" s="146">
        <v>16</v>
      </c>
      <c r="I13" s="146" t="s">
        <v>991</v>
      </c>
      <c r="J13" s="146" t="s">
        <v>729</v>
      </c>
      <c r="K13" s="1647"/>
      <c r="L13" s="1581"/>
    </row>
    <row r="14" spans="1:12" ht="38.700000000000003">
      <c r="A14" s="1343" t="s">
        <v>3236</v>
      </c>
      <c r="B14" s="1341" t="s">
        <v>3237</v>
      </c>
      <c r="C14" s="1346" t="s">
        <v>48</v>
      </c>
      <c r="D14" s="718" t="s">
        <v>48</v>
      </c>
      <c r="E14" s="1345" t="s">
        <v>48</v>
      </c>
      <c r="F14" s="718" t="s">
        <v>48</v>
      </c>
      <c r="G14" s="1345" t="s">
        <v>48</v>
      </c>
      <c r="H14" s="1345">
        <v>8</v>
      </c>
      <c r="I14" s="1347" t="s">
        <v>839</v>
      </c>
      <c r="J14" s="1346" t="s">
        <v>729</v>
      </c>
      <c r="K14" s="1647"/>
      <c r="L14" s="1581"/>
    </row>
    <row r="15" spans="1:12">
      <c r="A15" s="1341" t="s">
        <v>3238</v>
      </c>
      <c r="B15" s="1341" t="s">
        <v>3239</v>
      </c>
      <c r="C15" s="146" t="s">
        <v>48</v>
      </c>
      <c r="D15" s="1307" t="s">
        <v>48</v>
      </c>
      <c r="E15" s="146" t="s">
        <v>48</v>
      </c>
      <c r="F15" s="1307" t="s">
        <v>48</v>
      </c>
      <c r="G15" s="146" t="s">
        <v>48</v>
      </c>
      <c r="H15" s="146">
        <v>8</v>
      </c>
      <c r="I15" s="146" t="s">
        <v>1538</v>
      </c>
      <c r="J15" s="146" t="s">
        <v>729</v>
      </c>
      <c r="K15" s="1647"/>
      <c r="L15" s="1581"/>
    </row>
    <row r="16" spans="1:12" ht="38.700000000000003">
      <c r="A16" s="1343" t="s">
        <v>3240</v>
      </c>
      <c r="B16" s="1341" t="s">
        <v>3241</v>
      </c>
      <c r="C16" s="1346" t="s">
        <v>48</v>
      </c>
      <c r="D16" s="718" t="s">
        <v>48</v>
      </c>
      <c r="E16" s="1345" t="s">
        <v>48</v>
      </c>
      <c r="F16" s="718" t="s">
        <v>48</v>
      </c>
      <c r="G16" s="1345" t="s">
        <v>48</v>
      </c>
      <c r="H16" s="1345">
        <v>8</v>
      </c>
      <c r="I16" s="1347" t="s">
        <v>839</v>
      </c>
      <c r="J16" s="1346" t="s">
        <v>729</v>
      </c>
      <c r="K16" s="1647"/>
      <c r="L16" s="1581"/>
    </row>
    <row r="17" spans="1:12" ht="25.8">
      <c r="A17" s="1341" t="s">
        <v>3242</v>
      </c>
      <c r="B17" s="1341" t="s">
        <v>3243</v>
      </c>
      <c r="C17" s="1307" t="s">
        <v>989</v>
      </c>
      <c r="D17" s="1307">
        <v>0</v>
      </c>
      <c r="E17" s="1307">
        <v>65535</v>
      </c>
      <c r="F17" s="1307" t="s">
        <v>3244</v>
      </c>
      <c r="G17" s="1307">
        <v>65535</v>
      </c>
      <c r="H17" s="1307">
        <v>16</v>
      </c>
      <c r="I17" s="1342" t="s">
        <v>991</v>
      </c>
      <c r="J17" s="1307" t="s">
        <v>729</v>
      </c>
      <c r="K17" s="1647"/>
      <c r="L17" s="1581"/>
    </row>
    <row r="18" spans="1:12" ht="38.700000000000003">
      <c r="A18" s="1343" t="s">
        <v>3245</v>
      </c>
      <c r="B18" s="332" t="s">
        <v>3246</v>
      </c>
      <c r="C18" s="718" t="s">
        <v>48</v>
      </c>
      <c r="D18" s="718" t="s">
        <v>48</v>
      </c>
      <c r="E18" s="718" t="s">
        <v>48</v>
      </c>
      <c r="F18" s="718" t="s">
        <v>48</v>
      </c>
      <c r="G18" s="718" t="s">
        <v>48</v>
      </c>
      <c r="H18" s="718">
        <v>8</v>
      </c>
      <c r="I18" s="719" t="s">
        <v>839</v>
      </c>
      <c r="J18" s="720" t="s">
        <v>729</v>
      </c>
      <c r="K18" s="1647"/>
      <c r="L18" s="1581"/>
    </row>
    <row r="19" spans="1:12" ht="25.8">
      <c r="A19" s="1341" t="s">
        <v>3247</v>
      </c>
      <c r="B19" s="1341" t="s">
        <v>3248</v>
      </c>
      <c r="C19" s="1307" t="s">
        <v>989</v>
      </c>
      <c r="D19" s="1307">
        <v>0</v>
      </c>
      <c r="E19" s="1307">
        <v>65535</v>
      </c>
      <c r="F19" s="1307" t="s">
        <v>3244</v>
      </c>
      <c r="G19" s="1307">
        <v>65535</v>
      </c>
      <c r="H19" s="1344">
        <v>16</v>
      </c>
      <c r="I19" s="1342" t="s">
        <v>991</v>
      </c>
      <c r="J19" s="1344" t="s">
        <v>729</v>
      </c>
      <c r="K19" s="1647"/>
      <c r="L19" s="1581"/>
    </row>
    <row r="20" spans="1:12" ht="38.700000000000003">
      <c r="A20" s="1343" t="s">
        <v>3249</v>
      </c>
      <c r="B20" s="332" t="s">
        <v>3250</v>
      </c>
      <c r="C20" s="718" t="s">
        <v>48</v>
      </c>
      <c r="D20" s="718" t="s">
        <v>48</v>
      </c>
      <c r="E20" s="718" t="s">
        <v>48</v>
      </c>
      <c r="F20" s="718" t="s">
        <v>48</v>
      </c>
      <c r="G20" s="718" t="s">
        <v>48</v>
      </c>
      <c r="H20" s="1345">
        <v>8</v>
      </c>
      <c r="I20" s="719" t="s">
        <v>839</v>
      </c>
      <c r="J20" s="1346" t="s">
        <v>729</v>
      </c>
      <c r="K20" s="1647"/>
      <c r="L20" s="1581"/>
    </row>
    <row r="21" spans="1:12" ht="25.8">
      <c r="A21" s="1341" t="s">
        <v>3251</v>
      </c>
      <c r="B21" s="1341" t="s">
        <v>3252</v>
      </c>
      <c r="C21" s="1307" t="s">
        <v>989</v>
      </c>
      <c r="D21" s="1307">
        <v>0</v>
      </c>
      <c r="E21" s="1307">
        <v>65535</v>
      </c>
      <c r="F21" s="1307" t="s">
        <v>3244</v>
      </c>
      <c r="G21" s="1307">
        <v>65535</v>
      </c>
      <c r="H21" s="1307">
        <v>16</v>
      </c>
      <c r="I21" s="719" t="s">
        <v>991</v>
      </c>
      <c r="J21" s="1307" t="s">
        <v>729</v>
      </c>
      <c r="K21" s="1647"/>
      <c r="L21" s="1581"/>
    </row>
    <row r="22" spans="1:12" ht="38.700000000000003">
      <c r="A22" s="1343" t="s">
        <v>3253</v>
      </c>
      <c r="B22" s="1341" t="s">
        <v>3254</v>
      </c>
      <c r="C22" s="718" t="s">
        <v>48</v>
      </c>
      <c r="D22" s="718" t="s">
        <v>48</v>
      </c>
      <c r="E22" s="718" t="s">
        <v>48</v>
      </c>
      <c r="F22" s="718" t="s">
        <v>48</v>
      </c>
      <c r="G22" s="718" t="s">
        <v>48</v>
      </c>
      <c r="H22" s="718">
        <v>8</v>
      </c>
      <c r="I22" s="719" t="s">
        <v>839</v>
      </c>
      <c r="J22" s="329" t="s">
        <v>729</v>
      </c>
      <c r="K22" s="1647"/>
      <c r="L22" s="1581"/>
    </row>
    <row r="23" spans="1:12" ht="25.8">
      <c r="A23" s="1341" t="s">
        <v>3255</v>
      </c>
      <c r="B23" s="1341" t="s">
        <v>3256</v>
      </c>
      <c r="C23" s="146" t="s">
        <v>989</v>
      </c>
      <c r="D23" s="146">
        <v>0</v>
      </c>
      <c r="E23" s="1307">
        <v>65535</v>
      </c>
      <c r="F23" s="1307" t="s">
        <v>3244</v>
      </c>
      <c r="G23" s="1307">
        <v>65535</v>
      </c>
      <c r="H23" s="146">
        <v>16</v>
      </c>
      <c r="I23" s="146" t="s">
        <v>991</v>
      </c>
      <c r="J23" s="146" t="s">
        <v>729</v>
      </c>
      <c r="K23" s="1647"/>
      <c r="L23" s="1581"/>
    </row>
    <row r="24" spans="1:12" ht="38.700000000000003">
      <c r="A24" s="1343" t="s">
        <v>3257</v>
      </c>
      <c r="B24" s="1341" t="s">
        <v>3258</v>
      </c>
      <c r="C24" s="1346" t="s">
        <v>48</v>
      </c>
      <c r="D24" s="1345" t="s">
        <v>48</v>
      </c>
      <c r="E24" s="718" t="s">
        <v>48</v>
      </c>
      <c r="F24" s="718" t="s">
        <v>48</v>
      </c>
      <c r="G24" s="718" t="s">
        <v>48</v>
      </c>
      <c r="H24" s="1345">
        <v>8</v>
      </c>
      <c r="I24" s="1347" t="s">
        <v>839</v>
      </c>
      <c r="J24" s="1346" t="s">
        <v>729</v>
      </c>
      <c r="K24" s="1647"/>
      <c r="L24" s="1581"/>
    </row>
    <row r="25" spans="1:12" ht="25.8">
      <c r="A25" s="1341" t="s">
        <v>3259</v>
      </c>
      <c r="B25" s="1341" t="s">
        <v>3260</v>
      </c>
      <c r="C25" s="146" t="s">
        <v>989</v>
      </c>
      <c r="D25" s="146">
        <v>0</v>
      </c>
      <c r="E25" s="146">
        <v>65535</v>
      </c>
      <c r="F25" s="1307" t="s">
        <v>3261</v>
      </c>
      <c r="G25" s="146">
        <v>65535</v>
      </c>
      <c r="H25" s="146">
        <v>16</v>
      </c>
      <c r="I25" s="146" t="s">
        <v>991</v>
      </c>
      <c r="J25" s="146" t="s">
        <v>729</v>
      </c>
      <c r="K25" s="1647"/>
      <c r="L25" s="1581"/>
    </row>
    <row r="26" spans="1:12" ht="38.700000000000003">
      <c r="A26" s="1343" t="s">
        <v>3262</v>
      </c>
      <c r="B26" s="1341" t="s">
        <v>3263</v>
      </c>
      <c r="C26" s="1346" t="s">
        <v>48</v>
      </c>
      <c r="D26" s="1345" t="s">
        <v>48</v>
      </c>
      <c r="E26" s="1345" t="s">
        <v>48</v>
      </c>
      <c r="F26" s="718" t="s">
        <v>48</v>
      </c>
      <c r="G26" s="1345" t="s">
        <v>48</v>
      </c>
      <c r="H26" s="1345">
        <v>8</v>
      </c>
      <c r="I26" s="1347" t="s">
        <v>839</v>
      </c>
      <c r="J26" s="1346" t="s">
        <v>729</v>
      </c>
      <c r="K26" s="1647"/>
      <c r="L26" s="1581"/>
    </row>
    <row r="27" spans="1:12" ht="25.8">
      <c r="A27" s="1341" t="s">
        <v>3264</v>
      </c>
      <c r="B27" s="1341" t="s">
        <v>3265</v>
      </c>
      <c r="C27" s="1307" t="s">
        <v>989</v>
      </c>
      <c r="D27" s="1307">
        <v>0</v>
      </c>
      <c r="E27" s="146">
        <v>65535</v>
      </c>
      <c r="F27" s="1307" t="s">
        <v>3261</v>
      </c>
      <c r="G27" s="146">
        <v>65535</v>
      </c>
      <c r="H27" s="1307">
        <v>16</v>
      </c>
      <c r="I27" s="1342" t="s">
        <v>991</v>
      </c>
      <c r="J27" s="1307" t="s">
        <v>729</v>
      </c>
      <c r="K27" s="1647"/>
      <c r="L27" s="1581"/>
    </row>
    <row r="28" spans="1:12" ht="38.700000000000003">
      <c r="A28" s="1348" t="s">
        <v>3266</v>
      </c>
      <c r="B28" s="721" t="s">
        <v>3267</v>
      </c>
      <c r="C28" s="722" t="s">
        <v>48</v>
      </c>
      <c r="D28" s="722" t="s">
        <v>48</v>
      </c>
      <c r="E28" s="1349" t="s">
        <v>48</v>
      </c>
      <c r="F28" s="722" t="s">
        <v>48</v>
      </c>
      <c r="G28" s="1349" t="s">
        <v>48</v>
      </c>
      <c r="H28" s="722">
        <v>8</v>
      </c>
      <c r="I28" s="687" t="s">
        <v>839</v>
      </c>
      <c r="J28" s="723" t="s">
        <v>729</v>
      </c>
      <c r="K28" s="1647"/>
      <c r="L28" s="1581"/>
    </row>
    <row r="29" spans="1:12" ht="25.8">
      <c r="A29" s="155" t="s">
        <v>3268</v>
      </c>
      <c r="B29" s="155" t="s">
        <v>3269</v>
      </c>
      <c r="C29" s="346" t="s">
        <v>989</v>
      </c>
      <c r="D29" s="346">
        <v>0</v>
      </c>
      <c r="E29" s="346">
        <v>65535</v>
      </c>
      <c r="F29" s="346" t="s">
        <v>3244</v>
      </c>
      <c r="G29" s="346">
        <v>65535</v>
      </c>
      <c r="H29" s="26">
        <v>16</v>
      </c>
      <c r="I29" s="346" t="s">
        <v>991</v>
      </c>
      <c r="J29" s="26" t="s">
        <v>729</v>
      </c>
      <c r="K29" s="1579"/>
      <c r="L29" s="1581"/>
    </row>
    <row r="30" spans="1:12" ht="38.700000000000003">
      <c r="A30" s="724" t="s">
        <v>3270</v>
      </c>
      <c r="B30" s="332" t="s">
        <v>3271</v>
      </c>
      <c r="C30" s="718" t="s">
        <v>48</v>
      </c>
      <c r="D30" s="718" t="s">
        <v>48</v>
      </c>
      <c r="E30" s="718" t="s">
        <v>48</v>
      </c>
      <c r="F30" s="718" t="s">
        <v>48</v>
      </c>
      <c r="G30" s="718" t="s">
        <v>48</v>
      </c>
      <c r="H30" s="718">
        <v>8</v>
      </c>
      <c r="I30" s="719" t="s">
        <v>839</v>
      </c>
      <c r="J30" s="720" t="s">
        <v>729</v>
      </c>
      <c r="K30" s="1647"/>
      <c r="L30" s="1581"/>
    </row>
    <row r="31" spans="1:12" ht="25.8">
      <c r="A31" s="1341" t="s">
        <v>3272</v>
      </c>
      <c r="B31" s="1341" t="s">
        <v>3273</v>
      </c>
      <c r="C31" s="1307" t="s">
        <v>989</v>
      </c>
      <c r="D31" s="1307">
        <v>0</v>
      </c>
      <c r="E31" s="1307">
        <v>65535</v>
      </c>
      <c r="F31" s="1307" t="s">
        <v>3244</v>
      </c>
      <c r="G31" s="1307">
        <v>65535</v>
      </c>
      <c r="H31" s="1307">
        <v>16</v>
      </c>
      <c r="I31" s="719" t="s">
        <v>991</v>
      </c>
      <c r="J31" s="1307" t="s">
        <v>729</v>
      </c>
      <c r="K31" s="1647"/>
      <c r="L31" s="1581"/>
    </row>
    <row r="32" spans="1:12" ht="38.700000000000003">
      <c r="A32" s="1343" t="s">
        <v>3274</v>
      </c>
      <c r="B32" s="1341" t="s">
        <v>3275</v>
      </c>
      <c r="C32" s="718" t="s">
        <v>48</v>
      </c>
      <c r="D32" s="718" t="s">
        <v>48</v>
      </c>
      <c r="E32" s="718" t="s">
        <v>48</v>
      </c>
      <c r="F32" s="718" t="s">
        <v>48</v>
      </c>
      <c r="G32" s="718" t="s">
        <v>48</v>
      </c>
      <c r="H32" s="718">
        <v>8</v>
      </c>
      <c r="I32" s="719" t="s">
        <v>839</v>
      </c>
      <c r="J32" s="329" t="s">
        <v>729</v>
      </c>
      <c r="K32" s="1647"/>
      <c r="L32" s="1581"/>
    </row>
    <row r="33" spans="1:12" ht="25.8">
      <c r="A33" s="1341" t="s">
        <v>3276</v>
      </c>
      <c r="B33" s="1341" t="s">
        <v>3277</v>
      </c>
      <c r="C33" s="146" t="s">
        <v>48</v>
      </c>
      <c r="D33" s="146" t="s">
        <v>48</v>
      </c>
      <c r="E33" s="146" t="s">
        <v>48</v>
      </c>
      <c r="F33" s="1307" t="s">
        <v>48</v>
      </c>
      <c r="G33" s="146" t="s">
        <v>48</v>
      </c>
      <c r="H33" s="146">
        <v>8</v>
      </c>
      <c r="I33" s="146" t="s">
        <v>1538</v>
      </c>
      <c r="J33" s="146" t="s">
        <v>729</v>
      </c>
      <c r="K33" s="1647"/>
      <c r="L33" s="1581"/>
    </row>
    <row r="34" spans="1:12" ht="38.700000000000003">
      <c r="A34" s="1343" t="s">
        <v>3278</v>
      </c>
      <c r="B34" s="1341" t="s">
        <v>3279</v>
      </c>
      <c r="C34" s="1346" t="s">
        <v>48</v>
      </c>
      <c r="D34" s="1345" t="s">
        <v>48</v>
      </c>
      <c r="E34" s="1345" t="s">
        <v>48</v>
      </c>
      <c r="F34" s="718" t="s">
        <v>48</v>
      </c>
      <c r="G34" s="1345" t="s">
        <v>48</v>
      </c>
      <c r="H34" s="1345">
        <v>8</v>
      </c>
      <c r="I34" s="1347" t="s">
        <v>839</v>
      </c>
      <c r="J34" s="1346" t="s">
        <v>729</v>
      </c>
      <c r="K34" s="1647"/>
      <c r="L34" s="1581"/>
    </row>
    <row r="35" spans="1:12" ht="25.8">
      <c r="A35" s="1341" t="s">
        <v>3280</v>
      </c>
      <c r="B35" s="1341" t="s">
        <v>3281</v>
      </c>
      <c r="C35" s="146" t="s">
        <v>989</v>
      </c>
      <c r="D35" s="146">
        <v>0</v>
      </c>
      <c r="E35" s="1307">
        <v>65535</v>
      </c>
      <c r="F35" s="1307" t="s">
        <v>3244</v>
      </c>
      <c r="G35" s="1307">
        <v>65535</v>
      </c>
      <c r="H35" s="146">
        <v>16</v>
      </c>
      <c r="I35" s="146" t="s">
        <v>991</v>
      </c>
      <c r="J35" s="146" t="s">
        <v>729</v>
      </c>
      <c r="K35" s="1647"/>
      <c r="L35" s="1581"/>
    </row>
    <row r="36" spans="1:12" ht="38.700000000000003">
      <c r="A36" s="1343" t="s">
        <v>3282</v>
      </c>
      <c r="B36" s="1341" t="s">
        <v>3283</v>
      </c>
      <c r="C36" s="1346" t="s">
        <v>48</v>
      </c>
      <c r="D36" s="1345" t="s">
        <v>48</v>
      </c>
      <c r="E36" s="718" t="s">
        <v>48</v>
      </c>
      <c r="F36" s="718" t="s">
        <v>48</v>
      </c>
      <c r="G36" s="718" t="s">
        <v>48</v>
      </c>
      <c r="H36" s="1345">
        <v>8</v>
      </c>
      <c r="I36" s="1347" t="s">
        <v>839</v>
      </c>
      <c r="J36" s="1346" t="s">
        <v>729</v>
      </c>
      <c r="K36" s="1647"/>
      <c r="L36" s="1581"/>
    </row>
    <row r="37" spans="1:12" ht="25.8">
      <c r="A37" s="1341" t="s">
        <v>3284</v>
      </c>
      <c r="B37" s="1341" t="s">
        <v>3285</v>
      </c>
      <c r="C37" s="1307" t="s">
        <v>989</v>
      </c>
      <c r="D37" s="1307">
        <v>0</v>
      </c>
      <c r="E37" s="1307">
        <v>65535</v>
      </c>
      <c r="F37" s="1307" t="s">
        <v>3244</v>
      </c>
      <c r="G37" s="1307">
        <v>65535</v>
      </c>
      <c r="H37" s="1307">
        <v>16</v>
      </c>
      <c r="I37" s="1342" t="s">
        <v>991</v>
      </c>
      <c r="J37" s="1307" t="s">
        <v>729</v>
      </c>
      <c r="K37" s="1647"/>
      <c r="L37" s="1581"/>
    </row>
    <row r="38" spans="1:12" ht="38.700000000000003">
      <c r="A38" s="1343" t="s">
        <v>3286</v>
      </c>
      <c r="B38" s="332" t="s">
        <v>3287</v>
      </c>
      <c r="C38" s="718" t="s">
        <v>48</v>
      </c>
      <c r="D38" s="718" t="s">
        <v>48</v>
      </c>
      <c r="E38" s="718" t="s">
        <v>48</v>
      </c>
      <c r="F38" s="718" t="s">
        <v>48</v>
      </c>
      <c r="G38" s="718" t="s">
        <v>48</v>
      </c>
      <c r="H38" s="718">
        <v>8</v>
      </c>
      <c r="I38" s="719" t="s">
        <v>839</v>
      </c>
      <c r="J38" s="720" t="s">
        <v>729</v>
      </c>
      <c r="K38" s="1647"/>
      <c r="L38" s="1581"/>
    </row>
    <row r="39" spans="1:12" ht="25.8">
      <c r="A39" s="1341" t="s">
        <v>3288</v>
      </c>
      <c r="B39" s="1341" t="s">
        <v>3289</v>
      </c>
      <c r="C39" s="1307" t="s">
        <v>989</v>
      </c>
      <c r="D39" s="1307">
        <v>0</v>
      </c>
      <c r="E39" s="1307">
        <v>65535</v>
      </c>
      <c r="F39" s="1307" t="s">
        <v>3244</v>
      </c>
      <c r="G39" s="1307">
        <v>65535</v>
      </c>
      <c r="H39" s="1344">
        <v>16</v>
      </c>
      <c r="I39" s="1342" t="s">
        <v>991</v>
      </c>
      <c r="J39" s="1344" t="s">
        <v>729</v>
      </c>
      <c r="K39" s="1647"/>
      <c r="L39" s="1581"/>
    </row>
    <row r="40" spans="1:12" ht="38.700000000000003">
      <c r="A40" s="1343" t="s">
        <v>3290</v>
      </c>
      <c r="B40" s="332" t="s">
        <v>3291</v>
      </c>
      <c r="C40" s="718" t="s">
        <v>48</v>
      </c>
      <c r="D40" s="718" t="s">
        <v>48</v>
      </c>
      <c r="E40" s="718" t="s">
        <v>48</v>
      </c>
      <c r="F40" s="718" t="s">
        <v>48</v>
      </c>
      <c r="G40" s="718" t="s">
        <v>48</v>
      </c>
      <c r="H40" s="1345">
        <v>8</v>
      </c>
      <c r="I40" s="719" t="s">
        <v>839</v>
      </c>
      <c r="J40" s="1346" t="s">
        <v>729</v>
      </c>
      <c r="K40" s="1647"/>
      <c r="L40" s="1581"/>
    </row>
    <row r="41" spans="1:12" ht="25.8">
      <c r="A41" s="1341" t="s">
        <v>3292</v>
      </c>
      <c r="B41" s="1341" t="s">
        <v>3293</v>
      </c>
      <c r="C41" s="1307" t="s">
        <v>989</v>
      </c>
      <c r="D41" s="1307">
        <v>0</v>
      </c>
      <c r="E41" s="1307">
        <v>65535</v>
      </c>
      <c r="F41" s="1307" t="s">
        <v>3244</v>
      </c>
      <c r="G41" s="1307">
        <v>65535</v>
      </c>
      <c r="H41" s="1307">
        <v>16</v>
      </c>
      <c r="I41" s="719" t="s">
        <v>991</v>
      </c>
      <c r="J41" s="1307" t="s">
        <v>729</v>
      </c>
      <c r="K41" s="1647"/>
      <c r="L41" s="1581"/>
    </row>
    <row r="42" spans="1:12" ht="38.700000000000003">
      <c r="A42" s="1343" t="s">
        <v>3294</v>
      </c>
      <c r="B42" s="1341" t="s">
        <v>3295</v>
      </c>
      <c r="C42" s="718" t="s">
        <v>48</v>
      </c>
      <c r="D42" s="718" t="s">
        <v>48</v>
      </c>
      <c r="E42" s="718" t="s">
        <v>48</v>
      </c>
      <c r="F42" s="718" t="s">
        <v>48</v>
      </c>
      <c r="G42" s="718" t="s">
        <v>48</v>
      </c>
      <c r="H42" s="718">
        <v>8</v>
      </c>
      <c r="I42" s="719" t="s">
        <v>839</v>
      </c>
      <c r="J42" s="329" t="s">
        <v>729</v>
      </c>
      <c r="K42" s="1647"/>
      <c r="L42" s="1581"/>
    </row>
    <row r="43" spans="1:12" ht="25.8">
      <c r="A43" s="1341" t="s">
        <v>3296</v>
      </c>
      <c r="B43" s="1341" t="s">
        <v>3297</v>
      </c>
      <c r="C43" s="146" t="s">
        <v>989</v>
      </c>
      <c r="D43" s="146">
        <v>0</v>
      </c>
      <c r="E43" s="146">
        <v>65535</v>
      </c>
      <c r="F43" s="1307" t="s">
        <v>3261</v>
      </c>
      <c r="G43" s="146">
        <v>65535</v>
      </c>
      <c r="H43" s="146">
        <v>16</v>
      </c>
      <c r="I43" s="146" t="s">
        <v>991</v>
      </c>
      <c r="J43" s="146" t="s">
        <v>729</v>
      </c>
      <c r="K43" s="1647"/>
      <c r="L43" s="1581"/>
    </row>
    <row r="44" spans="1:12" ht="38.700000000000003">
      <c r="A44" s="1343" t="s">
        <v>3298</v>
      </c>
      <c r="B44" s="1341" t="s">
        <v>3299</v>
      </c>
      <c r="C44" s="1346" t="s">
        <v>48</v>
      </c>
      <c r="D44" s="1345" t="s">
        <v>48</v>
      </c>
      <c r="E44" s="1345" t="s">
        <v>48</v>
      </c>
      <c r="F44" s="718" t="s">
        <v>48</v>
      </c>
      <c r="G44" s="1345" t="s">
        <v>48</v>
      </c>
      <c r="H44" s="1345">
        <v>8</v>
      </c>
      <c r="I44" s="1347" t="s">
        <v>839</v>
      </c>
      <c r="J44" s="1346" t="s">
        <v>729</v>
      </c>
      <c r="K44" s="1647"/>
      <c r="L44" s="1581"/>
    </row>
    <row r="45" spans="1:12" ht="25.8">
      <c r="A45" s="1341" t="s">
        <v>3300</v>
      </c>
      <c r="B45" s="1341" t="s">
        <v>3301</v>
      </c>
      <c r="C45" s="146" t="s">
        <v>989</v>
      </c>
      <c r="D45" s="146">
        <v>0</v>
      </c>
      <c r="E45" s="146">
        <v>65535</v>
      </c>
      <c r="F45" s="1307" t="s">
        <v>3261</v>
      </c>
      <c r="G45" s="146">
        <v>65535</v>
      </c>
      <c r="H45" s="146">
        <v>16</v>
      </c>
      <c r="I45" s="146" t="s">
        <v>991</v>
      </c>
      <c r="J45" s="146" t="s">
        <v>729</v>
      </c>
      <c r="K45" s="1647"/>
      <c r="L45" s="1581"/>
    </row>
    <row r="46" spans="1:12" ht="38.700000000000003">
      <c r="A46" s="1343" t="s">
        <v>3302</v>
      </c>
      <c r="B46" s="1341" t="s">
        <v>3303</v>
      </c>
      <c r="C46" s="1346" t="s">
        <v>48</v>
      </c>
      <c r="D46" s="1345" t="s">
        <v>48</v>
      </c>
      <c r="E46" s="1345" t="s">
        <v>48</v>
      </c>
      <c r="F46" s="718" t="s">
        <v>48</v>
      </c>
      <c r="G46" s="1345" t="s">
        <v>48</v>
      </c>
      <c r="H46" s="1345">
        <v>8</v>
      </c>
      <c r="I46" s="1347" t="s">
        <v>839</v>
      </c>
      <c r="J46" s="1346" t="s">
        <v>729</v>
      </c>
      <c r="K46" s="1647"/>
      <c r="L46" s="1581"/>
    </row>
    <row r="47" spans="1:12" ht="25.8">
      <c r="A47" s="1341" t="s">
        <v>3304</v>
      </c>
      <c r="B47" s="1341" t="s">
        <v>3305</v>
      </c>
      <c r="C47" s="1307" t="s">
        <v>989</v>
      </c>
      <c r="D47" s="1307">
        <v>0</v>
      </c>
      <c r="E47" s="1307">
        <v>65535</v>
      </c>
      <c r="F47" s="1307" t="s">
        <v>3244</v>
      </c>
      <c r="G47" s="1307">
        <v>65535</v>
      </c>
      <c r="H47" s="1307">
        <v>16</v>
      </c>
      <c r="I47" s="1342" t="s">
        <v>991</v>
      </c>
      <c r="J47" s="1307" t="s">
        <v>729</v>
      </c>
      <c r="K47" s="1647"/>
      <c r="L47" s="1581"/>
    </row>
    <row r="48" spans="1:12" ht="38.700000000000003">
      <c r="A48" s="1343" t="s">
        <v>3306</v>
      </c>
      <c r="B48" s="332" t="s">
        <v>3307</v>
      </c>
      <c r="C48" s="718" t="s">
        <v>48</v>
      </c>
      <c r="D48" s="718" t="s">
        <v>48</v>
      </c>
      <c r="E48" s="718" t="s">
        <v>48</v>
      </c>
      <c r="F48" s="718" t="s">
        <v>48</v>
      </c>
      <c r="G48" s="718" t="s">
        <v>48</v>
      </c>
      <c r="H48" s="718">
        <v>8</v>
      </c>
      <c r="I48" s="719" t="s">
        <v>839</v>
      </c>
      <c r="J48" s="720" t="s">
        <v>729</v>
      </c>
      <c r="K48" s="1647"/>
      <c r="L48" s="1581"/>
    </row>
    <row r="49" spans="1:12" ht="25.8">
      <c r="A49" s="1341" t="s">
        <v>3308</v>
      </c>
      <c r="B49" s="1341" t="s">
        <v>3309</v>
      </c>
      <c r="C49" s="1307" t="s">
        <v>989</v>
      </c>
      <c r="D49" s="1307">
        <v>0</v>
      </c>
      <c r="E49" s="1307">
        <v>65535</v>
      </c>
      <c r="F49" s="1307" t="s">
        <v>3244</v>
      </c>
      <c r="G49" s="1307">
        <v>65535</v>
      </c>
      <c r="H49" s="1344">
        <v>16</v>
      </c>
      <c r="I49" s="1342" t="s">
        <v>991</v>
      </c>
      <c r="J49" s="1344" t="s">
        <v>729</v>
      </c>
      <c r="K49" s="1647"/>
      <c r="L49" s="1581"/>
    </row>
    <row r="50" spans="1:12" ht="38.700000000000003">
      <c r="A50" s="1343" t="s">
        <v>3310</v>
      </c>
      <c r="B50" s="332" t="s">
        <v>3311</v>
      </c>
      <c r="C50" s="718" t="s">
        <v>48</v>
      </c>
      <c r="D50" s="718" t="s">
        <v>48</v>
      </c>
      <c r="E50" s="718" t="s">
        <v>48</v>
      </c>
      <c r="F50" s="718" t="s">
        <v>48</v>
      </c>
      <c r="G50" s="718" t="s">
        <v>48</v>
      </c>
      <c r="H50" s="1345">
        <v>8</v>
      </c>
      <c r="I50" s="719" t="s">
        <v>839</v>
      </c>
      <c r="J50" s="1346" t="s">
        <v>729</v>
      </c>
      <c r="K50" s="1647"/>
      <c r="L50" s="1581"/>
    </row>
    <row r="51" spans="1:12" ht="25.8">
      <c r="A51" s="1341" t="s">
        <v>3312</v>
      </c>
      <c r="B51" s="1341" t="s">
        <v>3313</v>
      </c>
      <c r="C51" s="1307" t="s">
        <v>2973</v>
      </c>
      <c r="D51" s="1307">
        <v>15</v>
      </c>
      <c r="E51" s="1307" t="s">
        <v>920</v>
      </c>
      <c r="F51" s="1307" t="s">
        <v>3314</v>
      </c>
      <c r="G51" s="1307" t="s">
        <v>920</v>
      </c>
      <c r="H51" s="1307">
        <v>32</v>
      </c>
      <c r="I51" s="719" t="s">
        <v>922</v>
      </c>
      <c r="J51" s="1307" t="s">
        <v>729</v>
      </c>
      <c r="K51" s="1647"/>
      <c r="L51" s="1581"/>
    </row>
    <row r="52" spans="1:12" ht="38.700000000000003">
      <c r="A52" s="1343" t="s">
        <v>3315</v>
      </c>
      <c r="B52" s="1341" t="s">
        <v>3316</v>
      </c>
      <c r="C52" s="718" t="s">
        <v>48</v>
      </c>
      <c r="D52" s="718" t="s">
        <v>48</v>
      </c>
      <c r="E52" s="718" t="s">
        <v>48</v>
      </c>
      <c r="F52" s="718" t="s">
        <v>48</v>
      </c>
      <c r="G52" s="718" t="s">
        <v>48</v>
      </c>
      <c r="H52" s="718">
        <v>8</v>
      </c>
      <c r="I52" s="719" t="s">
        <v>839</v>
      </c>
      <c r="J52" s="329" t="s">
        <v>729</v>
      </c>
      <c r="K52" s="1647"/>
      <c r="L52" s="1581"/>
    </row>
    <row r="53" spans="1:12" ht="25.8">
      <c r="A53" s="1341" t="s">
        <v>3317</v>
      </c>
      <c r="B53" s="1341" t="s">
        <v>3318</v>
      </c>
      <c r="C53" s="146" t="s">
        <v>989</v>
      </c>
      <c r="D53" s="146">
        <v>0</v>
      </c>
      <c r="E53" s="146">
        <v>65535</v>
      </c>
      <c r="F53" s="1307" t="s">
        <v>3319</v>
      </c>
      <c r="G53" s="146">
        <v>65535</v>
      </c>
      <c r="H53" s="146">
        <v>16</v>
      </c>
      <c r="I53" s="146" t="s">
        <v>991</v>
      </c>
      <c r="J53" s="146" t="s">
        <v>729</v>
      </c>
      <c r="K53" s="1647"/>
      <c r="L53" s="1581"/>
    </row>
    <row r="54" spans="1:12" ht="38.700000000000003">
      <c r="A54" s="1343" t="s">
        <v>3320</v>
      </c>
      <c r="B54" s="1341" t="s">
        <v>3321</v>
      </c>
      <c r="C54" s="1346" t="s">
        <v>48</v>
      </c>
      <c r="D54" s="1345" t="s">
        <v>48</v>
      </c>
      <c r="E54" s="1345" t="s">
        <v>48</v>
      </c>
      <c r="F54" s="718" t="s">
        <v>48</v>
      </c>
      <c r="G54" s="1345" t="s">
        <v>48</v>
      </c>
      <c r="H54" s="1345">
        <v>8</v>
      </c>
      <c r="I54" s="1347" t="s">
        <v>839</v>
      </c>
      <c r="J54" s="1346" t="s">
        <v>729</v>
      </c>
      <c r="K54" s="1647"/>
      <c r="L54" s="1581"/>
    </row>
    <row r="55" spans="1:12" ht="38.700000000000003">
      <c r="A55" s="1341" t="s">
        <v>3322</v>
      </c>
      <c r="B55" s="1341" t="s">
        <v>3323</v>
      </c>
      <c r="C55" s="146" t="s">
        <v>919</v>
      </c>
      <c r="D55" s="146">
        <v>0</v>
      </c>
      <c r="E55" s="146" t="s">
        <v>920</v>
      </c>
      <c r="F55" s="1307" t="s">
        <v>3324</v>
      </c>
      <c r="G55" s="146" t="s">
        <v>920</v>
      </c>
      <c r="H55" s="146">
        <v>32</v>
      </c>
      <c r="I55" s="146" t="s">
        <v>922</v>
      </c>
      <c r="J55" s="146" t="s">
        <v>729</v>
      </c>
      <c r="K55" s="1647"/>
      <c r="L55" s="1581"/>
    </row>
    <row r="56" spans="1:12" ht="38.700000000000003">
      <c r="A56" s="1343" t="s">
        <v>3325</v>
      </c>
      <c r="B56" s="1341" t="s">
        <v>3326</v>
      </c>
      <c r="C56" s="1346" t="s">
        <v>48</v>
      </c>
      <c r="D56" s="1345" t="s">
        <v>48</v>
      </c>
      <c r="E56" s="1345" t="s">
        <v>48</v>
      </c>
      <c r="F56" s="718" t="s">
        <v>48</v>
      </c>
      <c r="G56" s="1345" t="s">
        <v>48</v>
      </c>
      <c r="H56" s="1345">
        <v>8</v>
      </c>
      <c r="I56" s="1347" t="s">
        <v>839</v>
      </c>
      <c r="J56" s="1346" t="s">
        <v>729</v>
      </c>
      <c r="K56" s="1647"/>
      <c r="L56" s="1581"/>
    </row>
    <row r="57" spans="1:12" ht="25.8">
      <c r="A57" s="1341" t="s">
        <v>3327</v>
      </c>
      <c r="B57" s="1341" t="s">
        <v>3328</v>
      </c>
      <c r="C57" s="1307" t="s">
        <v>919</v>
      </c>
      <c r="D57" s="1307">
        <v>0</v>
      </c>
      <c r="E57" s="1307" t="s">
        <v>920</v>
      </c>
      <c r="F57" s="1307" t="s">
        <v>3329</v>
      </c>
      <c r="G57" s="1307" t="s">
        <v>920</v>
      </c>
      <c r="H57" s="1307">
        <v>32</v>
      </c>
      <c r="I57" s="1342" t="s">
        <v>922</v>
      </c>
      <c r="J57" s="1307" t="s">
        <v>729</v>
      </c>
      <c r="K57" s="1647"/>
      <c r="L57" s="1581"/>
    </row>
    <row r="58" spans="1:12" ht="38.700000000000003">
      <c r="A58" s="1343" t="s">
        <v>3330</v>
      </c>
      <c r="B58" s="332" t="s">
        <v>3331</v>
      </c>
      <c r="C58" s="718" t="s">
        <v>48</v>
      </c>
      <c r="D58" s="718" t="s">
        <v>48</v>
      </c>
      <c r="E58" s="718" t="s">
        <v>48</v>
      </c>
      <c r="F58" s="718" t="s">
        <v>48</v>
      </c>
      <c r="G58" s="718" t="s">
        <v>48</v>
      </c>
      <c r="H58" s="718">
        <v>8</v>
      </c>
      <c r="I58" s="719" t="s">
        <v>839</v>
      </c>
      <c r="J58" s="720" t="s">
        <v>729</v>
      </c>
      <c r="K58" s="1647"/>
      <c r="L58" s="1581"/>
    </row>
    <row r="59" spans="1:12" ht="25.8">
      <c r="A59" s="1341" t="s">
        <v>3332</v>
      </c>
      <c r="B59" s="1341" t="s">
        <v>3333</v>
      </c>
      <c r="C59" s="1307" t="s">
        <v>3334</v>
      </c>
      <c r="D59" s="1307">
        <v>0</v>
      </c>
      <c r="E59" s="1307">
        <v>255</v>
      </c>
      <c r="F59" s="1307" t="s">
        <v>3335</v>
      </c>
      <c r="G59" s="1307">
        <v>255</v>
      </c>
      <c r="H59" s="1344">
        <v>8</v>
      </c>
      <c r="I59" s="1342" t="s">
        <v>743</v>
      </c>
      <c r="J59" s="1344" t="s">
        <v>729</v>
      </c>
      <c r="K59" s="1647"/>
      <c r="L59" s="1581"/>
    </row>
    <row r="60" spans="1:12" ht="38.700000000000003">
      <c r="A60" s="1343" t="s">
        <v>3336</v>
      </c>
      <c r="B60" s="332" t="s">
        <v>3337</v>
      </c>
      <c r="C60" s="718" t="s">
        <v>48</v>
      </c>
      <c r="D60" s="718" t="s">
        <v>48</v>
      </c>
      <c r="E60" s="718" t="s">
        <v>48</v>
      </c>
      <c r="F60" s="718" t="s">
        <v>48</v>
      </c>
      <c r="G60" s="718" t="s">
        <v>48</v>
      </c>
      <c r="H60" s="1345">
        <v>8</v>
      </c>
      <c r="I60" s="719" t="s">
        <v>839</v>
      </c>
      <c r="J60" s="1346" t="s">
        <v>729</v>
      </c>
      <c r="K60" s="1647"/>
      <c r="L60" s="1581"/>
    </row>
    <row r="61" spans="1:12" ht="25.8">
      <c r="A61" s="1341" t="s">
        <v>3338</v>
      </c>
      <c r="B61" s="1341" t="s">
        <v>3339</v>
      </c>
      <c r="C61" s="1307" t="s">
        <v>3334</v>
      </c>
      <c r="D61" s="1307">
        <v>0</v>
      </c>
      <c r="E61" s="1307">
        <v>255</v>
      </c>
      <c r="F61" s="1307" t="s">
        <v>3335</v>
      </c>
      <c r="G61" s="1307">
        <v>255</v>
      </c>
      <c r="H61" s="1307">
        <v>8</v>
      </c>
      <c r="I61" s="719" t="s">
        <v>743</v>
      </c>
      <c r="J61" s="1307" t="s">
        <v>729</v>
      </c>
      <c r="K61" s="1647"/>
      <c r="L61" s="1581"/>
    </row>
    <row r="62" spans="1:12" ht="38.700000000000003">
      <c r="A62" s="1343" t="s">
        <v>3340</v>
      </c>
      <c r="B62" s="1341" t="s">
        <v>3341</v>
      </c>
      <c r="C62" s="718" t="s">
        <v>48</v>
      </c>
      <c r="D62" s="718" t="s">
        <v>48</v>
      </c>
      <c r="E62" s="718" t="s">
        <v>48</v>
      </c>
      <c r="F62" s="718" t="s">
        <v>48</v>
      </c>
      <c r="G62" s="718" t="s">
        <v>48</v>
      </c>
      <c r="H62" s="718">
        <v>8</v>
      </c>
      <c r="I62" s="719" t="s">
        <v>839</v>
      </c>
      <c r="J62" s="329" t="s">
        <v>729</v>
      </c>
      <c r="K62" s="1647"/>
      <c r="L62" s="1581"/>
    </row>
    <row r="63" spans="1:12" ht="51.6">
      <c r="A63" s="1341" t="s">
        <v>3342</v>
      </c>
      <c r="B63" s="1341" t="s">
        <v>3343</v>
      </c>
      <c r="C63" s="146" t="s">
        <v>48</v>
      </c>
      <c r="D63" s="146">
        <v>0</v>
      </c>
      <c r="E63" s="146">
        <v>255</v>
      </c>
      <c r="F63" s="1307" t="s">
        <v>3344</v>
      </c>
      <c r="G63" s="146">
        <v>255</v>
      </c>
      <c r="H63" s="146">
        <v>8</v>
      </c>
      <c r="I63" s="146" t="s">
        <v>743</v>
      </c>
      <c r="J63" s="146" t="s">
        <v>729</v>
      </c>
      <c r="K63" s="1647"/>
      <c r="L63" s="1581"/>
    </row>
    <row r="64" spans="1:12" ht="38.700000000000003">
      <c r="A64" s="1343" t="s">
        <v>3345</v>
      </c>
      <c r="B64" s="1341" t="s">
        <v>3346</v>
      </c>
      <c r="C64" s="1346" t="s">
        <v>48</v>
      </c>
      <c r="D64" s="1345" t="s">
        <v>48</v>
      </c>
      <c r="E64" s="1345" t="s">
        <v>48</v>
      </c>
      <c r="F64" s="718" t="s">
        <v>48</v>
      </c>
      <c r="G64" s="1345" t="s">
        <v>48</v>
      </c>
      <c r="H64" s="1345">
        <v>8</v>
      </c>
      <c r="I64" s="1347" t="s">
        <v>839</v>
      </c>
      <c r="J64" s="1346" t="s">
        <v>729</v>
      </c>
      <c r="K64" s="1647"/>
      <c r="L64" s="1581"/>
    </row>
    <row r="65" spans="1:12" ht="25.8">
      <c r="A65" s="1341" t="s">
        <v>3347</v>
      </c>
      <c r="B65" s="1341" t="s">
        <v>3348</v>
      </c>
      <c r="C65" s="146" t="s">
        <v>919</v>
      </c>
      <c r="D65" s="146">
        <v>100</v>
      </c>
      <c r="E65" s="146">
        <v>65535</v>
      </c>
      <c r="F65" s="1307" t="s">
        <v>3349</v>
      </c>
      <c r="G65" s="146">
        <v>65535</v>
      </c>
      <c r="H65" s="146">
        <v>16</v>
      </c>
      <c r="I65" s="146" t="s">
        <v>991</v>
      </c>
      <c r="J65" s="146" t="s">
        <v>729</v>
      </c>
      <c r="K65" s="1647"/>
      <c r="L65" s="1581"/>
    </row>
    <row r="66" spans="1:12" ht="38.700000000000003">
      <c r="A66" s="1343" t="s">
        <v>3350</v>
      </c>
      <c r="B66" s="1341" t="s">
        <v>3351</v>
      </c>
      <c r="C66" s="1346" t="s">
        <v>48</v>
      </c>
      <c r="D66" s="1345" t="s">
        <v>48</v>
      </c>
      <c r="E66" s="1345" t="s">
        <v>48</v>
      </c>
      <c r="F66" s="718" t="s">
        <v>48</v>
      </c>
      <c r="G66" s="1345" t="s">
        <v>48</v>
      </c>
      <c r="H66" s="1345">
        <v>8</v>
      </c>
      <c r="I66" s="1347" t="s">
        <v>839</v>
      </c>
      <c r="J66" s="1346" t="s">
        <v>729</v>
      </c>
      <c r="K66" s="1647"/>
      <c r="L66" s="1581"/>
    </row>
    <row r="67" spans="1:12" ht="25.8">
      <c r="A67" s="1341" t="s">
        <v>3352</v>
      </c>
      <c r="B67" s="1341" t="s">
        <v>3353</v>
      </c>
      <c r="C67" s="1307" t="s">
        <v>919</v>
      </c>
      <c r="D67" s="1307">
        <v>100</v>
      </c>
      <c r="E67" s="146">
        <v>65535</v>
      </c>
      <c r="F67" s="1307" t="s">
        <v>3349</v>
      </c>
      <c r="G67" s="146">
        <v>65535</v>
      </c>
      <c r="H67" s="1307">
        <v>16</v>
      </c>
      <c r="I67" s="1342" t="s">
        <v>991</v>
      </c>
      <c r="J67" s="1307" t="s">
        <v>729</v>
      </c>
      <c r="K67" s="1647"/>
      <c r="L67" s="1581"/>
    </row>
    <row r="68" spans="1:12" ht="38.700000000000003">
      <c r="A68" s="1343" t="s">
        <v>3354</v>
      </c>
      <c r="B68" s="332" t="s">
        <v>3355</v>
      </c>
      <c r="C68" s="718" t="s">
        <v>48</v>
      </c>
      <c r="D68" s="718" t="s">
        <v>48</v>
      </c>
      <c r="E68" s="1345" t="s">
        <v>48</v>
      </c>
      <c r="F68" s="718" t="s">
        <v>48</v>
      </c>
      <c r="G68" s="1345" t="s">
        <v>48</v>
      </c>
      <c r="H68" s="718">
        <v>8</v>
      </c>
      <c r="I68" s="719" t="s">
        <v>839</v>
      </c>
      <c r="J68" s="720" t="s">
        <v>729</v>
      </c>
      <c r="K68" s="1647"/>
      <c r="L68" s="1581"/>
    </row>
    <row r="69" spans="1:12" ht="25.8">
      <c r="A69" s="1341" t="s">
        <v>3356</v>
      </c>
      <c r="B69" s="1341" t="s">
        <v>3357</v>
      </c>
      <c r="C69" s="1307" t="s">
        <v>919</v>
      </c>
      <c r="D69" s="1307">
        <v>100</v>
      </c>
      <c r="E69" s="146">
        <v>65535</v>
      </c>
      <c r="F69" s="1307" t="s">
        <v>3349</v>
      </c>
      <c r="G69" s="146">
        <v>65535</v>
      </c>
      <c r="H69" s="1344">
        <v>16</v>
      </c>
      <c r="I69" s="1342" t="s">
        <v>991</v>
      </c>
      <c r="J69" s="1344" t="s">
        <v>729</v>
      </c>
      <c r="K69" s="1647"/>
      <c r="L69" s="1581"/>
    </row>
    <row r="70" spans="1:12" ht="38.700000000000003">
      <c r="A70" s="1343" t="s">
        <v>3358</v>
      </c>
      <c r="B70" s="332" t="s">
        <v>3359</v>
      </c>
      <c r="C70" s="718" t="s">
        <v>48</v>
      </c>
      <c r="D70" s="718" t="s">
        <v>48</v>
      </c>
      <c r="E70" s="1345" t="s">
        <v>48</v>
      </c>
      <c r="F70" s="718" t="s">
        <v>48</v>
      </c>
      <c r="G70" s="1345" t="s">
        <v>48</v>
      </c>
      <c r="H70" s="1345">
        <v>8</v>
      </c>
      <c r="I70" s="719" t="s">
        <v>839</v>
      </c>
      <c r="J70" s="1346" t="s">
        <v>729</v>
      </c>
      <c r="K70" s="1647"/>
      <c r="L70" s="1581"/>
    </row>
    <row r="71" spans="1:12" ht="38.700000000000003">
      <c r="A71" s="1341" t="s">
        <v>3360</v>
      </c>
      <c r="B71" s="1341" t="s">
        <v>3361</v>
      </c>
      <c r="C71" s="1307" t="s">
        <v>919</v>
      </c>
      <c r="D71" s="1307">
        <v>100</v>
      </c>
      <c r="E71" s="146">
        <v>65535</v>
      </c>
      <c r="F71" s="1307" t="s">
        <v>3349</v>
      </c>
      <c r="G71" s="146">
        <v>65535</v>
      </c>
      <c r="H71" s="1307">
        <v>16</v>
      </c>
      <c r="I71" s="719" t="s">
        <v>991</v>
      </c>
      <c r="J71" s="1307" t="s">
        <v>729</v>
      </c>
      <c r="K71" s="1647"/>
      <c r="L71" s="1581"/>
    </row>
    <row r="72" spans="1:12" ht="38.700000000000003">
      <c r="A72" s="1343" t="s">
        <v>3362</v>
      </c>
      <c r="B72" s="1341" t="s">
        <v>3363</v>
      </c>
      <c r="C72" s="718" t="s">
        <v>48</v>
      </c>
      <c r="D72" s="718" t="s">
        <v>48</v>
      </c>
      <c r="E72" s="1345" t="s">
        <v>48</v>
      </c>
      <c r="F72" s="718" t="s">
        <v>48</v>
      </c>
      <c r="G72" s="1345" t="s">
        <v>48</v>
      </c>
      <c r="H72" s="718">
        <v>8</v>
      </c>
      <c r="I72" s="719" t="s">
        <v>839</v>
      </c>
      <c r="J72" s="329" t="s">
        <v>729</v>
      </c>
      <c r="K72" s="1647"/>
      <c r="L72" s="1581"/>
    </row>
    <row r="73" spans="1:12" ht="25.8">
      <c r="A73" s="1341" t="s">
        <v>3364</v>
      </c>
      <c r="B73" s="1341" t="s">
        <v>3365</v>
      </c>
      <c r="C73" s="146" t="s">
        <v>919</v>
      </c>
      <c r="D73" s="1307">
        <v>100</v>
      </c>
      <c r="E73" s="146">
        <v>65535</v>
      </c>
      <c r="F73" s="1307" t="s">
        <v>3349</v>
      </c>
      <c r="G73" s="146">
        <v>65535</v>
      </c>
      <c r="H73" s="146">
        <v>16</v>
      </c>
      <c r="I73" s="146" t="s">
        <v>991</v>
      </c>
      <c r="J73" s="146" t="s">
        <v>729</v>
      </c>
      <c r="K73" s="1647"/>
      <c r="L73" s="1581"/>
    </row>
    <row r="74" spans="1:12" ht="38.700000000000003">
      <c r="A74" s="1343" t="s">
        <v>3366</v>
      </c>
      <c r="B74" s="1341" t="s">
        <v>3367</v>
      </c>
      <c r="C74" s="1346" t="s">
        <v>48</v>
      </c>
      <c r="D74" s="718" t="s">
        <v>48</v>
      </c>
      <c r="E74" s="1345" t="s">
        <v>48</v>
      </c>
      <c r="F74" s="718" t="s">
        <v>48</v>
      </c>
      <c r="G74" s="1345" t="s">
        <v>48</v>
      </c>
      <c r="H74" s="1345">
        <v>8</v>
      </c>
      <c r="I74" s="1347" t="s">
        <v>839</v>
      </c>
      <c r="J74" s="1346" t="s">
        <v>729</v>
      </c>
      <c r="K74" s="1647"/>
      <c r="L74" s="1581"/>
    </row>
    <row r="75" spans="1:12" ht="38.700000000000003">
      <c r="A75" s="1341" t="s">
        <v>3368</v>
      </c>
      <c r="B75" s="1341" t="s">
        <v>3369</v>
      </c>
      <c r="C75" s="146" t="s">
        <v>919</v>
      </c>
      <c r="D75" s="1307">
        <v>100</v>
      </c>
      <c r="E75" s="146">
        <v>65535</v>
      </c>
      <c r="F75" s="1307" t="s">
        <v>3349</v>
      </c>
      <c r="G75" s="146">
        <v>65535</v>
      </c>
      <c r="H75" s="146">
        <v>16</v>
      </c>
      <c r="I75" s="146" t="s">
        <v>991</v>
      </c>
      <c r="J75" s="146" t="s">
        <v>729</v>
      </c>
      <c r="K75" s="1647"/>
      <c r="L75" s="1581"/>
    </row>
    <row r="76" spans="1:12" ht="38.700000000000003">
      <c r="A76" s="1343" t="s">
        <v>3370</v>
      </c>
      <c r="B76" s="1341" t="s">
        <v>3371</v>
      </c>
      <c r="C76" s="1346" t="s">
        <v>48</v>
      </c>
      <c r="D76" s="718" t="s">
        <v>48</v>
      </c>
      <c r="E76" s="1345" t="s">
        <v>48</v>
      </c>
      <c r="F76" s="718" t="s">
        <v>48</v>
      </c>
      <c r="G76" s="1345" t="s">
        <v>48</v>
      </c>
      <c r="H76" s="1345">
        <v>8</v>
      </c>
      <c r="I76" s="1347" t="s">
        <v>839</v>
      </c>
      <c r="J76" s="1346" t="s">
        <v>729</v>
      </c>
      <c r="K76" s="1647"/>
      <c r="L76" s="1581"/>
    </row>
    <row r="77" spans="1:12" ht="25.8">
      <c r="A77" s="1341" t="s">
        <v>3372</v>
      </c>
      <c r="B77" s="1341" t="s">
        <v>3373</v>
      </c>
      <c r="C77" s="1307" t="s">
        <v>919</v>
      </c>
      <c r="D77" s="1307">
        <v>100</v>
      </c>
      <c r="E77" s="146">
        <v>65535</v>
      </c>
      <c r="F77" s="1307" t="s">
        <v>3349</v>
      </c>
      <c r="G77" s="146">
        <v>65535</v>
      </c>
      <c r="H77" s="1307">
        <v>16</v>
      </c>
      <c r="I77" s="1342" t="s">
        <v>991</v>
      </c>
      <c r="J77" s="1307" t="s">
        <v>729</v>
      </c>
      <c r="K77" s="1647"/>
      <c r="L77" s="1581"/>
    </row>
    <row r="78" spans="1:12" ht="38.700000000000003">
      <c r="A78" s="1343" t="s">
        <v>3374</v>
      </c>
      <c r="B78" s="332" t="s">
        <v>3375</v>
      </c>
      <c r="C78" s="718" t="s">
        <v>48</v>
      </c>
      <c r="D78" s="718" t="s">
        <v>48</v>
      </c>
      <c r="E78" s="1345" t="s">
        <v>48</v>
      </c>
      <c r="F78" s="718" t="s">
        <v>48</v>
      </c>
      <c r="G78" s="1345" t="s">
        <v>48</v>
      </c>
      <c r="H78" s="718">
        <v>8</v>
      </c>
      <c r="I78" s="719" t="s">
        <v>839</v>
      </c>
      <c r="J78" s="720" t="s">
        <v>729</v>
      </c>
      <c r="K78" s="1647"/>
      <c r="L78" s="1581"/>
    </row>
    <row r="79" spans="1:12" ht="51.6">
      <c r="A79" s="1341" t="s">
        <v>3376</v>
      </c>
      <c r="B79" s="1341" t="s">
        <v>3377</v>
      </c>
      <c r="C79" s="1307" t="s">
        <v>919</v>
      </c>
      <c r="D79" s="1307">
        <v>100</v>
      </c>
      <c r="E79" s="146">
        <v>65535</v>
      </c>
      <c r="F79" s="1307" t="s">
        <v>3349</v>
      </c>
      <c r="G79" s="146">
        <v>65535</v>
      </c>
      <c r="H79" s="1344">
        <v>16</v>
      </c>
      <c r="I79" s="1342" t="s">
        <v>991</v>
      </c>
      <c r="J79" s="1344" t="s">
        <v>729</v>
      </c>
      <c r="K79" s="1647"/>
      <c r="L79" s="1581"/>
    </row>
    <row r="80" spans="1:12" ht="38.700000000000003">
      <c r="A80" s="1343" t="s">
        <v>3378</v>
      </c>
      <c r="B80" s="332" t="s">
        <v>3379</v>
      </c>
      <c r="C80" s="718" t="s">
        <v>48</v>
      </c>
      <c r="D80" s="718" t="s">
        <v>48</v>
      </c>
      <c r="E80" s="1345" t="s">
        <v>48</v>
      </c>
      <c r="F80" s="718" t="s">
        <v>48</v>
      </c>
      <c r="G80" s="1345" t="s">
        <v>48</v>
      </c>
      <c r="H80" s="1345">
        <v>8</v>
      </c>
      <c r="I80" s="719" t="s">
        <v>839</v>
      </c>
      <c r="J80" s="1346" t="s">
        <v>729</v>
      </c>
      <c r="K80" s="1647"/>
      <c r="L80" s="1581"/>
    </row>
    <row r="81" spans="1:12" ht="25.8">
      <c r="A81" s="1341" t="s">
        <v>3380</v>
      </c>
      <c r="B81" s="1341" t="s">
        <v>3381</v>
      </c>
      <c r="C81" s="1307" t="s">
        <v>919</v>
      </c>
      <c r="D81" s="1307">
        <v>100</v>
      </c>
      <c r="E81" s="146">
        <v>65535</v>
      </c>
      <c r="F81" s="1307" t="s">
        <v>3349</v>
      </c>
      <c r="G81" s="146">
        <v>65535</v>
      </c>
      <c r="H81" s="1307">
        <v>16</v>
      </c>
      <c r="I81" s="719" t="s">
        <v>991</v>
      </c>
      <c r="J81" s="1307" t="s">
        <v>729</v>
      </c>
      <c r="K81" s="1647"/>
      <c r="L81" s="1581"/>
    </row>
    <row r="82" spans="1:12" ht="38.700000000000003">
      <c r="A82" s="1343" t="s">
        <v>3382</v>
      </c>
      <c r="B82" s="1341" t="s">
        <v>3383</v>
      </c>
      <c r="C82" s="718" t="s">
        <v>48</v>
      </c>
      <c r="D82" s="718" t="s">
        <v>48</v>
      </c>
      <c r="E82" s="1345" t="s">
        <v>48</v>
      </c>
      <c r="F82" s="718" t="s">
        <v>48</v>
      </c>
      <c r="G82" s="1345" t="s">
        <v>48</v>
      </c>
      <c r="H82" s="718">
        <v>8</v>
      </c>
      <c r="I82" s="719" t="s">
        <v>839</v>
      </c>
      <c r="J82" s="329" t="s">
        <v>729</v>
      </c>
      <c r="K82" s="1647"/>
      <c r="L82" s="1581"/>
    </row>
    <row r="83" spans="1:12" ht="38.700000000000003">
      <c r="A83" s="1341" t="s">
        <v>3384</v>
      </c>
      <c r="B83" s="1341" t="s">
        <v>3385</v>
      </c>
      <c r="C83" s="146" t="s">
        <v>919</v>
      </c>
      <c r="D83" s="1307">
        <v>100</v>
      </c>
      <c r="E83" s="146">
        <v>65535</v>
      </c>
      <c r="F83" s="1307" t="s">
        <v>3349</v>
      </c>
      <c r="G83" s="146">
        <v>65535</v>
      </c>
      <c r="H83" s="146">
        <v>16</v>
      </c>
      <c r="I83" s="146" t="s">
        <v>991</v>
      </c>
      <c r="J83" s="146" t="s">
        <v>729</v>
      </c>
      <c r="K83" s="1647"/>
      <c r="L83" s="1581"/>
    </row>
    <row r="84" spans="1:12" ht="38.700000000000003">
      <c r="A84" s="1343" t="s">
        <v>3386</v>
      </c>
      <c r="B84" s="1341" t="s">
        <v>3387</v>
      </c>
      <c r="C84" s="1346" t="s">
        <v>48</v>
      </c>
      <c r="D84" s="718" t="s">
        <v>48</v>
      </c>
      <c r="E84" s="1345" t="s">
        <v>48</v>
      </c>
      <c r="F84" s="718" t="s">
        <v>48</v>
      </c>
      <c r="G84" s="1345" t="s">
        <v>48</v>
      </c>
      <c r="H84" s="1345">
        <v>8</v>
      </c>
      <c r="I84" s="1347" t="s">
        <v>839</v>
      </c>
      <c r="J84" s="1346" t="s">
        <v>729</v>
      </c>
      <c r="K84" s="1647"/>
      <c r="L84" s="1581"/>
    </row>
    <row r="85" spans="1:12" ht="25.8">
      <c r="A85" s="1341" t="s">
        <v>3388</v>
      </c>
      <c r="B85" s="1341" t="s">
        <v>3389</v>
      </c>
      <c r="C85" s="146" t="s">
        <v>919</v>
      </c>
      <c r="D85" s="1307">
        <v>100</v>
      </c>
      <c r="E85" s="146">
        <v>65535</v>
      </c>
      <c r="F85" s="1307" t="s">
        <v>3349</v>
      </c>
      <c r="G85" s="146">
        <v>65535</v>
      </c>
      <c r="H85" s="146">
        <v>16</v>
      </c>
      <c r="I85" s="146" t="s">
        <v>991</v>
      </c>
      <c r="J85" s="146" t="s">
        <v>729</v>
      </c>
      <c r="K85" s="1647"/>
      <c r="L85" s="1581"/>
    </row>
    <row r="86" spans="1:12" ht="38.700000000000003">
      <c r="A86" s="1343" t="s">
        <v>3390</v>
      </c>
      <c r="B86" s="1341" t="s">
        <v>3391</v>
      </c>
      <c r="C86" s="1346" t="s">
        <v>48</v>
      </c>
      <c r="D86" s="718" t="s">
        <v>48</v>
      </c>
      <c r="E86" s="1345" t="s">
        <v>48</v>
      </c>
      <c r="F86" s="718" t="s">
        <v>48</v>
      </c>
      <c r="G86" s="1345" t="s">
        <v>48</v>
      </c>
      <c r="H86" s="1345">
        <v>8</v>
      </c>
      <c r="I86" s="1347" t="s">
        <v>839</v>
      </c>
      <c r="J86" s="1346" t="s">
        <v>729</v>
      </c>
      <c r="K86" s="1647"/>
      <c r="L86" s="1581"/>
    </row>
    <row r="87" spans="1:12" ht="51.6">
      <c r="A87" s="1341" t="s">
        <v>3392</v>
      </c>
      <c r="B87" s="1341" t="s">
        <v>3393</v>
      </c>
      <c r="C87" s="1307" t="s">
        <v>919</v>
      </c>
      <c r="D87" s="1307">
        <v>100</v>
      </c>
      <c r="E87" s="146">
        <v>65535</v>
      </c>
      <c r="F87" s="1307" t="s">
        <v>3349</v>
      </c>
      <c r="G87" s="146">
        <v>65535</v>
      </c>
      <c r="H87" s="1307">
        <v>16</v>
      </c>
      <c r="I87" s="1342" t="s">
        <v>991</v>
      </c>
      <c r="J87" s="1307" t="s">
        <v>729</v>
      </c>
      <c r="K87" s="1647"/>
      <c r="L87" s="1581"/>
    </row>
    <row r="88" spans="1:12" ht="38.700000000000003">
      <c r="A88" s="1343" t="s">
        <v>3394</v>
      </c>
      <c r="B88" s="332" t="s">
        <v>3395</v>
      </c>
      <c r="C88" s="718" t="s">
        <v>48</v>
      </c>
      <c r="D88" s="718" t="s">
        <v>48</v>
      </c>
      <c r="E88" s="1345" t="s">
        <v>48</v>
      </c>
      <c r="F88" s="718" t="s">
        <v>48</v>
      </c>
      <c r="G88" s="1345" t="s">
        <v>48</v>
      </c>
      <c r="H88" s="718">
        <v>8</v>
      </c>
      <c r="I88" s="719" t="s">
        <v>839</v>
      </c>
      <c r="J88" s="720" t="s">
        <v>729</v>
      </c>
      <c r="K88" s="1647"/>
      <c r="L88" s="1581"/>
    </row>
    <row r="89" spans="1:12" ht="25.8">
      <c r="A89" s="1341" t="s">
        <v>3396</v>
      </c>
      <c r="B89" s="1341" t="s">
        <v>3397</v>
      </c>
      <c r="C89" s="1307" t="s">
        <v>919</v>
      </c>
      <c r="D89" s="1307">
        <v>100</v>
      </c>
      <c r="E89" s="146">
        <v>65535</v>
      </c>
      <c r="F89" s="1307" t="s">
        <v>3349</v>
      </c>
      <c r="G89" s="146">
        <v>65535</v>
      </c>
      <c r="H89" s="1344">
        <v>16</v>
      </c>
      <c r="I89" s="1342" t="s">
        <v>991</v>
      </c>
      <c r="J89" s="1344" t="s">
        <v>729</v>
      </c>
      <c r="K89" s="1647"/>
      <c r="L89" s="1581"/>
    </row>
    <row r="90" spans="1:12" ht="38.700000000000003">
      <c r="A90" s="1343" t="s">
        <v>3398</v>
      </c>
      <c r="B90" s="332" t="s">
        <v>3399</v>
      </c>
      <c r="C90" s="718" t="s">
        <v>48</v>
      </c>
      <c r="D90" s="718" t="s">
        <v>48</v>
      </c>
      <c r="E90" s="1345" t="s">
        <v>48</v>
      </c>
      <c r="F90" s="718" t="s">
        <v>48</v>
      </c>
      <c r="G90" s="1345" t="s">
        <v>48</v>
      </c>
      <c r="H90" s="1345">
        <v>8</v>
      </c>
      <c r="I90" s="719" t="s">
        <v>839</v>
      </c>
      <c r="J90" s="1346" t="s">
        <v>729</v>
      </c>
      <c r="K90" s="1647"/>
      <c r="L90" s="1581"/>
    </row>
    <row r="91" spans="1:12" ht="38.700000000000003">
      <c r="A91" s="1341" t="s">
        <v>3400</v>
      </c>
      <c r="B91" s="1341" t="s">
        <v>3401</v>
      </c>
      <c r="C91" s="1307" t="s">
        <v>919</v>
      </c>
      <c r="D91" s="1307">
        <v>100</v>
      </c>
      <c r="E91" s="146">
        <v>65535</v>
      </c>
      <c r="F91" s="1307" t="s">
        <v>3349</v>
      </c>
      <c r="G91" s="146">
        <v>65535</v>
      </c>
      <c r="H91" s="1307">
        <v>16</v>
      </c>
      <c r="I91" s="719" t="s">
        <v>991</v>
      </c>
      <c r="J91" s="1307" t="s">
        <v>729</v>
      </c>
      <c r="K91" s="1647"/>
      <c r="L91" s="1581"/>
    </row>
    <row r="92" spans="1:12" ht="38.700000000000003">
      <c r="A92" s="1343" t="s">
        <v>3402</v>
      </c>
      <c r="B92" s="1341" t="s">
        <v>3403</v>
      </c>
      <c r="C92" s="718" t="s">
        <v>48</v>
      </c>
      <c r="D92" s="718" t="s">
        <v>48</v>
      </c>
      <c r="E92" s="1345" t="s">
        <v>48</v>
      </c>
      <c r="F92" s="718" t="s">
        <v>48</v>
      </c>
      <c r="G92" s="1345" t="s">
        <v>48</v>
      </c>
      <c r="H92" s="718">
        <v>8</v>
      </c>
      <c r="I92" s="719" t="s">
        <v>839</v>
      </c>
      <c r="J92" s="329" t="s">
        <v>729</v>
      </c>
      <c r="K92" s="1647"/>
      <c r="L92" s="1581"/>
    </row>
    <row r="93" spans="1:12" ht="25.8">
      <c r="A93" s="1341" t="s">
        <v>3404</v>
      </c>
      <c r="B93" s="1341" t="s">
        <v>3405</v>
      </c>
      <c r="C93" s="146" t="s">
        <v>919</v>
      </c>
      <c r="D93" s="1307">
        <v>100</v>
      </c>
      <c r="E93" s="146">
        <v>65535</v>
      </c>
      <c r="F93" s="1307" t="s">
        <v>3349</v>
      </c>
      <c r="G93" s="146">
        <v>65535</v>
      </c>
      <c r="H93" s="146">
        <v>16</v>
      </c>
      <c r="I93" s="146" t="s">
        <v>991</v>
      </c>
      <c r="J93" s="146" t="s">
        <v>729</v>
      </c>
      <c r="K93" s="1647"/>
      <c r="L93" s="1581"/>
    </row>
    <row r="94" spans="1:12" ht="38.700000000000003">
      <c r="A94" s="1343" t="s">
        <v>3406</v>
      </c>
      <c r="B94" s="1341" t="s">
        <v>3407</v>
      </c>
      <c r="C94" s="1346" t="s">
        <v>48</v>
      </c>
      <c r="D94" s="718" t="s">
        <v>48</v>
      </c>
      <c r="E94" s="1345" t="s">
        <v>48</v>
      </c>
      <c r="F94" s="718" t="s">
        <v>48</v>
      </c>
      <c r="G94" s="1345" t="s">
        <v>48</v>
      </c>
      <c r="H94" s="1345">
        <v>8</v>
      </c>
      <c r="I94" s="1347" t="s">
        <v>839</v>
      </c>
      <c r="J94" s="1346" t="s">
        <v>729</v>
      </c>
      <c r="K94" s="1647"/>
      <c r="L94" s="1581"/>
    </row>
    <row r="95" spans="1:12" ht="51.6">
      <c r="A95" s="1341" t="s">
        <v>3408</v>
      </c>
      <c r="B95" s="1341" t="s">
        <v>3409</v>
      </c>
      <c r="C95" s="146" t="s">
        <v>919</v>
      </c>
      <c r="D95" s="1307">
        <v>100</v>
      </c>
      <c r="E95" s="146">
        <v>65535</v>
      </c>
      <c r="F95" s="1307" t="s">
        <v>3349</v>
      </c>
      <c r="G95" s="146">
        <v>65535</v>
      </c>
      <c r="H95" s="146">
        <v>16</v>
      </c>
      <c r="I95" s="146" t="s">
        <v>991</v>
      </c>
      <c r="J95" s="146" t="s">
        <v>729</v>
      </c>
      <c r="K95" s="1647"/>
      <c r="L95" s="1581"/>
    </row>
    <row r="96" spans="1:12" ht="38.700000000000003">
      <c r="A96" s="1343" t="s">
        <v>3410</v>
      </c>
      <c r="B96" s="1341" t="s">
        <v>3411</v>
      </c>
      <c r="C96" s="1346" t="s">
        <v>48</v>
      </c>
      <c r="D96" s="718" t="s">
        <v>48</v>
      </c>
      <c r="E96" s="1345" t="s">
        <v>48</v>
      </c>
      <c r="F96" s="718" t="s">
        <v>48</v>
      </c>
      <c r="G96" s="1345" t="s">
        <v>48</v>
      </c>
      <c r="H96" s="1345">
        <v>8</v>
      </c>
      <c r="I96" s="1347" t="s">
        <v>839</v>
      </c>
      <c r="J96" s="1346" t="s">
        <v>729</v>
      </c>
      <c r="K96" s="1647"/>
      <c r="L96" s="1581"/>
    </row>
    <row r="97" spans="1:12" ht="25.8">
      <c r="A97" s="1341" t="s">
        <v>3412</v>
      </c>
      <c r="B97" s="1341" t="s">
        <v>3413</v>
      </c>
      <c r="C97" s="1307" t="s">
        <v>919</v>
      </c>
      <c r="D97" s="1307">
        <v>100</v>
      </c>
      <c r="E97" s="146">
        <v>65535</v>
      </c>
      <c r="F97" s="1307" t="s">
        <v>3349</v>
      </c>
      <c r="G97" s="146">
        <v>65535</v>
      </c>
      <c r="H97" s="1307">
        <v>16</v>
      </c>
      <c r="I97" s="1342" t="s">
        <v>991</v>
      </c>
      <c r="J97" s="1307" t="s">
        <v>729</v>
      </c>
      <c r="K97" s="1647"/>
      <c r="L97" s="1581"/>
    </row>
    <row r="98" spans="1:12" ht="38.700000000000003">
      <c r="A98" s="1343" t="s">
        <v>3414</v>
      </c>
      <c r="B98" s="332" t="s">
        <v>3415</v>
      </c>
      <c r="C98" s="718" t="s">
        <v>48</v>
      </c>
      <c r="D98" s="718" t="s">
        <v>48</v>
      </c>
      <c r="E98" s="1345" t="s">
        <v>48</v>
      </c>
      <c r="F98" s="718" t="s">
        <v>48</v>
      </c>
      <c r="G98" s="1345" t="s">
        <v>48</v>
      </c>
      <c r="H98" s="718">
        <v>8</v>
      </c>
      <c r="I98" s="719" t="s">
        <v>839</v>
      </c>
      <c r="J98" s="720" t="s">
        <v>729</v>
      </c>
      <c r="K98" s="1647"/>
      <c r="L98" s="1581"/>
    </row>
    <row r="99" spans="1:12" ht="38.700000000000003">
      <c r="A99" s="1341" t="s">
        <v>3416</v>
      </c>
      <c r="B99" s="1341" t="s">
        <v>3417</v>
      </c>
      <c r="C99" s="1307" t="s">
        <v>919</v>
      </c>
      <c r="D99" s="1307">
        <v>100</v>
      </c>
      <c r="E99" s="146">
        <v>65535</v>
      </c>
      <c r="F99" s="1307" t="s">
        <v>3349</v>
      </c>
      <c r="G99" s="146">
        <v>65535</v>
      </c>
      <c r="H99" s="1344">
        <v>16</v>
      </c>
      <c r="I99" s="1342" t="s">
        <v>991</v>
      </c>
      <c r="J99" s="1344" t="s">
        <v>729</v>
      </c>
      <c r="K99" s="1647"/>
      <c r="L99" s="1581"/>
    </row>
    <row r="100" spans="1:12" ht="38.700000000000003">
      <c r="A100" s="1343" t="s">
        <v>3418</v>
      </c>
      <c r="B100" s="332" t="s">
        <v>3419</v>
      </c>
      <c r="C100" s="718" t="s">
        <v>48</v>
      </c>
      <c r="D100" s="718" t="s">
        <v>48</v>
      </c>
      <c r="E100" s="1345" t="s">
        <v>48</v>
      </c>
      <c r="F100" s="718" t="s">
        <v>48</v>
      </c>
      <c r="G100" s="1345" t="s">
        <v>48</v>
      </c>
      <c r="H100" s="1345">
        <v>8</v>
      </c>
      <c r="I100" s="719" t="s">
        <v>839</v>
      </c>
      <c r="J100" s="1346" t="s">
        <v>729</v>
      </c>
      <c r="K100" s="1647"/>
      <c r="L100" s="1581"/>
    </row>
    <row r="101" spans="1:12" ht="25.8">
      <c r="A101" s="1341" t="s">
        <v>3420</v>
      </c>
      <c r="B101" s="1341" t="s">
        <v>3421</v>
      </c>
      <c r="C101" s="1307" t="s">
        <v>919</v>
      </c>
      <c r="D101" s="1307">
        <v>100</v>
      </c>
      <c r="E101" s="146">
        <v>65535</v>
      </c>
      <c r="F101" s="1307" t="s">
        <v>3349</v>
      </c>
      <c r="G101" s="146">
        <v>65535</v>
      </c>
      <c r="H101" s="1307">
        <v>16</v>
      </c>
      <c r="I101" s="719" t="s">
        <v>991</v>
      </c>
      <c r="J101" s="1307" t="s">
        <v>729</v>
      </c>
      <c r="K101" s="1647"/>
      <c r="L101" s="1581"/>
    </row>
    <row r="102" spans="1:12" ht="38.700000000000003">
      <c r="A102" s="1343" t="s">
        <v>3422</v>
      </c>
      <c r="B102" s="1341" t="s">
        <v>3423</v>
      </c>
      <c r="C102" s="718" t="s">
        <v>48</v>
      </c>
      <c r="D102" s="718" t="s">
        <v>48</v>
      </c>
      <c r="E102" s="1345" t="s">
        <v>48</v>
      </c>
      <c r="F102" s="718" t="s">
        <v>48</v>
      </c>
      <c r="G102" s="1345" t="s">
        <v>48</v>
      </c>
      <c r="H102" s="718">
        <v>8</v>
      </c>
      <c r="I102" s="719" t="s">
        <v>839</v>
      </c>
      <c r="J102" s="329" t="s">
        <v>729</v>
      </c>
      <c r="K102" s="1647"/>
      <c r="L102" s="1581"/>
    </row>
    <row r="103" spans="1:12" ht="51.6">
      <c r="A103" s="1341" t="s">
        <v>3424</v>
      </c>
      <c r="B103" s="1341" t="s">
        <v>3425</v>
      </c>
      <c r="C103" s="146" t="s">
        <v>919</v>
      </c>
      <c r="D103" s="1307">
        <v>100</v>
      </c>
      <c r="E103" s="146">
        <v>65535</v>
      </c>
      <c r="F103" s="1307" t="s">
        <v>3349</v>
      </c>
      <c r="G103" s="146">
        <v>65535</v>
      </c>
      <c r="H103" s="146">
        <v>16</v>
      </c>
      <c r="I103" s="146" t="s">
        <v>991</v>
      </c>
      <c r="J103" s="146" t="s">
        <v>729</v>
      </c>
      <c r="K103" s="1647"/>
      <c r="L103" s="1581"/>
    </row>
    <row r="104" spans="1:12" ht="38.700000000000003">
      <c r="A104" s="1343" t="s">
        <v>3426</v>
      </c>
      <c r="B104" s="1341" t="s">
        <v>3427</v>
      </c>
      <c r="C104" s="1346" t="s">
        <v>48</v>
      </c>
      <c r="D104" s="718" t="s">
        <v>48</v>
      </c>
      <c r="E104" s="1345" t="s">
        <v>48</v>
      </c>
      <c r="F104" s="718" t="s">
        <v>48</v>
      </c>
      <c r="G104" s="1345" t="s">
        <v>48</v>
      </c>
      <c r="H104" s="1345">
        <v>8</v>
      </c>
      <c r="I104" s="1347" t="s">
        <v>839</v>
      </c>
      <c r="J104" s="1346" t="s">
        <v>729</v>
      </c>
      <c r="K104" s="1647"/>
      <c r="L104" s="1581"/>
    </row>
    <row r="105" spans="1:12" ht="25.8">
      <c r="A105" s="1341" t="s">
        <v>3428</v>
      </c>
      <c r="B105" s="1341" t="s">
        <v>3429</v>
      </c>
      <c r="C105" s="146" t="s">
        <v>48</v>
      </c>
      <c r="D105" s="146">
        <v>1</v>
      </c>
      <c r="E105" s="146">
        <v>255</v>
      </c>
      <c r="F105" s="1307" t="s">
        <v>3430</v>
      </c>
      <c r="G105" s="146">
        <v>255</v>
      </c>
      <c r="H105" s="146">
        <v>8</v>
      </c>
      <c r="I105" s="146" t="s">
        <v>743</v>
      </c>
      <c r="J105" s="146" t="s">
        <v>729</v>
      </c>
      <c r="K105" s="1647"/>
      <c r="L105" s="1581"/>
    </row>
    <row r="106" spans="1:12" ht="38.700000000000003">
      <c r="A106" s="1343" t="s">
        <v>3431</v>
      </c>
      <c r="B106" s="1341" t="s">
        <v>3432</v>
      </c>
      <c r="C106" s="1346" t="s">
        <v>48</v>
      </c>
      <c r="D106" s="1345" t="s">
        <v>48</v>
      </c>
      <c r="E106" s="1345" t="s">
        <v>48</v>
      </c>
      <c r="F106" s="718" t="s">
        <v>48</v>
      </c>
      <c r="G106" s="1345" t="s">
        <v>48</v>
      </c>
      <c r="H106" s="1345">
        <v>8</v>
      </c>
      <c r="I106" s="1347" t="s">
        <v>839</v>
      </c>
      <c r="J106" s="1346" t="s">
        <v>729</v>
      </c>
      <c r="K106" s="1647"/>
      <c r="L106" s="1581"/>
    </row>
    <row r="107" spans="1:12" ht="25.8">
      <c r="A107" s="1341" t="s">
        <v>3433</v>
      </c>
      <c r="B107" s="1341" t="s">
        <v>3434</v>
      </c>
      <c r="C107" s="1307" t="s">
        <v>48</v>
      </c>
      <c r="D107" s="1307">
        <v>0</v>
      </c>
      <c r="E107" s="146">
        <v>255</v>
      </c>
      <c r="F107" s="1307" t="s">
        <v>3435</v>
      </c>
      <c r="G107" s="146">
        <v>255</v>
      </c>
      <c r="H107" s="1307">
        <v>8</v>
      </c>
      <c r="I107" s="1342" t="s">
        <v>743</v>
      </c>
      <c r="J107" s="1307" t="s">
        <v>729</v>
      </c>
      <c r="K107" s="1647"/>
      <c r="L107" s="1581"/>
    </row>
    <row r="108" spans="1:12" ht="38.700000000000003">
      <c r="A108" s="1343" t="s">
        <v>3436</v>
      </c>
      <c r="B108" s="332" t="s">
        <v>3437</v>
      </c>
      <c r="C108" s="718" t="s">
        <v>48</v>
      </c>
      <c r="D108" s="718" t="s">
        <v>48</v>
      </c>
      <c r="E108" s="718" t="s">
        <v>48</v>
      </c>
      <c r="F108" s="718" t="s">
        <v>48</v>
      </c>
      <c r="G108" s="718" t="s">
        <v>48</v>
      </c>
      <c r="H108" s="718">
        <v>8</v>
      </c>
      <c r="I108" s="719" t="s">
        <v>839</v>
      </c>
      <c r="J108" s="720" t="s">
        <v>729</v>
      </c>
      <c r="K108" s="1647"/>
      <c r="L108" s="1581"/>
    </row>
    <row r="109" spans="1:12" ht="25.8">
      <c r="A109" s="1341" t="s">
        <v>3438</v>
      </c>
      <c r="B109" s="1341" t="s">
        <v>3439</v>
      </c>
      <c r="C109" s="1307" t="s">
        <v>48</v>
      </c>
      <c r="D109" s="1307">
        <v>0</v>
      </c>
      <c r="E109" s="146">
        <v>255</v>
      </c>
      <c r="F109" s="1307" t="s">
        <v>3435</v>
      </c>
      <c r="G109" s="146">
        <v>255</v>
      </c>
      <c r="H109" s="1344">
        <v>8</v>
      </c>
      <c r="I109" s="1342" t="s">
        <v>743</v>
      </c>
      <c r="J109" s="1344" t="s">
        <v>729</v>
      </c>
      <c r="K109" s="1647"/>
      <c r="L109" s="1581"/>
    </row>
    <row r="110" spans="1:12" ht="38.700000000000003">
      <c r="A110" s="1343" t="s">
        <v>3440</v>
      </c>
      <c r="B110" s="332" t="s">
        <v>3441</v>
      </c>
      <c r="C110" s="718" t="s">
        <v>48</v>
      </c>
      <c r="D110" s="718" t="s">
        <v>48</v>
      </c>
      <c r="E110" s="718" t="s">
        <v>48</v>
      </c>
      <c r="F110" s="718" t="s">
        <v>48</v>
      </c>
      <c r="G110" s="718" t="s">
        <v>48</v>
      </c>
      <c r="H110" s="1345">
        <v>8</v>
      </c>
      <c r="I110" s="719" t="s">
        <v>839</v>
      </c>
      <c r="J110" s="1346" t="s">
        <v>729</v>
      </c>
      <c r="K110" s="1647"/>
      <c r="L110" s="1581"/>
    </row>
    <row r="111" spans="1:12" ht="25.8">
      <c r="A111" s="1341" t="s">
        <v>3442</v>
      </c>
      <c r="B111" s="1341" t="s">
        <v>3443</v>
      </c>
      <c r="C111" s="1307" t="s">
        <v>48</v>
      </c>
      <c r="D111" s="1307">
        <v>0</v>
      </c>
      <c r="E111" s="146">
        <v>255</v>
      </c>
      <c r="F111" s="1307" t="s">
        <v>3444</v>
      </c>
      <c r="G111" s="146">
        <v>255</v>
      </c>
      <c r="H111" s="1307">
        <v>8</v>
      </c>
      <c r="I111" s="719" t="s">
        <v>743</v>
      </c>
      <c r="J111" s="1307" t="s">
        <v>729</v>
      </c>
      <c r="K111" s="1647"/>
      <c r="L111" s="1581"/>
    </row>
    <row r="112" spans="1:12" ht="38.700000000000003">
      <c r="A112" s="1343" t="s">
        <v>3445</v>
      </c>
      <c r="B112" s="1341" t="s">
        <v>3446</v>
      </c>
      <c r="C112" s="718" t="s">
        <v>48</v>
      </c>
      <c r="D112" s="718" t="s">
        <v>48</v>
      </c>
      <c r="E112" s="718" t="s">
        <v>48</v>
      </c>
      <c r="F112" s="718" t="s">
        <v>48</v>
      </c>
      <c r="G112" s="718" t="s">
        <v>48</v>
      </c>
      <c r="H112" s="718">
        <v>8</v>
      </c>
      <c r="I112" s="719" t="s">
        <v>839</v>
      </c>
      <c r="J112" s="329" t="s">
        <v>729</v>
      </c>
      <c r="K112" s="1647"/>
      <c r="L112" s="1581"/>
    </row>
    <row r="113" spans="1:12" ht="25.8">
      <c r="A113" s="1341" t="s">
        <v>3447</v>
      </c>
      <c r="B113" s="1341" t="s">
        <v>3448</v>
      </c>
      <c r="C113" s="146" t="s">
        <v>3449</v>
      </c>
      <c r="D113" s="146">
        <v>0</v>
      </c>
      <c r="E113" s="146" t="s">
        <v>920</v>
      </c>
      <c r="F113" s="1307" t="s">
        <v>3450</v>
      </c>
      <c r="G113" s="146" t="s">
        <v>920</v>
      </c>
      <c r="H113" s="146">
        <v>32</v>
      </c>
      <c r="I113" s="146" t="s">
        <v>922</v>
      </c>
      <c r="J113" s="146" t="s">
        <v>729</v>
      </c>
      <c r="K113" s="1647"/>
      <c r="L113" s="1581"/>
    </row>
    <row r="114" spans="1:12" ht="38.700000000000003">
      <c r="A114" s="1343" t="s">
        <v>3451</v>
      </c>
      <c r="B114" s="1341" t="s">
        <v>3452</v>
      </c>
      <c r="C114" s="1346" t="s">
        <v>48</v>
      </c>
      <c r="D114" s="1345" t="s">
        <v>48</v>
      </c>
      <c r="E114" s="1345" t="s">
        <v>48</v>
      </c>
      <c r="F114" s="718" t="s">
        <v>48</v>
      </c>
      <c r="G114" s="1345" t="s">
        <v>48</v>
      </c>
      <c r="H114" s="1345">
        <v>8</v>
      </c>
      <c r="I114" s="1347" t="s">
        <v>839</v>
      </c>
      <c r="J114" s="1346" t="s">
        <v>729</v>
      </c>
      <c r="K114" s="1647"/>
      <c r="L114" s="1581"/>
    </row>
    <row r="115" spans="1:12" ht="38.700000000000003">
      <c r="A115" s="1341" t="s">
        <v>3453</v>
      </c>
      <c r="B115" s="1341" t="s">
        <v>3454</v>
      </c>
      <c r="C115" s="146" t="s">
        <v>3449</v>
      </c>
      <c r="D115" s="146">
        <v>0</v>
      </c>
      <c r="E115" s="146" t="s">
        <v>920</v>
      </c>
      <c r="F115" s="1307" t="s">
        <v>3450</v>
      </c>
      <c r="G115" s="146" t="s">
        <v>920</v>
      </c>
      <c r="H115" s="146">
        <v>32</v>
      </c>
      <c r="I115" s="146" t="s">
        <v>922</v>
      </c>
      <c r="J115" s="146" t="s">
        <v>729</v>
      </c>
      <c r="K115" s="1647"/>
      <c r="L115" s="1581"/>
    </row>
    <row r="116" spans="1:12" ht="38.700000000000003">
      <c r="A116" s="1343" t="s">
        <v>3455</v>
      </c>
      <c r="B116" s="1341" t="s">
        <v>3456</v>
      </c>
      <c r="C116" s="1346" t="s">
        <v>48</v>
      </c>
      <c r="D116" s="1345" t="s">
        <v>48</v>
      </c>
      <c r="E116" s="1345" t="s">
        <v>48</v>
      </c>
      <c r="F116" s="718" t="s">
        <v>48</v>
      </c>
      <c r="G116" s="1345" t="s">
        <v>48</v>
      </c>
      <c r="H116" s="1345">
        <v>8</v>
      </c>
      <c r="I116" s="1347" t="s">
        <v>839</v>
      </c>
      <c r="J116" s="1346" t="s">
        <v>729</v>
      </c>
      <c r="K116" s="1647"/>
      <c r="L116" s="1581"/>
    </row>
    <row r="117" spans="1:12" ht="25.8">
      <c r="A117" s="1341" t="s">
        <v>3457</v>
      </c>
      <c r="B117" s="1341" t="s">
        <v>3458</v>
      </c>
      <c r="C117" s="1307" t="s">
        <v>3449</v>
      </c>
      <c r="D117" s="1307">
        <v>0</v>
      </c>
      <c r="E117" s="146" t="s">
        <v>920</v>
      </c>
      <c r="F117" s="1307" t="s">
        <v>3450</v>
      </c>
      <c r="G117" s="146" t="s">
        <v>920</v>
      </c>
      <c r="H117" s="1307">
        <v>32</v>
      </c>
      <c r="I117" s="1342" t="s">
        <v>922</v>
      </c>
      <c r="J117" s="1307" t="s">
        <v>729</v>
      </c>
      <c r="K117" s="1647"/>
      <c r="L117" s="1581"/>
    </row>
    <row r="118" spans="1:12" ht="38.700000000000003">
      <c r="A118" s="1343" t="s">
        <v>3459</v>
      </c>
      <c r="B118" s="332" t="s">
        <v>3460</v>
      </c>
      <c r="C118" s="718" t="s">
        <v>48</v>
      </c>
      <c r="D118" s="718" t="s">
        <v>48</v>
      </c>
      <c r="E118" s="718" t="s">
        <v>48</v>
      </c>
      <c r="F118" s="718" t="s">
        <v>48</v>
      </c>
      <c r="G118" s="718" t="s">
        <v>48</v>
      </c>
      <c r="H118" s="718">
        <v>8</v>
      </c>
      <c r="I118" s="719" t="s">
        <v>839</v>
      </c>
      <c r="J118" s="720" t="s">
        <v>729</v>
      </c>
      <c r="K118" s="1647"/>
      <c r="L118" s="1581"/>
    </row>
    <row r="119" spans="1:12" ht="25.8">
      <c r="A119" s="1341" t="s">
        <v>3461</v>
      </c>
      <c r="B119" s="1341" t="s">
        <v>3462</v>
      </c>
      <c r="C119" s="1307" t="s">
        <v>48</v>
      </c>
      <c r="D119" s="1307">
        <v>-1</v>
      </c>
      <c r="E119" s="146" t="s">
        <v>920</v>
      </c>
      <c r="F119" s="1307" t="s">
        <v>3463</v>
      </c>
      <c r="G119" s="146" t="s">
        <v>920</v>
      </c>
      <c r="H119" s="1344">
        <v>32</v>
      </c>
      <c r="I119" s="1342" t="s">
        <v>922</v>
      </c>
      <c r="J119" s="1344" t="s">
        <v>729</v>
      </c>
      <c r="K119" s="1647"/>
      <c r="L119" s="1581"/>
    </row>
    <row r="120" spans="1:12" ht="38.700000000000003">
      <c r="A120" s="1343" t="s">
        <v>3464</v>
      </c>
      <c r="B120" s="332" t="s">
        <v>3465</v>
      </c>
      <c r="C120" s="718" t="s">
        <v>48</v>
      </c>
      <c r="D120" s="718" t="s">
        <v>48</v>
      </c>
      <c r="E120" s="718" t="s">
        <v>48</v>
      </c>
      <c r="F120" s="718" t="s">
        <v>48</v>
      </c>
      <c r="G120" s="718" t="s">
        <v>48</v>
      </c>
      <c r="H120" s="1345">
        <v>8</v>
      </c>
      <c r="I120" s="719" t="s">
        <v>839</v>
      </c>
      <c r="J120" s="1346" t="s">
        <v>729</v>
      </c>
      <c r="K120" s="1647"/>
      <c r="L120" s="1581"/>
    </row>
    <row r="121" spans="1:12" ht="25.8">
      <c r="A121" s="1341" t="s">
        <v>3466</v>
      </c>
      <c r="B121" s="1341" t="s">
        <v>3467</v>
      </c>
      <c r="C121" s="1307" t="s">
        <v>48</v>
      </c>
      <c r="D121" s="1307">
        <v>-1</v>
      </c>
      <c r="E121" s="146" t="s">
        <v>920</v>
      </c>
      <c r="F121" s="1307" t="s">
        <v>3463</v>
      </c>
      <c r="G121" s="146" t="s">
        <v>920</v>
      </c>
      <c r="H121" s="1307">
        <v>32</v>
      </c>
      <c r="I121" s="719" t="s">
        <v>922</v>
      </c>
      <c r="J121" s="1307" t="s">
        <v>729</v>
      </c>
      <c r="K121" s="1647"/>
      <c r="L121" s="1581"/>
    </row>
    <row r="122" spans="1:12" ht="38.700000000000003">
      <c r="A122" s="1343" t="s">
        <v>3468</v>
      </c>
      <c r="B122" s="1341" t="s">
        <v>3469</v>
      </c>
      <c r="C122" s="718" t="s">
        <v>48</v>
      </c>
      <c r="D122" s="718" t="s">
        <v>48</v>
      </c>
      <c r="E122" s="718" t="s">
        <v>48</v>
      </c>
      <c r="F122" s="718" t="s">
        <v>48</v>
      </c>
      <c r="G122" s="718" t="s">
        <v>48</v>
      </c>
      <c r="H122" s="718">
        <v>8</v>
      </c>
      <c r="I122" s="719" t="s">
        <v>839</v>
      </c>
      <c r="J122" s="329" t="s">
        <v>729</v>
      </c>
      <c r="K122" s="1647"/>
      <c r="L122" s="1581"/>
    </row>
    <row r="123" spans="1:12" ht="51.6">
      <c r="A123" s="1341" t="s">
        <v>3470</v>
      </c>
      <c r="B123" s="1341" t="s">
        <v>3471</v>
      </c>
      <c r="C123" s="146" t="s">
        <v>48</v>
      </c>
      <c r="D123" s="146">
        <v>0</v>
      </c>
      <c r="E123" s="146" t="s">
        <v>920</v>
      </c>
      <c r="F123" s="1307" t="s">
        <v>3472</v>
      </c>
      <c r="G123" s="146" t="s">
        <v>920</v>
      </c>
      <c r="H123" s="146">
        <v>32</v>
      </c>
      <c r="I123" s="146" t="s">
        <v>922</v>
      </c>
      <c r="J123" s="146" t="s">
        <v>729</v>
      </c>
      <c r="K123" s="1647"/>
      <c r="L123" s="1581"/>
    </row>
    <row r="124" spans="1:12" ht="38.700000000000003">
      <c r="A124" s="1343" t="s">
        <v>3473</v>
      </c>
      <c r="B124" s="1341" t="s">
        <v>3474</v>
      </c>
      <c r="C124" s="1346" t="s">
        <v>48</v>
      </c>
      <c r="D124" s="1345" t="s">
        <v>48</v>
      </c>
      <c r="E124" s="1345" t="s">
        <v>48</v>
      </c>
      <c r="F124" s="718" t="s">
        <v>48</v>
      </c>
      <c r="G124" s="1345" t="s">
        <v>48</v>
      </c>
      <c r="H124" s="1345">
        <v>8</v>
      </c>
      <c r="I124" s="1347" t="s">
        <v>839</v>
      </c>
      <c r="J124" s="1346" t="s">
        <v>729</v>
      </c>
      <c r="K124" s="1647"/>
      <c r="L124" s="1581"/>
    </row>
    <row r="125" spans="1:12" ht="38.700000000000003">
      <c r="A125" s="1341" t="s">
        <v>3475</v>
      </c>
      <c r="B125" s="1341" t="s">
        <v>3476</v>
      </c>
      <c r="C125" s="146" t="s">
        <v>919</v>
      </c>
      <c r="D125" s="146">
        <v>100</v>
      </c>
      <c r="E125" s="146">
        <v>65535</v>
      </c>
      <c r="F125" s="1307" t="s">
        <v>3349</v>
      </c>
      <c r="G125" s="146">
        <v>65535</v>
      </c>
      <c r="H125" s="146">
        <v>16</v>
      </c>
      <c r="I125" s="146" t="s">
        <v>991</v>
      </c>
      <c r="J125" s="146" t="s">
        <v>729</v>
      </c>
      <c r="K125" s="1647"/>
      <c r="L125" s="1581"/>
    </row>
    <row r="126" spans="1:12" ht="38.700000000000003">
      <c r="A126" s="1343" t="s">
        <v>3477</v>
      </c>
      <c r="B126" s="1341" t="s">
        <v>3478</v>
      </c>
      <c r="C126" s="1346" t="s">
        <v>48</v>
      </c>
      <c r="D126" s="1345" t="s">
        <v>48</v>
      </c>
      <c r="E126" s="1345" t="s">
        <v>48</v>
      </c>
      <c r="F126" s="718" t="s">
        <v>48</v>
      </c>
      <c r="G126" s="1345" t="s">
        <v>48</v>
      </c>
      <c r="H126" s="1345">
        <v>8</v>
      </c>
      <c r="I126" s="1347" t="s">
        <v>839</v>
      </c>
      <c r="J126" s="1346" t="s">
        <v>729</v>
      </c>
      <c r="K126" s="1647"/>
      <c r="L126" s="1581"/>
    </row>
    <row r="127" spans="1:12" ht="51.6">
      <c r="A127" s="1341" t="s">
        <v>3479</v>
      </c>
      <c r="B127" s="1341" t="s">
        <v>3480</v>
      </c>
      <c r="C127" s="1307" t="s">
        <v>2973</v>
      </c>
      <c r="D127" s="1307">
        <v>0</v>
      </c>
      <c r="E127" s="146" t="s">
        <v>920</v>
      </c>
      <c r="F127" s="1307" t="s">
        <v>3324</v>
      </c>
      <c r="G127" s="146" t="s">
        <v>920</v>
      </c>
      <c r="H127" s="1307">
        <v>32</v>
      </c>
      <c r="I127" s="1342" t="s">
        <v>922</v>
      </c>
      <c r="J127" s="1307" t="s">
        <v>729</v>
      </c>
      <c r="K127" s="1647"/>
      <c r="L127" s="1581"/>
    </row>
    <row r="128" spans="1:12" ht="25.8">
      <c r="A128" s="1343" t="s">
        <v>3481</v>
      </c>
      <c r="B128" s="332" t="s">
        <v>3482</v>
      </c>
      <c r="C128" s="718" t="s">
        <v>48</v>
      </c>
      <c r="D128" s="718" t="s">
        <v>48</v>
      </c>
      <c r="E128" s="718" t="s">
        <v>48</v>
      </c>
      <c r="F128" s="718" t="s">
        <v>48</v>
      </c>
      <c r="G128" s="718" t="s">
        <v>48</v>
      </c>
      <c r="H128" s="718">
        <v>8</v>
      </c>
      <c r="I128" s="719" t="s">
        <v>839</v>
      </c>
      <c r="J128" s="720" t="s">
        <v>729</v>
      </c>
      <c r="K128" s="1647"/>
      <c r="L128" s="1581"/>
    </row>
    <row r="129" spans="1:12" ht="25.8">
      <c r="A129" s="1341" t="s">
        <v>3483</v>
      </c>
      <c r="B129" s="1341" t="s">
        <v>3484</v>
      </c>
      <c r="C129" s="1307" t="s">
        <v>996</v>
      </c>
      <c r="D129" s="1307">
        <v>0</v>
      </c>
      <c r="E129" s="146" t="s">
        <v>920</v>
      </c>
      <c r="F129" s="1307" t="s">
        <v>974</v>
      </c>
      <c r="G129" s="146" t="s">
        <v>920</v>
      </c>
      <c r="H129" s="1344">
        <v>32</v>
      </c>
      <c r="I129" s="1342" t="s">
        <v>922</v>
      </c>
      <c r="J129" s="1344" t="s">
        <v>729</v>
      </c>
      <c r="K129" s="1647"/>
      <c r="L129" s="1581"/>
    </row>
    <row r="130" spans="1:12" ht="38.700000000000003">
      <c r="A130" s="1343" t="s">
        <v>3485</v>
      </c>
      <c r="B130" s="332" t="s">
        <v>3486</v>
      </c>
      <c r="C130" s="718" t="s">
        <v>48</v>
      </c>
      <c r="D130" s="718" t="s">
        <v>48</v>
      </c>
      <c r="E130" s="718" t="s">
        <v>48</v>
      </c>
      <c r="F130" s="718" t="s">
        <v>48</v>
      </c>
      <c r="G130" s="718" t="s">
        <v>48</v>
      </c>
      <c r="H130" s="1345">
        <v>8</v>
      </c>
      <c r="I130" s="719" t="s">
        <v>839</v>
      </c>
      <c r="J130" s="1346" t="s">
        <v>729</v>
      </c>
      <c r="K130" s="1647"/>
      <c r="L130" s="1581"/>
    </row>
    <row r="131" spans="1:12" ht="38.700000000000003">
      <c r="A131" s="1341" t="s">
        <v>3487</v>
      </c>
      <c r="B131" s="1341" t="s">
        <v>3488</v>
      </c>
      <c r="C131" s="1307" t="s">
        <v>989</v>
      </c>
      <c r="D131" s="1307">
        <v>0</v>
      </c>
      <c r="E131" s="1307">
        <v>4294967295</v>
      </c>
      <c r="F131" s="1307" t="s">
        <v>3489</v>
      </c>
      <c r="G131" s="1307">
        <v>4294967295</v>
      </c>
      <c r="H131" s="1307">
        <v>32</v>
      </c>
      <c r="I131" s="719" t="s">
        <v>1032</v>
      </c>
      <c r="J131" s="1307" t="s">
        <v>729</v>
      </c>
      <c r="K131" s="1647"/>
      <c r="L131" s="1581"/>
    </row>
    <row r="132" spans="1:12" ht="38.700000000000003">
      <c r="A132" s="1343" t="s">
        <v>3490</v>
      </c>
      <c r="B132" s="1341" t="s">
        <v>3491</v>
      </c>
      <c r="C132" s="718" t="s">
        <v>48</v>
      </c>
      <c r="D132" s="718" t="s">
        <v>48</v>
      </c>
      <c r="E132" s="718" t="s">
        <v>48</v>
      </c>
      <c r="F132" s="718" t="s">
        <v>48</v>
      </c>
      <c r="G132" s="718" t="s">
        <v>48</v>
      </c>
      <c r="H132" s="718">
        <v>8</v>
      </c>
      <c r="I132" s="719" t="s">
        <v>839</v>
      </c>
      <c r="J132" s="329" t="s">
        <v>729</v>
      </c>
      <c r="K132" s="1647"/>
      <c r="L132" s="1581"/>
    </row>
    <row r="133" spans="1:12" ht="25.8">
      <c r="A133" s="1341" t="s">
        <v>3492</v>
      </c>
      <c r="B133" s="1341" t="s">
        <v>3493</v>
      </c>
      <c r="C133" s="146" t="s">
        <v>48</v>
      </c>
      <c r="D133" s="146">
        <v>0</v>
      </c>
      <c r="E133" s="146" t="s">
        <v>920</v>
      </c>
      <c r="F133" s="1307" t="s">
        <v>3494</v>
      </c>
      <c r="G133" s="146" t="s">
        <v>920</v>
      </c>
      <c r="H133" s="146">
        <v>32</v>
      </c>
      <c r="I133" s="146" t="s">
        <v>922</v>
      </c>
      <c r="J133" s="146" t="s">
        <v>729</v>
      </c>
      <c r="K133" s="1647"/>
      <c r="L133" s="1581"/>
    </row>
    <row r="134" spans="1:12" ht="38.700000000000003">
      <c r="A134" s="1343" t="s">
        <v>3495</v>
      </c>
      <c r="B134" s="1341" t="s">
        <v>3496</v>
      </c>
      <c r="C134" s="1346" t="s">
        <v>48</v>
      </c>
      <c r="D134" s="1345" t="s">
        <v>48</v>
      </c>
      <c r="E134" s="1345" t="s">
        <v>48</v>
      </c>
      <c r="F134" s="718" t="s">
        <v>48</v>
      </c>
      <c r="G134" s="1345" t="s">
        <v>48</v>
      </c>
      <c r="H134" s="1345">
        <v>8</v>
      </c>
      <c r="I134" s="1347" t="s">
        <v>839</v>
      </c>
      <c r="J134" s="1346" t="s">
        <v>729</v>
      </c>
      <c r="K134" s="1647"/>
      <c r="L134" s="1581"/>
    </row>
    <row r="135" spans="1:12" ht="25.8">
      <c r="A135" s="1341" t="s">
        <v>3497</v>
      </c>
      <c r="B135" s="1341" t="s">
        <v>3498</v>
      </c>
      <c r="C135" s="146" t="s">
        <v>48</v>
      </c>
      <c r="D135" s="146">
        <v>0</v>
      </c>
      <c r="E135" s="146" t="s">
        <v>920</v>
      </c>
      <c r="F135" s="1307" t="s">
        <v>3494</v>
      </c>
      <c r="G135" s="146" t="s">
        <v>920</v>
      </c>
      <c r="H135" s="146">
        <v>32</v>
      </c>
      <c r="I135" s="146" t="s">
        <v>922</v>
      </c>
      <c r="J135" s="146" t="s">
        <v>729</v>
      </c>
      <c r="K135" s="1647"/>
      <c r="L135" s="1581"/>
    </row>
    <row r="136" spans="1:12" ht="38.700000000000003">
      <c r="A136" s="1343" t="s">
        <v>3499</v>
      </c>
      <c r="B136" s="1341" t="s">
        <v>3500</v>
      </c>
      <c r="C136" s="1346" t="s">
        <v>48</v>
      </c>
      <c r="D136" s="1345" t="s">
        <v>48</v>
      </c>
      <c r="E136" s="1345" t="s">
        <v>48</v>
      </c>
      <c r="F136" s="718" t="s">
        <v>48</v>
      </c>
      <c r="G136" s="1345" t="s">
        <v>48</v>
      </c>
      <c r="H136" s="1345">
        <v>8</v>
      </c>
      <c r="I136" s="1347" t="s">
        <v>839</v>
      </c>
      <c r="J136" s="1346" t="s">
        <v>729</v>
      </c>
      <c r="K136" s="1647"/>
      <c r="L136" s="1581"/>
    </row>
    <row r="137" spans="1:12" ht="25.8">
      <c r="A137" s="1341" t="s">
        <v>3501</v>
      </c>
      <c r="B137" s="1341" t="s">
        <v>3502</v>
      </c>
      <c r="C137" s="1307" t="s">
        <v>48</v>
      </c>
      <c r="D137" s="1307">
        <v>0</v>
      </c>
      <c r="E137" s="146" t="s">
        <v>920</v>
      </c>
      <c r="F137" s="1307" t="s">
        <v>3494</v>
      </c>
      <c r="G137" s="146" t="s">
        <v>920</v>
      </c>
      <c r="H137" s="1307">
        <v>32</v>
      </c>
      <c r="I137" s="1342" t="s">
        <v>922</v>
      </c>
      <c r="J137" s="1307" t="s">
        <v>729</v>
      </c>
      <c r="K137" s="1647"/>
      <c r="L137" s="1581"/>
    </row>
    <row r="138" spans="1:12" ht="38.700000000000003">
      <c r="A138" s="1343" t="s">
        <v>3503</v>
      </c>
      <c r="B138" s="332" t="s">
        <v>3504</v>
      </c>
      <c r="C138" s="718" t="s">
        <v>48</v>
      </c>
      <c r="D138" s="718" t="s">
        <v>48</v>
      </c>
      <c r="E138" s="718" t="s">
        <v>48</v>
      </c>
      <c r="F138" s="718" t="s">
        <v>48</v>
      </c>
      <c r="G138" s="718" t="s">
        <v>48</v>
      </c>
      <c r="H138" s="718">
        <v>8</v>
      </c>
      <c r="I138" s="719" t="s">
        <v>839</v>
      </c>
      <c r="J138" s="720" t="s">
        <v>729</v>
      </c>
      <c r="K138" s="1647"/>
      <c r="L138" s="1581"/>
    </row>
    <row r="139" spans="1:12" ht="25.8">
      <c r="A139" s="1341" t="s">
        <v>3505</v>
      </c>
      <c r="B139" s="1341" t="s">
        <v>3506</v>
      </c>
      <c r="C139" s="1307" t="s">
        <v>48</v>
      </c>
      <c r="D139" s="1307">
        <v>0</v>
      </c>
      <c r="E139" s="146" t="s">
        <v>920</v>
      </c>
      <c r="F139" s="1307" t="s">
        <v>3494</v>
      </c>
      <c r="G139" s="146" t="s">
        <v>920</v>
      </c>
      <c r="H139" s="1344">
        <v>32</v>
      </c>
      <c r="I139" s="1342" t="s">
        <v>922</v>
      </c>
      <c r="J139" s="1344" t="s">
        <v>729</v>
      </c>
      <c r="K139" s="1647"/>
      <c r="L139" s="1581"/>
    </row>
    <row r="140" spans="1:12" ht="38.700000000000003">
      <c r="A140" s="1343" t="s">
        <v>3507</v>
      </c>
      <c r="B140" s="332" t="s">
        <v>3508</v>
      </c>
      <c r="C140" s="718" t="s">
        <v>48</v>
      </c>
      <c r="D140" s="718" t="s">
        <v>48</v>
      </c>
      <c r="E140" s="718" t="s">
        <v>48</v>
      </c>
      <c r="F140" s="718" t="s">
        <v>48</v>
      </c>
      <c r="G140" s="718" t="s">
        <v>48</v>
      </c>
      <c r="H140" s="1345">
        <v>8</v>
      </c>
      <c r="I140" s="719" t="s">
        <v>839</v>
      </c>
      <c r="J140" s="1346" t="s">
        <v>729</v>
      </c>
      <c r="K140" s="1647"/>
      <c r="L140" s="1581"/>
    </row>
    <row r="141" spans="1:12">
      <c r="A141" s="1341" t="s">
        <v>3509</v>
      </c>
      <c r="B141" s="1341" t="s">
        <v>3510</v>
      </c>
      <c r="C141" s="1307" t="s">
        <v>48</v>
      </c>
      <c r="D141" s="1307" t="s">
        <v>48</v>
      </c>
      <c r="E141" s="1307" t="s">
        <v>48</v>
      </c>
      <c r="F141" s="1307" t="s">
        <v>48</v>
      </c>
      <c r="G141" s="1307" t="s">
        <v>48</v>
      </c>
      <c r="H141" s="1307">
        <v>8</v>
      </c>
      <c r="I141" s="719" t="s">
        <v>1538</v>
      </c>
      <c r="J141" s="1307" t="s">
        <v>729</v>
      </c>
      <c r="K141" s="1647"/>
      <c r="L141" s="1581"/>
    </row>
    <row r="142" spans="1:12" ht="38.700000000000003">
      <c r="A142" s="1343" t="s">
        <v>3511</v>
      </c>
      <c r="B142" s="1341" t="s">
        <v>3512</v>
      </c>
      <c r="C142" s="718" t="s">
        <v>48</v>
      </c>
      <c r="D142" s="718" t="s">
        <v>48</v>
      </c>
      <c r="E142" s="718" t="s">
        <v>48</v>
      </c>
      <c r="F142" s="718" t="s">
        <v>48</v>
      </c>
      <c r="G142" s="718" t="s">
        <v>48</v>
      </c>
      <c r="H142" s="718">
        <v>8</v>
      </c>
      <c r="I142" s="719" t="s">
        <v>839</v>
      </c>
      <c r="J142" s="329" t="s">
        <v>729</v>
      </c>
      <c r="K142" s="1647"/>
      <c r="L142" s="1581"/>
    </row>
    <row r="143" spans="1:12" ht="38.700000000000003">
      <c r="A143" s="1341" t="s">
        <v>3513</v>
      </c>
      <c r="B143" s="1341" t="s">
        <v>3514</v>
      </c>
      <c r="C143" s="146" t="s">
        <v>989</v>
      </c>
      <c r="D143" s="146">
        <v>0</v>
      </c>
      <c r="E143" s="146">
        <v>65535</v>
      </c>
      <c r="F143" s="1307" t="s">
        <v>3244</v>
      </c>
      <c r="G143" s="146">
        <v>65535</v>
      </c>
      <c r="H143" s="146">
        <v>16</v>
      </c>
      <c r="I143" s="146" t="s">
        <v>991</v>
      </c>
      <c r="J143" s="146" t="s">
        <v>729</v>
      </c>
      <c r="K143" s="1647"/>
      <c r="L143" s="1581"/>
    </row>
    <row r="144" spans="1:12" ht="38.700000000000003">
      <c r="A144" s="1343" t="s">
        <v>3515</v>
      </c>
      <c r="B144" s="1341" t="s">
        <v>3516</v>
      </c>
      <c r="C144" s="1346" t="s">
        <v>48</v>
      </c>
      <c r="D144" s="1345" t="s">
        <v>48</v>
      </c>
      <c r="E144" s="1345" t="s">
        <v>48</v>
      </c>
      <c r="F144" s="718" t="s">
        <v>48</v>
      </c>
      <c r="G144" s="1345" t="s">
        <v>48</v>
      </c>
      <c r="H144" s="1345">
        <v>8</v>
      </c>
      <c r="I144" s="1347" t="s">
        <v>839</v>
      </c>
      <c r="J144" s="1346" t="s">
        <v>729</v>
      </c>
      <c r="K144" s="1647"/>
      <c r="L144" s="1581"/>
    </row>
    <row r="145" spans="1:12" ht="38.700000000000003">
      <c r="A145" s="1341" t="s">
        <v>3517</v>
      </c>
      <c r="B145" s="1341" t="s">
        <v>3514</v>
      </c>
      <c r="C145" s="146" t="s">
        <v>989</v>
      </c>
      <c r="D145" s="146">
        <v>0</v>
      </c>
      <c r="E145" s="146">
        <v>65535</v>
      </c>
      <c r="F145" s="1307" t="s">
        <v>3244</v>
      </c>
      <c r="G145" s="146">
        <v>65535</v>
      </c>
      <c r="H145" s="146">
        <v>16</v>
      </c>
      <c r="I145" s="146" t="s">
        <v>991</v>
      </c>
      <c r="J145" s="146" t="s">
        <v>729</v>
      </c>
      <c r="K145" s="1647"/>
      <c r="L145" s="1581"/>
    </row>
    <row r="146" spans="1:12" ht="38.700000000000003">
      <c r="A146" s="1343" t="s">
        <v>3518</v>
      </c>
      <c r="B146" s="1341" t="s">
        <v>3519</v>
      </c>
      <c r="C146" s="1346" t="s">
        <v>48</v>
      </c>
      <c r="D146" s="1345" t="s">
        <v>48</v>
      </c>
      <c r="E146" s="1345" t="s">
        <v>48</v>
      </c>
      <c r="F146" s="718" t="s">
        <v>48</v>
      </c>
      <c r="G146" s="1345" t="s">
        <v>48</v>
      </c>
      <c r="H146" s="1345">
        <v>8</v>
      </c>
      <c r="I146" s="1347" t="s">
        <v>839</v>
      </c>
      <c r="J146" s="1346" t="s">
        <v>729</v>
      </c>
      <c r="K146" s="1647"/>
      <c r="L146" s="1581"/>
    </row>
    <row r="147" spans="1:12" ht="25.8">
      <c r="A147" s="1341" t="s">
        <v>3520</v>
      </c>
      <c r="B147" s="1341" t="s">
        <v>3521</v>
      </c>
      <c r="C147" s="1307" t="s">
        <v>919</v>
      </c>
      <c r="D147" s="1307">
        <v>1</v>
      </c>
      <c r="E147" s="146" t="s">
        <v>920</v>
      </c>
      <c r="F147" s="1307" t="s">
        <v>3522</v>
      </c>
      <c r="G147" s="146" t="s">
        <v>920</v>
      </c>
      <c r="H147" s="1307">
        <v>32</v>
      </c>
      <c r="I147" s="1342" t="s">
        <v>922</v>
      </c>
      <c r="J147" s="1307" t="s">
        <v>729</v>
      </c>
      <c r="K147" s="1647"/>
      <c r="L147" s="1581"/>
    </row>
    <row r="148" spans="1:12" ht="38.700000000000003">
      <c r="A148" s="1343" t="s">
        <v>3523</v>
      </c>
      <c r="B148" s="332" t="s">
        <v>3524</v>
      </c>
      <c r="C148" s="718" t="s">
        <v>48</v>
      </c>
      <c r="D148" s="718" t="s">
        <v>48</v>
      </c>
      <c r="E148" s="1345" t="s">
        <v>48</v>
      </c>
      <c r="F148" s="718" t="s">
        <v>48</v>
      </c>
      <c r="G148" s="1345" t="s">
        <v>48</v>
      </c>
      <c r="H148" s="718">
        <v>8</v>
      </c>
      <c r="I148" s="719" t="s">
        <v>839</v>
      </c>
      <c r="J148" s="720" t="s">
        <v>729</v>
      </c>
      <c r="K148" s="1647"/>
      <c r="L148" s="1581"/>
    </row>
    <row r="149" spans="1:12" ht="25.8">
      <c r="A149" s="1341" t="s">
        <v>3525</v>
      </c>
      <c r="B149" s="1341" t="s">
        <v>3526</v>
      </c>
      <c r="C149" s="1307" t="s">
        <v>919</v>
      </c>
      <c r="D149" s="1307">
        <v>1</v>
      </c>
      <c r="E149" s="146" t="s">
        <v>920</v>
      </c>
      <c r="F149" s="1307" t="s">
        <v>3522</v>
      </c>
      <c r="G149" s="146" t="s">
        <v>920</v>
      </c>
      <c r="H149" s="1344">
        <v>32</v>
      </c>
      <c r="I149" s="1342" t="s">
        <v>922</v>
      </c>
      <c r="J149" s="1344" t="s">
        <v>729</v>
      </c>
      <c r="K149" s="1647"/>
      <c r="L149" s="1581"/>
    </row>
    <row r="150" spans="1:12" ht="38.700000000000003">
      <c r="A150" s="1343" t="s">
        <v>3527</v>
      </c>
      <c r="B150" s="332" t="s">
        <v>3528</v>
      </c>
      <c r="C150" s="718" t="s">
        <v>48</v>
      </c>
      <c r="D150" s="718" t="s">
        <v>48</v>
      </c>
      <c r="E150" s="1345" t="s">
        <v>48</v>
      </c>
      <c r="F150" s="718" t="s">
        <v>48</v>
      </c>
      <c r="G150" s="1345" t="s">
        <v>48</v>
      </c>
      <c r="H150" s="1345">
        <v>8</v>
      </c>
      <c r="I150" s="719" t="s">
        <v>839</v>
      </c>
      <c r="J150" s="1346" t="s">
        <v>729</v>
      </c>
      <c r="K150" s="1647"/>
      <c r="L150" s="1581"/>
    </row>
    <row r="151" spans="1:12" ht="25.8">
      <c r="A151" s="1341" t="s">
        <v>3529</v>
      </c>
      <c r="B151" s="1341" t="s">
        <v>3530</v>
      </c>
      <c r="C151" s="1307" t="s">
        <v>919</v>
      </c>
      <c r="D151" s="1307">
        <v>1</v>
      </c>
      <c r="E151" s="146" t="s">
        <v>920</v>
      </c>
      <c r="F151" s="1307" t="s">
        <v>3522</v>
      </c>
      <c r="G151" s="146" t="s">
        <v>920</v>
      </c>
      <c r="H151" s="1307">
        <v>32</v>
      </c>
      <c r="I151" s="719" t="s">
        <v>922</v>
      </c>
      <c r="J151" s="1307" t="s">
        <v>729</v>
      </c>
      <c r="K151" s="1647"/>
      <c r="L151" s="1581"/>
    </row>
    <row r="152" spans="1:12" ht="38.700000000000003">
      <c r="A152" s="1343" t="s">
        <v>3531</v>
      </c>
      <c r="B152" s="1341" t="s">
        <v>3532</v>
      </c>
      <c r="C152" s="718" t="s">
        <v>48</v>
      </c>
      <c r="D152" s="718" t="s">
        <v>48</v>
      </c>
      <c r="E152" s="1345" t="s">
        <v>48</v>
      </c>
      <c r="F152" s="718" t="s">
        <v>48</v>
      </c>
      <c r="G152" s="1345" t="s">
        <v>48</v>
      </c>
      <c r="H152" s="718">
        <v>8</v>
      </c>
      <c r="I152" s="719" t="s">
        <v>839</v>
      </c>
      <c r="J152" s="329" t="s">
        <v>729</v>
      </c>
      <c r="K152" s="1647"/>
      <c r="L152" s="1581"/>
    </row>
    <row r="153" spans="1:12" ht="25.8">
      <c r="A153" s="1341" t="s">
        <v>3533</v>
      </c>
      <c r="B153" s="1341" t="s">
        <v>3534</v>
      </c>
      <c r="C153" s="146" t="s">
        <v>919</v>
      </c>
      <c r="D153" s="146">
        <v>1</v>
      </c>
      <c r="E153" s="146" t="s">
        <v>920</v>
      </c>
      <c r="F153" s="1307" t="s">
        <v>3522</v>
      </c>
      <c r="G153" s="146" t="s">
        <v>920</v>
      </c>
      <c r="H153" s="146">
        <v>32</v>
      </c>
      <c r="I153" s="146" t="s">
        <v>922</v>
      </c>
      <c r="J153" s="146" t="s">
        <v>729</v>
      </c>
      <c r="K153" s="1647"/>
      <c r="L153" s="1581"/>
    </row>
    <row r="154" spans="1:12" ht="38.700000000000003">
      <c r="A154" s="1343" t="s">
        <v>3535</v>
      </c>
      <c r="B154" s="1341" t="s">
        <v>3536</v>
      </c>
      <c r="C154" s="1346" t="s">
        <v>48</v>
      </c>
      <c r="D154" s="1345" t="s">
        <v>48</v>
      </c>
      <c r="E154" s="1345" t="s">
        <v>48</v>
      </c>
      <c r="F154" s="718" t="s">
        <v>48</v>
      </c>
      <c r="G154" s="1345" t="s">
        <v>48</v>
      </c>
      <c r="H154" s="1345">
        <v>8</v>
      </c>
      <c r="I154" s="1347" t="s">
        <v>839</v>
      </c>
      <c r="J154" s="1346" t="s">
        <v>729</v>
      </c>
      <c r="K154" s="1647"/>
      <c r="L154" s="1581"/>
    </row>
    <row r="155" spans="1:12" ht="25.8">
      <c r="A155" s="1341" t="s">
        <v>3537</v>
      </c>
      <c r="B155" s="1341" t="s">
        <v>3538</v>
      </c>
      <c r="C155" s="146" t="s">
        <v>48</v>
      </c>
      <c r="D155" s="146">
        <v>-1</v>
      </c>
      <c r="E155" s="146" t="s">
        <v>920</v>
      </c>
      <c r="F155" s="1307" t="s">
        <v>3463</v>
      </c>
      <c r="G155" s="146" t="s">
        <v>920</v>
      </c>
      <c r="H155" s="146">
        <v>32</v>
      </c>
      <c r="I155" s="146" t="s">
        <v>922</v>
      </c>
      <c r="J155" s="146" t="s">
        <v>729</v>
      </c>
      <c r="K155" s="1647"/>
      <c r="L155" s="1581"/>
    </row>
    <row r="156" spans="1:12" ht="38.700000000000003">
      <c r="A156" s="1343" t="s">
        <v>3539</v>
      </c>
      <c r="B156" s="1341" t="s">
        <v>3540</v>
      </c>
      <c r="C156" s="1346" t="s">
        <v>48</v>
      </c>
      <c r="D156" s="1345" t="s">
        <v>48</v>
      </c>
      <c r="E156" s="1345" t="s">
        <v>48</v>
      </c>
      <c r="F156" s="718" t="s">
        <v>48</v>
      </c>
      <c r="G156" s="1345" t="s">
        <v>48</v>
      </c>
      <c r="H156" s="1345">
        <v>8</v>
      </c>
      <c r="I156" s="1347" t="s">
        <v>839</v>
      </c>
      <c r="J156" s="1346" t="s">
        <v>729</v>
      </c>
      <c r="K156" s="1647"/>
      <c r="L156" s="1581"/>
    </row>
    <row r="157" spans="1:12" ht="25.8">
      <c r="A157" s="1341" t="s">
        <v>3541</v>
      </c>
      <c r="B157" s="1341" t="s">
        <v>3542</v>
      </c>
      <c r="C157" s="1307" t="s">
        <v>48</v>
      </c>
      <c r="D157" s="146">
        <v>-1</v>
      </c>
      <c r="E157" s="146" t="s">
        <v>920</v>
      </c>
      <c r="F157" s="1307" t="s">
        <v>3463</v>
      </c>
      <c r="G157" s="146" t="s">
        <v>920</v>
      </c>
      <c r="H157" s="1307">
        <v>32</v>
      </c>
      <c r="I157" s="1342" t="s">
        <v>922</v>
      </c>
      <c r="J157" s="1307" t="s">
        <v>729</v>
      </c>
      <c r="K157" s="1647"/>
      <c r="L157" s="1581"/>
    </row>
    <row r="158" spans="1:12" ht="38.700000000000003">
      <c r="A158" s="1343" t="s">
        <v>3543</v>
      </c>
      <c r="B158" s="332" t="s">
        <v>3544</v>
      </c>
      <c r="C158" s="718" t="s">
        <v>48</v>
      </c>
      <c r="D158" s="1345" t="s">
        <v>48</v>
      </c>
      <c r="E158" s="718" t="s">
        <v>48</v>
      </c>
      <c r="F158" s="718" t="s">
        <v>48</v>
      </c>
      <c r="G158" s="718" t="s">
        <v>48</v>
      </c>
      <c r="H158" s="718">
        <v>8</v>
      </c>
      <c r="I158" s="719" t="s">
        <v>839</v>
      </c>
      <c r="J158" s="720" t="s">
        <v>729</v>
      </c>
      <c r="K158" s="1647"/>
      <c r="L158" s="1581"/>
    </row>
    <row r="159" spans="1:12" ht="25.8">
      <c r="A159" s="1341" t="s">
        <v>3545</v>
      </c>
      <c r="B159" s="1341" t="s">
        <v>3546</v>
      </c>
      <c r="C159" s="1307" t="s">
        <v>989</v>
      </c>
      <c r="D159" s="1307">
        <v>0</v>
      </c>
      <c r="E159" s="146">
        <v>65535</v>
      </c>
      <c r="F159" s="1307" t="s">
        <v>3261</v>
      </c>
      <c r="G159" s="146">
        <v>65535</v>
      </c>
      <c r="H159" s="1344">
        <v>16</v>
      </c>
      <c r="I159" s="1342" t="s">
        <v>991</v>
      </c>
      <c r="J159" s="1344" t="s">
        <v>729</v>
      </c>
      <c r="K159" s="1647"/>
      <c r="L159" s="1581"/>
    </row>
    <row r="160" spans="1:12" ht="38.700000000000003">
      <c r="A160" s="1343" t="s">
        <v>3547</v>
      </c>
      <c r="B160" s="332" t="s">
        <v>3548</v>
      </c>
      <c r="C160" s="718" t="s">
        <v>48</v>
      </c>
      <c r="D160" s="718" t="s">
        <v>48</v>
      </c>
      <c r="E160" s="718" t="s">
        <v>48</v>
      </c>
      <c r="F160" s="718" t="s">
        <v>48</v>
      </c>
      <c r="G160" s="718" t="s">
        <v>48</v>
      </c>
      <c r="H160" s="1345">
        <v>8</v>
      </c>
      <c r="I160" s="719" t="s">
        <v>839</v>
      </c>
      <c r="J160" s="1346" t="s">
        <v>729</v>
      </c>
      <c r="K160" s="1647"/>
      <c r="L160" s="1581"/>
    </row>
    <row r="161" spans="1:12" ht="38.700000000000003">
      <c r="A161" s="1341" t="s">
        <v>3549</v>
      </c>
      <c r="B161" s="1341" t="s">
        <v>3550</v>
      </c>
      <c r="C161" s="1307" t="s">
        <v>989</v>
      </c>
      <c r="D161" s="1307">
        <v>1500</v>
      </c>
      <c r="E161" s="1307">
        <v>4294967295</v>
      </c>
      <c r="F161" s="1307" t="s">
        <v>3551</v>
      </c>
      <c r="G161" s="1307">
        <v>4294967295</v>
      </c>
      <c r="H161" s="1307">
        <v>32</v>
      </c>
      <c r="I161" s="719" t="s">
        <v>1032</v>
      </c>
      <c r="J161" s="1307" t="s">
        <v>729</v>
      </c>
      <c r="K161" s="1647"/>
      <c r="L161" s="1581"/>
    </row>
    <row r="162" spans="1:12" ht="38.700000000000003">
      <c r="A162" s="1343" t="s">
        <v>3552</v>
      </c>
      <c r="B162" s="1341" t="s">
        <v>3553</v>
      </c>
      <c r="C162" s="718" t="s">
        <v>48</v>
      </c>
      <c r="D162" s="718" t="s">
        <v>48</v>
      </c>
      <c r="E162" s="718" t="s">
        <v>48</v>
      </c>
      <c r="F162" s="718" t="s">
        <v>48</v>
      </c>
      <c r="G162" s="718" t="s">
        <v>48</v>
      </c>
      <c r="H162" s="718">
        <v>8</v>
      </c>
      <c r="I162" s="719" t="s">
        <v>839</v>
      </c>
      <c r="J162" s="329" t="s">
        <v>729</v>
      </c>
      <c r="K162" s="1647"/>
      <c r="L162" s="1581"/>
    </row>
    <row r="163" spans="1:12" ht="25.8">
      <c r="A163" s="1341" t="s">
        <v>3554</v>
      </c>
      <c r="B163" s="1341" t="s">
        <v>3555</v>
      </c>
      <c r="C163" s="146" t="s">
        <v>919</v>
      </c>
      <c r="D163" s="146">
        <v>0</v>
      </c>
      <c r="E163" s="146" t="s">
        <v>920</v>
      </c>
      <c r="F163" s="1307" t="s">
        <v>974</v>
      </c>
      <c r="G163" s="146" t="s">
        <v>920</v>
      </c>
      <c r="H163" s="146">
        <v>32</v>
      </c>
      <c r="I163" s="146" t="s">
        <v>922</v>
      </c>
      <c r="J163" s="146" t="s">
        <v>729</v>
      </c>
      <c r="K163" s="1647"/>
      <c r="L163" s="1581"/>
    </row>
    <row r="164" spans="1:12" ht="38.700000000000003">
      <c r="A164" s="1343" t="s">
        <v>3556</v>
      </c>
      <c r="B164" s="1341" t="s">
        <v>3557</v>
      </c>
      <c r="C164" s="1346" t="s">
        <v>48</v>
      </c>
      <c r="D164" s="1345" t="s">
        <v>48</v>
      </c>
      <c r="E164" s="1345" t="s">
        <v>48</v>
      </c>
      <c r="F164" s="718" t="s">
        <v>48</v>
      </c>
      <c r="G164" s="1345" t="s">
        <v>48</v>
      </c>
      <c r="H164" s="1345">
        <v>8</v>
      </c>
      <c r="I164" s="1347" t="s">
        <v>839</v>
      </c>
      <c r="J164" s="1346" t="s">
        <v>729</v>
      </c>
      <c r="K164" s="1647"/>
      <c r="L164" s="1581"/>
    </row>
    <row r="165" spans="1:12" ht="25.8">
      <c r="A165" s="1341" t="s">
        <v>3558</v>
      </c>
      <c r="B165" s="1341" t="s">
        <v>3559</v>
      </c>
      <c r="C165" s="146" t="s">
        <v>48</v>
      </c>
      <c r="D165" s="146">
        <v>0</v>
      </c>
      <c r="E165" s="146">
        <v>255</v>
      </c>
      <c r="F165" s="1307" t="s">
        <v>3560</v>
      </c>
      <c r="G165" s="146">
        <v>255</v>
      </c>
      <c r="H165" s="146">
        <v>8</v>
      </c>
      <c r="I165" s="146" t="s">
        <v>743</v>
      </c>
      <c r="J165" s="146" t="s">
        <v>729</v>
      </c>
      <c r="K165" s="1647"/>
      <c r="L165" s="1581"/>
    </row>
    <row r="166" spans="1:12" ht="25.8">
      <c r="A166" s="1343" t="s">
        <v>3561</v>
      </c>
      <c r="B166" s="1341" t="s">
        <v>3562</v>
      </c>
      <c r="C166" s="1346" t="s">
        <v>48</v>
      </c>
      <c r="D166" s="1345" t="s">
        <v>48</v>
      </c>
      <c r="E166" s="1345" t="s">
        <v>48</v>
      </c>
      <c r="F166" s="718" t="s">
        <v>48</v>
      </c>
      <c r="G166" s="1345" t="s">
        <v>48</v>
      </c>
      <c r="H166" s="1345">
        <v>8</v>
      </c>
      <c r="I166" s="1347" t="s">
        <v>839</v>
      </c>
      <c r="J166" s="1346" t="s">
        <v>729</v>
      </c>
      <c r="K166" s="1647"/>
      <c r="L166" s="1581"/>
    </row>
    <row r="167" spans="1:12" ht="25.8">
      <c r="A167" s="1341" t="s">
        <v>3563</v>
      </c>
      <c r="B167" s="1341" t="s">
        <v>3564</v>
      </c>
      <c r="C167" s="146" t="s">
        <v>48</v>
      </c>
      <c r="D167" s="146" t="s">
        <v>48</v>
      </c>
      <c r="E167" s="146" t="s">
        <v>48</v>
      </c>
      <c r="F167" s="1307" t="s">
        <v>48</v>
      </c>
      <c r="G167" s="146" t="s">
        <v>48</v>
      </c>
      <c r="H167" s="146">
        <v>8</v>
      </c>
      <c r="I167" s="146" t="s">
        <v>1538</v>
      </c>
      <c r="J167" s="146" t="s">
        <v>729</v>
      </c>
      <c r="K167" s="1647"/>
      <c r="L167" s="1581"/>
    </row>
    <row r="168" spans="1:12" ht="38.700000000000003">
      <c r="A168" s="1343" t="s">
        <v>3565</v>
      </c>
      <c r="B168" s="1341" t="s">
        <v>3566</v>
      </c>
      <c r="C168" s="1346" t="s">
        <v>48</v>
      </c>
      <c r="D168" s="1345" t="s">
        <v>48</v>
      </c>
      <c r="E168" s="1345" t="s">
        <v>48</v>
      </c>
      <c r="F168" s="718" t="s">
        <v>48</v>
      </c>
      <c r="G168" s="1345" t="s">
        <v>48</v>
      </c>
      <c r="H168" s="1345">
        <v>8</v>
      </c>
      <c r="I168" s="1347" t="s">
        <v>839</v>
      </c>
      <c r="J168" s="1346" t="s">
        <v>729</v>
      </c>
      <c r="K168" s="1647"/>
      <c r="L168" s="1581"/>
    </row>
    <row r="169" spans="1:12" ht="25.8">
      <c r="A169" s="1341" t="s">
        <v>3567</v>
      </c>
      <c r="B169" s="1341" t="s">
        <v>3568</v>
      </c>
      <c r="C169" s="1307" t="s">
        <v>48</v>
      </c>
      <c r="D169" s="1307" t="s">
        <v>48</v>
      </c>
      <c r="E169" s="1307" t="s">
        <v>48</v>
      </c>
      <c r="F169" s="1307" t="s">
        <v>48</v>
      </c>
      <c r="G169" s="1307" t="s">
        <v>48</v>
      </c>
      <c r="H169" s="1307">
        <v>8</v>
      </c>
      <c r="I169" s="1342" t="s">
        <v>1538</v>
      </c>
      <c r="J169" s="1307" t="s">
        <v>729</v>
      </c>
      <c r="K169" s="1647"/>
      <c r="L169" s="1581"/>
    </row>
    <row r="170" spans="1:12" ht="38.700000000000003">
      <c r="A170" s="1343" t="s">
        <v>3569</v>
      </c>
      <c r="B170" s="332" t="s">
        <v>3570</v>
      </c>
      <c r="C170" s="718" t="s">
        <v>48</v>
      </c>
      <c r="D170" s="718" t="s">
        <v>48</v>
      </c>
      <c r="E170" s="718" t="s">
        <v>48</v>
      </c>
      <c r="F170" s="718" t="s">
        <v>48</v>
      </c>
      <c r="G170" s="718" t="s">
        <v>48</v>
      </c>
      <c r="H170" s="718">
        <v>8</v>
      </c>
      <c r="I170" s="719" t="s">
        <v>839</v>
      </c>
      <c r="J170" s="720" t="s">
        <v>729</v>
      </c>
      <c r="K170" s="1647"/>
      <c r="L170" s="1581"/>
    </row>
    <row r="171" spans="1:12" ht="25.8">
      <c r="A171" s="1341" t="s">
        <v>3571</v>
      </c>
      <c r="B171" s="1341" t="s">
        <v>3572</v>
      </c>
      <c r="C171" s="1307" t="s">
        <v>48</v>
      </c>
      <c r="D171" s="1307">
        <v>0.6</v>
      </c>
      <c r="E171" s="146" t="s">
        <v>920</v>
      </c>
      <c r="F171" s="1307" t="s">
        <v>3573</v>
      </c>
      <c r="G171" s="146" t="s">
        <v>920</v>
      </c>
      <c r="H171" s="1344">
        <v>32</v>
      </c>
      <c r="I171" s="1342" t="s">
        <v>922</v>
      </c>
      <c r="J171" s="1344" t="s">
        <v>729</v>
      </c>
      <c r="K171" s="1647"/>
      <c r="L171" s="1581"/>
    </row>
    <row r="172" spans="1:12" ht="38.700000000000003">
      <c r="A172" s="1343" t="s">
        <v>3574</v>
      </c>
      <c r="B172" s="332" t="s">
        <v>3575</v>
      </c>
      <c r="C172" s="718" t="s">
        <v>48</v>
      </c>
      <c r="D172" s="718" t="s">
        <v>48</v>
      </c>
      <c r="E172" s="718" t="s">
        <v>48</v>
      </c>
      <c r="F172" s="718" t="s">
        <v>48</v>
      </c>
      <c r="G172" s="718" t="s">
        <v>48</v>
      </c>
      <c r="H172" s="1345">
        <v>8</v>
      </c>
      <c r="I172" s="719" t="s">
        <v>839</v>
      </c>
      <c r="J172" s="1346" t="s">
        <v>729</v>
      </c>
      <c r="K172" s="1647"/>
      <c r="L172" s="1581"/>
    </row>
    <row r="173" spans="1:12" ht="25.8">
      <c r="A173" s="1341" t="s">
        <v>3576</v>
      </c>
      <c r="B173" s="1341" t="s">
        <v>3577</v>
      </c>
      <c r="C173" s="1307" t="s">
        <v>880</v>
      </c>
      <c r="D173" s="1307">
        <v>20</v>
      </c>
      <c r="E173" s="146">
        <v>65535</v>
      </c>
      <c r="F173" s="1307" t="s">
        <v>3578</v>
      </c>
      <c r="G173" s="146">
        <v>65535</v>
      </c>
      <c r="H173" s="1307">
        <v>16</v>
      </c>
      <c r="I173" s="719" t="s">
        <v>991</v>
      </c>
      <c r="J173" s="1307" t="s">
        <v>729</v>
      </c>
      <c r="K173" s="1647"/>
      <c r="L173" s="1581"/>
    </row>
    <row r="174" spans="1:12" ht="38.700000000000003">
      <c r="A174" s="1343" t="s">
        <v>3579</v>
      </c>
      <c r="B174" s="1341" t="s">
        <v>3580</v>
      </c>
      <c r="C174" s="718" t="s">
        <v>48</v>
      </c>
      <c r="D174" s="718" t="s">
        <v>48</v>
      </c>
      <c r="E174" s="718" t="s">
        <v>48</v>
      </c>
      <c r="F174" s="718" t="s">
        <v>48</v>
      </c>
      <c r="G174" s="718" t="s">
        <v>48</v>
      </c>
      <c r="H174" s="718">
        <v>8</v>
      </c>
      <c r="I174" s="719" t="s">
        <v>839</v>
      </c>
      <c r="J174" s="329" t="s">
        <v>729</v>
      </c>
      <c r="K174" s="1647"/>
      <c r="L174" s="1581"/>
    </row>
    <row r="175" spans="1:12" ht="25.8">
      <c r="A175" s="1341" t="s">
        <v>3581</v>
      </c>
      <c r="B175" s="1341" t="s">
        <v>3582</v>
      </c>
      <c r="C175" s="146" t="s">
        <v>48</v>
      </c>
      <c r="D175" s="146">
        <v>0</v>
      </c>
      <c r="E175" s="146" t="s">
        <v>920</v>
      </c>
      <c r="F175" s="1307" t="s">
        <v>3583</v>
      </c>
      <c r="G175" s="146" t="s">
        <v>920</v>
      </c>
      <c r="H175" s="146">
        <v>32</v>
      </c>
      <c r="I175" s="146" t="s">
        <v>922</v>
      </c>
      <c r="J175" s="146" t="s">
        <v>729</v>
      </c>
      <c r="K175" s="1647"/>
      <c r="L175" s="1581"/>
    </row>
    <row r="176" spans="1:12" ht="38.700000000000003">
      <c r="A176" s="1343" t="s">
        <v>3584</v>
      </c>
      <c r="B176" s="1341" t="s">
        <v>3585</v>
      </c>
      <c r="C176" s="1346" t="s">
        <v>48</v>
      </c>
      <c r="D176" s="1345" t="s">
        <v>48</v>
      </c>
      <c r="E176" s="1345" t="s">
        <v>48</v>
      </c>
      <c r="F176" s="718" t="s">
        <v>48</v>
      </c>
      <c r="G176" s="1345" t="s">
        <v>48</v>
      </c>
      <c r="H176" s="1345">
        <v>8</v>
      </c>
      <c r="I176" s="1347" t="s">
        <v>839</v>
      </c>
      <c r="J176" s="1346" t="s">
        <v>729</v>
      </c>
      <c r="K176" s="1647"/>
      <c r="L176" s="1581"/>
    </row>
    <row r="177" spans="1:12" ht="25.8">
      <c r="A177" s="1341" t="s">
        <v>3586</v>
      </c>
      <c r="B177" s="1341" t="s">
        <v>3587</v>
      </c>
      <c r="C177" s="146" t="s">
        <v>48</v>
      </c>
      <c r="D177" s="146">
        <v>0</v>
      </c>
      <c r="E177" s="146" t="s">
        <v>920</v>
      </c>
      <c r="F177" s="146" t="s">
        <v>3588</v>
      </c>
      <c r="G177" s="146" t="s">
        <v>920</v>
      </c>
      <c r="H177" s="146">
        <v>32</v>
      </c>
      <c r="I177" s="146" t="s">
        <v>922</v>
      </c>
      <c r="J177" s="146" t="s">
        <v>729</v>
      </c>
      <c r="K177" s="1647"/>
      <c r="L177" s="1581"/>
    </row>
    <row r="178" spans="1:12" ht="38.700000000000003">
      <c r="A178" s="1343" t="s">
        <v>3589</v>
      </c>
      <c r="B178" s="1341" t="s">
        <v>3590</v>
      </c>
      <c r="C178" s="1346" t="s">
        <v>48</v>
      </c>
      <c r="D178" s="1345" t="s">
        <v>48</v>
      </c>
      <c r="E178" s="1345" t="s">
        <v>48</v>
      </c>
      <c r="F178" s="1345" t="s">
        <v>48</v>
      </c>
      <c r="G178" s="1345" t="s">
        <v>48</v>
      </c>
      <c r="H178" s="1345">
        <v>8</v>
      </c>
      <c r="I178" s="1347" t="s">
        <v>839</v>
      </c>
      <c r="J178" s="1346" t="s">
        <v>729</v>
      </c>
      <c r="K178" s="1647"/>
      <c r="L178" s="1581"/>
    </row>
    <row r="179" spans="1:12" ht="38.700000000000003">
      <c r="A179" s="1341" t="s">
        <v>3591</v>
      </c>
      <c r="B179" s="1341" t="s">
        <v>3592</v>
      </c>
      <c r="C179" s="1307" t="s">
        <v>919</v>
      </c>
      <c r="D179" s="1307">
        <v>0</v>
      </c>
      <c r="E179" s="146">
        <v>255</v>
      </c>
      <c r="F179" s="146" t="s">
        <v>3593</v>
      </c>
      <c r="G179" s="146">
        <v>255</v>
      </c>
      <c r="H179" s="1307">
        <v>8</v>
      </c>
      <c r="I179" s="1342" t="s">
        <v>743</v>
      </c>
      <c r="J179" s="1307" t="s">
        <v>729</v>
      </c>
      <c r="K179" s="1647"/>
      <c r="L179" s="1581"/>
    </row>
    <row r="180" spans="1:12" ht="38.700000000000003">
      <c r="A180" s="1343" t="s">
        <v>3594</v>
      </c>
      <c r="B180" s="332" t="s">
        <v>3595</v>
      </c>
      <c r="C180" s="718" t="s">
        <v>48</v>
      </c>
      <c r="D180" s="718" t="s">
        <v>48</v>
      </c>
      <c r="E180" s="718" t="s">
        <v>48</v>
      </c>
      <c r="F180" s="1345" t="s">
        <v>48</v>
      </c>
      <c r="G180" s="718" t="s">
        <v>48</v>
      </c>
      <c r="H180" s="718">
        <v>8</v>
      </c>
      <c r="I180" s="719" t="s">
        <v>839</v>
      </c>
      <c r="J180" s="720" t="s">
        <v>729</v>
      </c>
      <c r="K180" s="1647"/>
      <c r="L180" s="1581"/>
    </row>
    <row r="181" spans="1:12" ht="38.700000000000003">
      <c r="A181" s="1341" t="s">
        <v>3596</v>
      </c>
      <c r="B181" s="1341" t="s">
        <v>3597</v>
      </c>
      <c r="C181" s="1307" t="s">
        <v>919</v>
      </c>
      <c r="D181" s="1307">
        <v>0</v>
      </c>
      <c r="E181" s="146">
        <v>255</v>
      </c>
      <c r="F181" s="146" t="s">
        <v>3593</v>
      </c>
      <c r="G181" s="146">
        <v>255</v>
      </c>
      <c r="H181" s="1344">
        <v>8</v>
      </c>
      <c r="I181" s="1342" t="s">
        <v>743</v>
      </c>
      <c r="J181" s="1344" t="s">
        <v>729</v>
      </c>
      <c r="K181" s="1647"/>
      <c r="L181" s="1581"/>
    </row>
    <row r="182" spans="1:12" ht="38.700000000000003">
      <c r="A182" s="1343" t="s">
        <v>3598</v>
      </c>
      <c r="B182" s="332" t="s">
        <v>3599</v>
      </c>
      <c r="C182" s="718" t="s">
        <v>48</v>
      </c>
      <c r="D182" s="718" t="s">
        <v>48</v>
      </c>
      <c r="E182" s="718" t="s">
        <v>48</v>
      </c>
      <c r="F182" s="1345" t="s">
        <v>48</v>
      </c>
      <c r="G182" s="718" t="s">
        <v>48</v>
      </c>
      <c r="H182" s="1345">
        <v>8</v>
      </c>
      <c r="I182" s="719" t="s">
        <v>839</v>
      </c>
      <c r="J182" s="1346" t="s">
        <v>729</v>
      </c>
      <c r="K182" s="1647"/>
      <c r="L182" s="1581"/>
    </row>
    <row r="183" spans="1:12" ht="38.700000000000003">
      <c r="A183" s="1341" t="s">
        <v>3600</v>
      </c>
      <c r="B183" s="1341" t="s">
        <v>3601</v>
      </c>
      <c r="C183" s="1307" t="s">
        <v>919</v>
      </c>
      <c r="D183" s="1307">
        <v>0</v>
      </c>
      <c r="E183" s="146">
        <v>255</v>
      </c>
      <c r="F183" s="146" t="s">
        <v>3593</v>
      </c>
      <c r="G183" s="146">
        <v>255</v>
      </c>
      <c r="H183" s="1307">
        <v>8</v>
      </c>
      <c r="I183" s="719" t="s">
        <v>743</v>
      </c>
      <c r="J183" s="1307" t="s">
        <v>729</v>
      </c>
      <c r="K183" s="1647"/>
      <c r="L183" s="1581"/>
    </row>
    <row r="184" spans="1:12" ht="38.700000000000003">
      <c r="A184" s="1343" t="s">
        <v>3602</v>
      </c>
      <c r="B184" s="1341" t="s">
        <v>3603</v>
      </c>
      <c r="C184" s="718" t="s">
        <v>48</v>
      </c>
      <c r="D184" s="718" t="s">
        <v>48</v>
      </c>
      <c r="E184" s="718" t="s">
        <v>48</v>
      </c>
      <c r="F184" s="1345" t="s">
        <v>48</v>
      </c>
      <c r="G184" s="718" t="s">
        <v>48</v>
      </c>
      <c r="H184" s="718">
        <v>8</v>
      </c>
      <c r="I184" s="719" t="s">
        <v>839</v>
      </c>
      <c r="J184" s="329" t="s">
        <v>729</v>
      </c>
      <c r="K184" s="1647"/>
      <c r="L184" s="1581"/>
    </row>
    <row r="185" spans="1:12" ht="25.8">
      <c r="A185" s="1341" t="s">
        <v>3604</v>
      </c>
      <c r="B185" s="1341" t="s">
        <v>3605</v>
      </c>
      <c r="C185" s="146" t="s">
        <v>919</v>
      </c>
      <c r="D185" s="146">
        <v>0</v>
      </c>
      <c r="E185" s="146" t="s">
        <v>920</v>
      </c>
      <c r="F185" s="146" t="s">
        <v>974</v>
      </c>
      <c r="G185" s="146" t="s">
        <v>920</v>
      </c>
      <c r="H185" s="146">
        <v>32</v>
      </c>
      <c r="I185" s="146" t="s">
        <v>922</v>
      </c>
      <c r="J185" s="146" t="s">
        <v>729</v>
      </c>
      <c r="K185" s="1647"/>
      <c r="L185" s="1581"/>
    </row>
    <row r="186" spans="1:12" ht="38.700000000000003">
      <c r="A186" s="1343" t="s">
        <v>3606</v>
      </c>
      <c r="B186" s="1341" t="s">
        <v>3607</v>
      </c>
      <c r="C186" s="1346" t="s">
        <v>48</v>
      </c>
      <c r="D186" s="1345" t="s">
        <v>48</v>
      </c>
      <c r="E186" s="1345" t="s">
        <v>48</v>
      </c>
      <c r="F186" s="1345" t="s">
        <v>48</v>
      </c>
      <c r="G186" s="1345" t="s">
        <v>48</v>
      </c>
      <c r="H186" s="1345">
        <v>8</v>
      </c>
      <c r="I186" s="1347" t="s">
        <v>839</v>
      </c>
      <c r="J186" s="1346" t="s">
        <v>729</v>
      </c>
      <c r="K186" s="1647"/>
      <c r="L186" s="1581"/>
    </row>
    <row r="187" spans="1:12" ht="25.8">
      <c r="A187" s="1341" t="s">
        <v>3608</v>
      </c>
      <c r="B187" s="1341" t="s">
        <v>3609</v>
      </c>
      <c r="C187" s="146" t="s">
        <v>48</v>
      </c>
      <c r="D187" s="146" t="s">
        <v>48</v>
      </c>
      <c r="E187" s="146" t="s">
        <v>48</v>
      </c>
      <c r="F187" s="146" t="s">
        <v>48</v>
      </c>
      <c r="G187" s="146" t="s">
        <v>48</v>
      </c>
      <c r="H187" s="146">
        <v>8</v>
      </c>
      <c r="I187" s="146" t="s">
        <v>1538</v>
      </c>
      <c r="J187" s="146" t="s">
        <v>729</v>
      </c>
      <c r="K187" s="1647"/>
      <c r="L187" s="1581"/>
    </row>
    <row r="188" spans="1:12" ht="38.700000000000003">
      <c r="A188" s="1343" t="s">
        <v>3610</v>
      </c>
      <c r="B188" s="1341" t="s">
        <v>3611</v>
      </c>
      <c r="C188" s="1346" t="s">
        <v>48</v>
      </c>
      <c r="D188" s="1345" t="s">
        <v>48</v>
      </c>
      <c r="E188" s="1345" t="s">
        <v>48</v>
      </c>
      <c r="F188" s="1345" t="s">
        <v>48</v>
      </c>
      <c r="G188" s="1345" t="s">
        <v>48</v>
      </c>
      <c r="H188" s="1345">
        <v>8</v>
      </c>
      <c r="I188" s="1347" t="s">
        <v>839</v>
      </c>
      <c r="J188" s="1346" t="s">
        <v>729</v>
      </c>
      <c r="K188" s="1647"/>
      <c r="L188" s="1581"/>
    </row>
    <row r="189" spans="1:12" ht="84" customHeight="1">
      <c r="A189" s="1341" t="s">
        <v>3612</v>
      </c>
      <c r="B189" s="1341" t="s">
        <v>3613</v>
      </c>
      <c r="C189" s="1307" t="s">
        <v>48</v>
      </c>
      <c r="D189" s="1307" t="s">
        <v>48</v>
      </c>
      <c r="E189" s="1307" t="s">
        <v>48</v>
      </c>
      <c r="F189" s="146" t="s">
        <v>48</v>
      </c>
      <c r="G189" s="1307" t="s">
        <v>48</v>
      </c>
      <c r="H189" s="1307">
        <v>8</v>
      </c>
      <c r="I189" s="1342" t="s">
        <v>1538</v>
      </c>
      <c r="J189" s="1307" t="s">
        <v>729</v>
      </c>
      <c r="K189" s="1647"/>
      <c r="L189" s="1581"/>
    </row>
    <row r="190" spans="1:12" ht="38.700000000000003">
      <c r="A190" s="1343" t="s">
        <v>3614</v>
      </c>
      <c r="B190" s="332" t="s">
        <v>3615</v>
      </c>
      <c r="C190" s="718" t="s">
        <v>48</v>
      </c>
      <c r="D190" s="718" t="s">
        <v>48</v>
      </c>
      <c r="E190" s="718" t="s">
        <v>48</v>
      </c>
      <c r="F190" s="1345" t="s">
        <v>48</v>
      </c>
      <c r="G190" s="718" t="s">
        <v>48</v>
      </c>
      <c r="H190" s="718">
        <v>8</v>
      </c>
      <c r="I190" s="719" t="s">
        <v>839</v>
      </c>
      <c r="J190" s="720" t="s">
        <v>729</v>
      </c>
      <c r="K190" s="1647"/>
      <c r="L190" s="1581"/>
    </row>
    <row r="191" spans="1:12" ht="25.8">
      <c r="A191" s="1341" t="s">
        <v>3616</v>
      </c>
      <c r="B191" s="1341" t="s">
        <v>3617</v>
      </c>
      <c r="C191" s="1307" t="s">
        <v>48</v>
      </c>
      <c r="D191" s="1307" t="s">
        <v>48</v>
      </c>
      <c r="E191" s="1307" t="s">
        <v>48</v>
      </c>
      <c r="F191" s="146" t="s">
        <v>48</v>
      </c>
      <c r="G191" s="1307" t="s">
        <v>48</v>
      </c>
      <c r="H191" s="1344">
        <v>8</v>
      </c>
      <c r="I191" s="1342" t="s">
        <v>1538</v>
      </c>
      <c r="J191" s="1344" t="s">
        <v>729</v>
      </c>
      <c r="K191" s="1647"/>
      <c r="L191" s="1581"/>
    </row>
    <row r="192" spans="1:12" ht="38.700000000000003">
      <c r="A192" s="1343" t="s">
        <v>3618</v>
      </c>
      <c r="B192" s="332" t="s">
        <v>3619</v>
      </c>
      <c r="C192" s="718" t="s">
        <v>48</v>
      </c>
      <c r="D192" s="718" t="s">
        <v>48</v>
      </c>
      <c r="E192" s="718" t="s">
        <v>48</v>
      </c>
      <c r="F192" s="1345" t="s">
        <v>48</v>
      </c>
      <c r="G192" s="718" t="s">
        <v>48</v>
      </c>
      <c r="H192" s="1345">
        <v>8</v>
      </c>
      <c r="I192" s="719" t="s">
        <v>839</v>
      </c>
      <c r="J192" s="1346" t="s">
        <v>729</v>
      </c>
      <c r="K192" s="1647"/>
      <c r="L192" s="1581"/>
    </row>
    <row r="193" spans="1:12" ht="38.700000000000003">
      <c r="A193" s="1341" t="s">
        <v>3620</v>
      </c>
      <c r="B193" s="1341" t="s">
        <v>3621</v>
      </c>
      <c r="C193" s="1307" t="s">
        <v>3334</v>
      </c>
      <c r="D193" s="1307">
        <v>0</v>
      </c>
      <c r="E193" s="1307">
        <v>255</v>
      </c>
      <c r="F193" s="146" t="s">
        <v>3622</v>
      </c>
      <c r="G193" s="1307">
        <v>255</v>
      </c>
      <c r="H193" s="1307">
        <v>8</v>
      </c>
      <c r="I193" s="719" t="s">
        <v>743</v>
      </c>
      <c r="J193" s="1307" t="s">
        <v>729</v>
      </c>
      <c r="K193" s="1647"/>
      <c r="L193" s="1581"/>
    </row>
    <row r="194" spans="1:12" ht="38.700000000000003">
      <c r="A194" s="1343" t="s">
        <v>3623</v>
      </c>
      <c r="B194" s="1341" t="s">
        <v>3624</v>
      </c>
      <c r="C194" s="718" t="s">
        <v>48</v>
      </c>
      <c r="D194" s="718" t="s">
        <v>48</v>
      </c>
      <c r="E194" s="718" t="s">
        <v>48</v>
      </c>
      <c r="F194" s="1345" t="s">
        <v>48</v>
      </c>
      <c r="G194" s="718" t="s">
        <v>48</v>
      </c>
      <c r="H194" s="718">
        <v>8</v>
      </c>
      <c r="I194" s="719" t="s">
        <v>839</v>
      </c>
      <c r="J194" s="329" t="s">
        <v>729</v>
      </c>
      <c r="K194" s="1647"/>
      <c r="L194" s="1581"/>
    </row>
    <row r="195" spans="1:12" ht="38.700000000000003">
      <c r="A195" s="1341" t="s">
        <v>3625</v>
      </c>
      <c r="B195" s="1341" t="s">
        <v>3626</v>
      </c>
      <c r="C195" s="146" t="s">
        <v>3334</v>
      </c>
      <c r="D195" s="146">
        <v>0</v>
      </c>
      <c r="E195" s="146">
        <v>255</v>
      </c>
      <c r="F195" s="146" t="s">
        <v>3622</v>
      </c>
      <c r="G195" s="146">
        <v>255</v>
      </c>
      <c r="H195" s="146">
        <v>8</v>
      </c>
      <c r="I195" s="146" t="s">
        <v>743</v>
      </c>
      <c r="J195" s="146" t="s">
        <v>729</v>
      </c>
      <c r="K195" s="1647"/>
      <c r="L195" s="1581"/>
    </row>
    <row r="196" spans="1:12" ht="38.700000000000003">
      <c r="A196" s="1343" t="s">
        <v>3627</v>
      </c>
      <c r="B196" s="1341" t="s">
        <v>3628</v>
      </c>
      <c r="C196" s="1346" t="s">
        <v>48</v>
      </c>
      <c r="D196" s="1345" t="s">
        <v>48</v>
      </c>
      <c r="E196" s="1345" t="s">
        <v>48</v>
      </c>
      <c r="F196" s="1345" t="s">
        <v>48</v>
      </c>
      <c r="G196" s="1345" t="s">
        <v>48</v>
      </c>
      <c r="H196" s="1345">
        <v>8</v>
      </c>
      <c r="I196" s="1347" t="s">
        <v>839</v>
      </c>
      <c r="J196" s="1346" t="s">
        <v>729</v>
      </c>
      <c r="K196" s="1647"/>
      <c r="L196" s="1581"/>
    </row>
    <row r="197" spans="1:12" ht="25.8">
      <c r="A197" s="1341" t="s">
        <v>3629</v>
      </c>
      <c r="B197" s="1341" t="s">
        <v>3630</v>
      </c>
      <c r="C197" s="146" t="s">
        <v>48</v>
      </c>
      <c r="D197" s="146">
        <v>-5</v>
      </c>
      <c r="E197" s="146">
        <v>127</v>
      </c>
      <c r="F197" s="146" t="s">
        <v>3631</v>
      </c>
      <c r="G197" s="146">
        <v>127</v>
      </c>
      <c r="H197" s="146">
        <v>8</v>
      </c>
      <c r="I197" s="146" t="s">
        <v>3632</v>
      </c>
      <c r="J197" s="146" t="s">
        <v>729</v>
      </c>
      <c r="K197" s="1647"/>
      <c r="L197" s="1581"/>
    </row>
    <row r="198" spans="1:12" ht="38.700000000000003">
      <c r="A198" s="1343" t="s">
        <v>3633</v>
      </c>
      <c r="B198" s="1341" t="s">
        <v>3634</v>
      </c>
      <c r="C198" s="1346" t="s">
        <v>48</v>
      </c>
      <c r="D198" s="1345" t="s">
        <v>48</v>
      </c>
      <c r="E198" s="1345" t="s">
        <v>48</v>
      </c>
      <c r="F198" s="1345" t="s">
        <v>48</v>
      </c>
      <c r="G198" s="1345" t="s">
        <v>48</v>
      </c>
      <c r="H198" s="1345">
        <v>8</v>
      </c>
      <c r="I198" s="1347" t="s">
        <v>839</v>
      </c>
      <c r="J198" s="1346" t="s">
        <v>729</v>
      </c>
      <c r="K198" s="1647"/>
      <c r="L198" s="1581"/>
    </row>
    <row r="199" spans="1:12" ht="25.8">
      <c r="A199" s="1341" t="s">
        <v>3635</v>
      </c>
      <c r="B199" s="1341" t="s">
        <v>3636</v>
      </c>
      <c r="C199" s="1307" t="s">
        <v>48</v>
      </c>
      <c r="D199" s="1307" t="s">
        <v>48</v>
      </c>
      <c r="E199" s="1307" t="s">
        <v>48</v>
      </c>
      <c r="F199" s="146" t="s">
        <v>48</v>
      </c>
      <c r="G199" s="1307" t="s">
        <v>48</v>
      </c>
      <c r="H199" s="1307">
        <v>8</v>
      </c>
      <c r="I199" s="1342" t="s">
        <v>1538</v>
      </c>
      <c r="J199" s="1307" t="s">
        <v>729</v>
      </c>
      <c r="K199" s="1647"/>
      <c r="L199" s="1581"/>
    </row>
    <row r="200" spans="1:12" ht="38.700000000000003">
      <c r="A200" s="1343" t="s">
        <v>3637</v>
      </c>
      <c r="B200" s="332" t="s">
        <v>3638</v>
      </c>
      <c r="C200" s="718" t="s">
        <v>48</v>
      </c>
      <c r="D200" s="718" t="s">
        <v>48</v>
      </c>
      <c r="E200" s="718" t="s">
        <v>48</v>
      </c>
      <c r="F200" s="1345" t="s">
        <v>48</v>
      </c>
      <c r="G200" s="718" t="s">
        <v>48</v>
      </c>
      <c r="H200" s="718">
        <v>8</v>
      </c>
      <c r="I200" s="719" t="s">
        <v>839</v>
      </c>
      <c r="J200" s="720" t="s">
        <v>729</v>
      </c>
      <c r="K200" s="1647"/>
      <c r="L200" s="1581"/>
    </row>
    <row r="201" spans="1:12" ht="25.8">
      <c r="A201" s="1341" t="s">
        <v>3639</v>
      </c>
      <c r="B201" s="1341" t="s">
        <v>3640</v>
      </c>
      <c r="C201" s="1307" t="s">
        <v>48</v>
      </c>
      <c r="D201" s="1307" t="s">
        <v>48</v>
      </c>
      <c r="E201" s="1307" t="s">
        <v>48</v>
      </c>
      <c r="F201" s="146" t="s">
        <v>48</v>
      </c>
      <c r="G201" s="1307" t="s">
        <v>48</v>
      </c>
      <c r="H201" s="1344">
        <v>8</v>
      </c>
      <c r="I201" s="1342" t="s">
        <v>1538</v>
      </c>
      <c r="J201" s="1344" t="s">
        <v>729</v>
      </c>
      <c r="K201" s="1647"/>
      <c r="L201" s="1581"/>
    </row>
    <row r="202" spans="1:12" ht="38.700000000000003">
      <c r="A202" s="1343" t="s">
        <v>3641</v>
      </c>
      <c r="B202" s="332" t="s">
        <v>3642</v>
      </c>
      <c r="C202" s="718" t="s">
        <v>48</v>
      </c>
      <c r="D202" s="718" t="s">
        <v>48</v>
      </c>
      <c r="E202" s="718" t="s">
        <v>48</v>
      </c>
      <c r="F202" s="1345" t="s">
        <v>48</v>
      </c>
      <c r="G202" s="718" t="s">
        <v>48</v>
      </c>
      <c r="H202" s="1345">
        <v>8</v>
      </c>
      <c r="I202" s="719" t="s">
        <v>839</v>
      </c>
      <c r="J202" s="1346" t="s">
        <v>729</v>
      </c>
      <c r="K202" s="1647"/>
      <c r="L202" s="1581"/>
    </row>
    <row r="203" spans="1:12">
      <c r="A203" s="1341" t="s">
        <v>3643</v>
      </c>
      <c r="B203" s="1341" t="s">
        <v>3644</v>
      </c>
      <c r="C203" s="1307" t="s">
        <v>48</v>
      </c>
      <c r="D203" s="1307" t="s">
        <v>48</v>
      </c>
      <c r="E203" s="1307" t="s">
        <v>48</v>
      </c>
      <c r="F203" s="146" t="s">
        <v>48</v>
      </c>
      <c r="G203" s="1307" t="s">
        <v>48</v>
      </c>
      <c r="H203" s="1307">
        <v>8</v>
      </c>
      <c r="I203" s="719" t="s">
        <v>1538</v>
      </c>
      <c r="J203" s="1307" t="s">
        <v>729</v>
      </c>
      <c r="K203" s="1647"/>
      <c r="L203" s="1581"/>
    </row>
    <row r="204" spans="1:12" ht="38.700000000000003">
      <c r="A204" s="1343" t="s">
        <v>3645</v>
      </c>
      <c r="B204" s="1341" t="s">
        <v>3646</v>
      </c>
      <c r="C204" s="718" t="s">
        <v>48</v>
      </c>
      <c r="D204" s="718" t="s">
        <v>48</v>
      </c>
      <c r="E204" s="718" t="s">
        <v>48</v>
      </c>
      <c r="F204" s="1345" t="s">
        <v>48</v>
      </c>
      <c r="G204" s="718" t="s">
        <v>48</v>
      </c>
      <c r="H204" s="718">
        <v>8</v>
      </c>
      <c r="I204" s="719" t="s">
        <v>839</v>
      </c>
      <c r="J204" s="329" t="s">
        <v>729</v>
      </c>
      <c r="K204" s="1647"/>
      <c r="L204" s="1581"/>
    </row>
    <row r="205" spans="1:12">
      <c r="A205" s="1350" t="s">
        <v>3647</v>
      </c>
      <c r="B205" s="1350" t="s">
        <v>3648</v>
      </c>
      <c r="C205" s="725" t="s">
        <v>48</v>
      </c>
      <c r="D205" s="725" t="s">
        <v>48</v>
      </c>
      <c r="E205" s="725" t="s">
        <v>48</v>
      </c>
      <c r="F205" s="725" t="s">
        <v>48</v>
      </c>
      <c r="G205" s="725" t="s">
        <v>48</v>
      </c>
      <c r="H205" s="725">
        <v>8</v>
      </c>
      <c r="I205" s="725" t="s">
        <v>1538</v>
      </c>
      <c r="J205" s="725" t="s">
        <v>729</v>
      </c>
      <c r="K205" s="1648"/>
      <c r="L205" s="1649"/>
    </row>
    <row r="206" spans="1:12">
      <c r="A206" s="1350"/>
      <c r="F206" s="725"/>
    </row>
  </sheetData>
  <mergeCells count="5">
    <mergeCell ref="C1:D1"/>
    <mergeCell ref="A2:B2"/>
    <mergeCell ref="C2:I2"/>
    <mergeCell ref="K4:K205"/>
    <mergeCell ref="L4:L205"/>
  </mergeCells>
  <hyperlinks>
    <hyperlink ref="J1" location="'Revision Map'!A1" display="INDEX" xr:uid="{60632C92-C08E-4323-B471-BD7A9C92BAE4}"/>
    <hyperlink ref="K1" location="'Cross-FCN_Definitions'!A1" display="Cross-FCN_Definitions" xr:uid="{FE53C13A-2925-4455-9880-C128DC7A34B9}"/>
    <hyperlink ref="L1" location="'AVI_HLB'!A1" display="AVI_HLB" xr:uid="{CD7E00DD-7F78-4349-B9A6-1246D3D334FA}"/>
  </hyperlinks>
  <pageMargins left="0.7" right="0.7" top="0.75" bottom="0.75" header="0.3" footer="0.3"/>
  <headerFooter>
    <oddFooter>&amp;C_x000D_&amp;1#&amp;"Calibri"&amp;11&amp;KFF0000 Internal</oddFooter>
  </headerFooter>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1693-EB05-4658-A3D3-EF44B8442AD3}">
  <sheetPr codeName="Sheet79"/>
  <dimension ref="A1:E23"/>
  <sheetViews>
    <sheetView topLeftCell="A11" workbookViewId="0">
      <selection activeCell="B23" sqref="B23"/>
    </sheetView>
  </sheetViews>
  <sheetFormatPr defaultColWidth="9.15625" defaultRowHeight="14.4"/>
  <cols>
    <col min="1" max="1" width="11" style="1014" bestFit="1" customWidth="1"/>
    <col min="2" max="2" width="11.83984375" customWidth="1"/>
    <col min="3" max="3" width="76.26171875" customWidth="1"/>
    <col min="4" max="4" width="17.578125" bestFit="1" customWidth="1"/>
    <col min="5" max="5" width="9.68359375" bestFit="1" customWidth="1"/>
  </cols>
  <sheetData>
    <row r="1" spans="1:5">
      <c r="A1" s="1058" t="s">
        <v>644</v>
      </c>
      <c r="B1" s="667" t="s">
        <v>645</v>
      </c>
      <c r="C1" s="668" t="s">
        <v>646</v>
      </c>
      <c r="D1" s="667" t="s">
        <v>647</v>
      </c>
      <c r="E1" s="669" t="s">
        <v>648</v>
      </c>
    </row>
    <row r="2" spans="1:5">
      <c r="A2" s="1010">
        <v>0.1</v>
      </c>
      <c r="B2" s="188">
        <v>45289</v>
      </c>
      <c r="C2" s="5" t="s">
        <v>3649</v>
      </c>
      <c r="D2" s="5" t="s">
        <v>678</v>
      </c>
      <c r="E2" s="5" t="s">
        <v>655</v>
      </c>
    </row>
    <row r="3" spans="1:5">
      <c r="A3" s="1010">
        <v>0.1</v>
      </c>
      <c r="B3" s="51">
        <v>44952</v>
      </c>
      <c r="C3" s="576" t="s">
        <v>1966</v>
      </c>
      <c r="D3" s="5" t="s">
        <v>658</v>
      </c>
      <c r="E3" s="5" t="s">
        <v>655</v>
      </c>
    </row>
    <row r="4" spans="1:5">
      <c r="A4" s="1010">
        <v>0.2</v>
      </c>
      <c r="B4" s="51">
        <v>44957</v>
      </c>
      <c r="C4" s="5" t="s">
        <v>3650</v>
      </c>
      <c r="D4" s="5" t="s">
        <v>678</v>
      </c>
      <c r="E4" s="5" t="s">
        <v>655</v>
      </c>
    </row>
    <row r="5" spans="1:5" ht="34.5" customHeight="1">
      <c r="A5" s="1010">
        <v>0.2</v>
      </c>
      <c r="B5" s="51">
        <v>44957</v>
      </c>
      <c r="C5" s="576" t="s">
        <v>3651</v>
      </c>
      <c r="D5" s="5" t="s">
        <v>658</v>
      </c>
      <c r="E5" s="5" t="s">
        <v>655</v>
      </c>
    </row>
    <row r="6" spans="1:5">
      <c r="A6" s="1010">
        <v>0.3</v>
      </c>
      <c r="B6" s="51">
        <v>44957</v>
      </c>
      <c r="C6" s="5" t="s">
        <v>3652</v>
      </c>
      <c r="D6" s="5" t="s">
        <v>678</v>
      </c>
      <c r="E6" s="5" t="s">
        <v>655</v>
      </c>
    </row>
    <row r="7" spans="1:5">
      <c r="A7" s="1010">
        <v>0.3</v>
      </c>
      <c r="B7" s="51">
        <v>44957</v>
      </c>
      <c r="C7" s="5" t="s">
        <v>1608</v>
      </c>
      <c r="D7" s="5" t="s">
        <v>658</v>
      </c>
      <c r="E7" s="5" t="s">
        <v>655</v>
      </c>
    </row>
    <row r="8" spans="1:5" ht="16.5" customHeight="1">
      <c r="A8" s="1010">
        <v>1</v>
      </c>
      <c r="B8" s="51">
        <v>44957</v>
      </c>
      <c r="C8" s="602" t="s">
        <v>3653</v>
      </c>
      <c r="D8" s="585" t="s">
        <v>678</v>
      </c>
      <c r="E8" s="5" t="s">
        <v>651</v>
      </c>
    </row>
    <row r="9" spans="1:5">
      <c r="A9" s="1010">
        <v>1</v>
      </c>
      <c r="B9" s="51">
        <v>44957</v>
      </c>
      <c r="C9" s="5" t="s">
        <v>687</v>
      </c>
      <c r="D9" s="5" t="s">
        <v>676</v>
      </c>
      <c r="E9" s="5" t="s">
        <v>661</v>
      </c>
    </row>
    <row r="10" spans="1:5">
      <c r="A10" s="1010">
        <v>1.1000000000000001</v>
      </c>
      <c r="B10" s="51">
        <v>44965</v>
      </c>
      <c r="C10" s="726" t="s">
        <v>3654</v>
      </c>
      <c r="D10" s="585" t="s">
        <v>678</v>
      </c>
      <c r="E10" s="5" t="s">
        <v>655</v>
      </c>
    </row>
    <row r="11" spans="1:5">
      <c r="A11" s="1010">
        <v>1.1000000000000001</v>
      </c>
      <c r="B11" s="51">
        <v>44967</v>
      </c>
      <c r="C11" s="5" t="s">
        <v>3655</v>
      </c>
      <c r="D11" s="5" t="s">
        <v>658</v>
      </c>
      <c r="E11" s="5" t="s">
        <v>655</v>
      </c>
    </row>
    <row r="12" spans="1:5">
      <c r="A12" s="1010">
        <v>1.2</v>
      </c>
      <c r="B12" s="51">
        <v>44967</v>
      </c>
      <c r="C12" s="5" t="s">
        <v>3656</v>
      </c>
      <c r="D12" s="585" t="s">
        <v>678</v>
      </c>
      <c r="E12" s="5" t="s">
        <v>655</v>
      </c>
    </row>
    <row r="13" spans="1:5">
      <c r="A13" s="1010">
        <v>1.2</v>
      </c>
      <c r="B13" s="51">
        <v>44970</v>
      </c>
      <c r="C13" s="5" t="s">
        <v>1608</v>
      </c>
      <c r="D13" s="5" t="s">
        <v>658</v>
      </c>
      <c r="E13" s="5" t="s">
        <v>655</v>
      </c>
    </row>
    <row r="14" spans="1:5">
      <c r="A14" s="1010">
        <v>2</v>
      </c>
      <c r="B14" s="51">
        <v>44970</v>
      </c>
      <c r="C14" s="602" t="s">
        <v>3653</v>
      </c>
      <c r="D14" s="585" t="s">
        <v>678</v>
      </c>
      <c r="E14" s="5" t="s">
        <v>651</v>
      </c>
    </row>
    <row r="15" spans="1:5">
      <c r="A15" s="1010">
        <v>2</v>
      </c>
      <c r="B15" s="51">
        <v>44970</v>
      </c>
      <c r="C15" s="5" t="s">
        <v>691</v>
      </c>
      <c r="D15" s="5" t="s">
        <v>676</v>
      </c>
      <c r="E15" s="5" t="s">
        <v>661</v>
      </c>
    </row>
    <row r="16" spans="1:5">
      <c r="A16" s="1010">
        <v>3</v>
      </c>
      <c r="B16" s="51">
        <v>44994</v>
      </c>
      <c r="C16" s="745" t="s">
        <v>3657</v>
      </c>
      <c r="D16" s="595" t="s">
        <v>683</v>
      </c>
      <c r="E16" s="5" t="s">
        <v>651</v>
      </c>
    </row>
    <row r="17" spans="1:5">
      <c r="A17" s="1010">
        <v>3</v>
      </c>
      <c r="B17" s="191">
        <v>44998</v>
      </c>
      <c r="C17" s="5" t="s">
        <v>692</v>
      </c>
      <c r="D17" s="5" t="s">
        <v>678</v>
      </c>
      <c r="E17" s="5" t="s">
        <v>661</v>
      </c>
    </row>
    <row r="18" spans="1:5">
      <c r="A18" s="1010" t="s">
        <v>686</v>
      </c>
      <c r="B18" s="191">
        <v>45078</v>
      </c>
      <c r="C18" s="745" t="s">
        <v>3658</v>
      </c>
      <c r="D18" s="5" t="s">
        <v>678</v>
      </c>
      <c r="E18" s="5" t="s">
        <v>651</v>
      </c>
    </row>
    <row r="19" spans="1:5">
      <c r="A19" s="1010" t="s">
        <v>686</v>
      </c>
      <c r="B19" s="191">
        <v>45078</v>
      </c>
      <c r="C19" s="5" t="s">
        <v>699</v>
      </c>
      <c r="D19" s="5" t="s">
        <v>678</v>
      </c>
      <c r="E19" s="5" t="s">
        <v>661</v>
      </c>
    </row>
    <row r="20" spans="1:5">
      <c r="A20" s="628" t="s">
        <v>688</v>
      </c>
      <c r="B20" s="575">
        <v>45097</v>
      </c>
      <c r="C20" s="590" t="s">
        <v>818</v>
      </c>
      <c r="D20" s="590" t="s">
        <v>678</v>
      </c>
      <c r="E20" s="591" t="s">
        <v>655</v>
      </c>
    </row>
    <row r="21" spans="1:5">
      <c r="A21" s="629" t="s">
        <v>690</v>
      </c>
      <c r="B21" s="188">
        <v>45097</v>
      </c>
      <c r="C21" s="1067" t="s">
        <v>3658</v>
      </c>
      <c r="D21" s="585" t="s">
        <v>678</v>
      </c>
      <c r="E21" s="586" t="s">
        <v>651</v>
      </c>
    </row>
    <row r="22" spans="1:5">
      <c r="A22" s="1061" t="s">
        <v>690</v>
      </c>
      <c r="B22" s="742">
        <v>45097</v>
      </c>
      <c r="C22" s="1063" t="s">
        <v>700</v>
      </c>
      <c r="D22" s="1063" t="s">
        <v>678</v>
      </c>
      <c r="E22" s="1064" t="s">
        <v>661</v>
      </c>
    </row>
    <row r="23" spans="1:5">
      <c r="A23" s="1012" t="s">
        <v>690</v>
      </c>
      <c r="B23" s="1065">
        <v>45205</v>
      </c>
      <c r="C23" s="595" t="s">
        <v>701</v>
      </c>
      <c r="D23" s="595" t="s">
        <v>678</v>
      </c>
      <c r="E23" s="596" t="s">
        <v>661</v>
      </c>
    </row>
  </sheetData>
  <pageMargins left="0.7" right="0.7" top="0.75" bottom="0.75" header="0.3" footer="0.3"/>
  <headerFooter>
    <oddFooter>&amp;C_x000D_&amp;1#&amp;"Calibri"&amp;11&amp;KFF0000 Internal</oddFooter>
  </headerFooter>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B170C4-9DDB-4241-B136-956C8F0B4B55}">
  <sheetPr codeName="Sheet7"/>
  <dimension ref="A1:L9"/>
  <sheetViews>
    <sheetView zoomScaleNormal="100" workbookViewId="0">
      <pane xSplit="1" ySplit="3" topLeftCell="B4" activePane="bottomRight" state="frozen"/>
      <selection pane="topRight" activeCell="J3" sqref="J3"/>
      <selection pane="bottomLeft" activeCell="J3" sqref="J3"/>
      <selection pane="bottomRight" activeCell="K1" sqref="K1"/>
    </sheetView>
  </sheetViews>
  <sheetFormatPr defaultColWidth="21.68359375" defaultRowHeight="14.4"/>
  <cols>
    <col min="1" max="1" width="25.15625" customWidth="1"/>
    <col min="2" max="2" width="48.578125" bestFit="1" customWidth="1"/>
    <col min="3" max="3" width="7.26171875" bestFit="1" customWidth="1"/>
    <col min="4" max="4" width="7" bestFit="1" customWidth="1"/>
    <col min="5" max="5" width="7.26171875" bestFit="1" customWidth="1"/>
    <col min="6" max="6" width="13.83984375" customWidth="1"/>
    <col min="7" max="7" width="10" bestFit="1" customWidth="1"/>
    <col min="8" max="8" width="6.83984375" bestFit="1" customWidth="1"/>
    <col min="9" max="9" width="19.68359375" bestFit="1" customWidth="1"/>
    <col min="10" max="10" width="21.26171875" customWidth="1"/>
    <col min="11" max="11" width="23.68359375" bestFit="1" customWidth="1"/>
    <col min="12" max="12" width="25.68359375" customWidth="1"/>
  </cols>
  <sheetData>
    <row r="1" spans="1:12">
      <c r="A1" s="55" t="s">
        <v>3659</v>
      </c>
      <c r="B1" s="172" t="s">
        <v>76</v>
      </c>
      <c r="C1" s="1651" t="s">
        <v>106</v>
      </c>
      <c r="D1" s="1651"/>
      <c r="E1" s="1351">
        <v>6</v>
      </c>
      <c r="F1" s="1352" t="s">
        <v>702</v>
      </c>
      <c r="G1" s="1353">
        <v>7072</v>
      </c>
      <c r="H1" s="451"/>
      <c r="I1" s="1354" t="s">
        <v>69</v>
      </c>
      <c r="J1" s="1310" t="s">
        <v>703</v>
      </c>
      <c r="K1" s="574" t="s">
        <v>3660</v>
      </c>
      <c r="L1" s="513" t="s">
        <v>94</v>
      </c>
    </row>
    <row r="2" spans="1:12" ht="213" customHeight="1">
      <c r="A2" s="1652" t="s">
        <v>3661</v>
      </c>
      <c r="B2" s="1653"/>
      <c r="C2" s="1658" t="s">
        <v>3662</v>
      </c>
      <c r="D2" s="1659"/>
      <c r="E2" s="1659"/>
      <c r="F2" s="1659"/>
      <c r="G2" s="1659"/>
      <c r="H2" s="1659"/>
      <c r="I2" s="1660"/>
      <c r="J2" s="240" t="s">
        <v>707</v>
      </c>
      <c r="K2" s="1277" t="s">
        <v>1384</v>
      </c>
      <c r="L2" s="513"/>
    </row>
    <row r="3" spans="1:12" ht="30" customHeight="1">
      <c r="A3" s="843" t="s">
        <v>709</v>
      </c>
      <c r="B3" s="844" t="s">
        <v>710</v>
      </c>
      <c r="C3" s="102" t="s">
        <v>711</v>
      </c>
      <c r="D3" s="102" t="s">
        <v>712</v>
      </c>
      <c r="E3" s="102" t="s">
        <v>713</v>
      </c>
      <c r="F3" s="857" t="s">
        <v>714</v>
      </c>
      <c r="G3" s="103" t="s">
        <v>715</v>
      </c>
      <c r="H3" s="102" t="s">
        <v>716</v>
      </c>
      <c r="I3" s="102" t="s">
        <v>717</v>
      </c>
      <c r="J3" s="102" t="s">
        <v>718</v>
      </c>
      <c r="K3" s="1355" t="s">
        <v>719</v>
      </c>
      <c r="L3" s="57" t="s">
        <v>720</v>
      </c>
    </row>
    <row r="4" spans="1:12" ht="18" customHeight="1">
      <c r="A4" s="848" t="s">
        <v>3663</v>
      </c>
      <c r="B4" s="848" t="s">
        <v>722</v>
      </c>
      <c r="C4" s="849" t="s">
        <v>48</v>
      </c>
      <c r="D4" s="849" t="s">
        <v>48</v>
      </c>
      <c r="E4" s="849" t="s">
        <v>48</v>
      </c>
      <c r="F4" s="849" t="s">
        <v>48</v>
      </c>
      <c r="G4" s="849" t="s">
        <v>48</v>
      </c>
      <c r="H4" s="849">
        <v>216</v>
      </c>
      <c r="I4" s="849" t="s">
        <v>723</v>
      </c>
      <c r="J4" s="849" t="s">
        <v>729</v>
      </c>
      <c r="K4" s="1656">
        <v>1</v>
      </c>
      <c r="L4" s="1654" t="s">
        <v>3664</v>
      </c>
    </row>
    <row r="5" spans="1:12" ht="25.8">
      <c r="A5" s="848" t="s">
        <v>3665</v>
      </c>
      <c r="B5" s="848" t="s">
        <v>3666</v>
      </c>
      <c r="C5" s="849" t="s">
        <v>48</v>
      </c>
      <c r="D5" s="849">
        <v>0</v>
      </c>
      <c r="E5" s="849">
        <v>255</v>
      </c>
      <c r="F5" s="849" t="s">
        <v>3667</v>
      </c>
      <c r="G5" s="849">
        <v>255</v>
      </c>
      <c r="H5" s="849">
        <v>8</v>
      </c>
      <c r="I5" s="849" t="s">
        <v>743</v>
      </c>
      <c r="J5" s="849" t="s">
        <v>729</v>
      </c>
      <c r="K5" s="1657"/>
      <c r="L5" s="1655"/>
    </row>
    <row r="6" spans="1:12" ht="36.75" customHeight="1">
      <c r="A6" s="848" t="s">
        <v>3668</v>
      </c>
      <c r="B6" s="848" t="s">
        <v>3669</v>
      </c>
      <c r="C6" s="849" t="s">
        <v>48</v>
      </c>
      <c r="D6" s="849" t="s">
        <v>48</v>
      </c>
      <c r="E6" s="849" t="s">
        <v>48</v>
      </c>
      <c r="F6" s="849" t="s">
        <v>48</v>
      </c>
      <c r="G6" s="849" t="s">
        <v>48</v>
      </c>
      <c r="H6" s="849">
        <v>32</v>
      </c>
      <c r="I6" s="849" t="s">
        <v>728</v>
      </c>
      <c r="J6" s="976" t="s">
        <v>729</v>
      </c>
      <c r="K6" s="1591">
        <v>8</v>
      </c>
      <c r="L6" s="1650" t="s">
        <v>3670</v>
      </c>
    </row>
    <row r="7" spans="1:12" ht="36.75" customHeight="1">
      <c r="A7" s="858" t="s">
        <v>3671</v>
      </c>
      <c r="B7" s="858" t="s">
        <v>3672</v>
      </c>
      <c r="C7" s="859" t="s">
        <v>48</v>
      </c>
      <c r="D7" s="859" t="s">
        <v>48</v>
      </c>
      <c r="E7" s="859" t="s">
        <v>48</v>
      </c>
      <c r="F7" s="859" t="s">
        <v>48</v>
      </c>
      <c r="G7" s="859" t="s">
        <v>48</v>
      </c>
      <c r="H7" s="859">
        <v>592</v>
      </c>
      <c r="I7" s="859" t="s">
        <v>3673</v>
      </c>
      <c r="J7" s="977" t="s">
        <v>729</v>
      </c>
      <c r="K7" s="1591"/>
      <c r="L7" s="1650"/>
    </row>
    <row r="8" spans="1:12" ht="36.75" customHeight="1">
      <c r="A8" s="848" t="s">
        <v>3674</v>
      </c>
      <c r="B8" s="848" t="s">
        <v>3675</v>
      </c>
      <c r="C8" s="849" t="s">
        <v>48</v>
      </c>
      <c r="D8" s="849" t="s">
        <v>48</v>
      </c>
      <c r="E8" s="849" t="s">
        <v>48</v>
      </c>
      <c r="F8" s="849" t="s">
        <v>48</v>
      </c>
      <c r="G8" s="849" t="s">
        <v>48</v>
      </c>
      <c r="H8" s="849">
        <v>232</v>
      </c>
      <c r="I8" s="849" t="s">
        <v>3676</v>
      </c>
      <c r="J8" s="976" t="s">
        <v>729</v>
      </c>
      <c r="K8" s="1591"/>
      <c r="L8" s="1650"/>
    </row>
    <row r="9" spans="1:12">
      <c r="A9" s="5"/>
      <c r="B9" s="5"/>
      <c r="C9" s="5"/>
      <c r="G9" s="30"/>
    </row>
  </sheetData>
  <mergeCells count="7">
    <mergeCell ref="K6:K8"/>
    <mergeCell ref="L6:L8"/>
    <mergeCell ref="C1:D1"/>
    <mergeCell ref="A2:B2"/>
    <mergeCell ref="L4:L5"/>
    <mergeCell ref="K4:K5"/>
    <mergeCell ref="C2:I2"/>
  </mergeCells>
  <hyperlinks>
    <hyperlink ref="I1" location="'Revision Map'!A1" display="INDEX" xr:uid="{86827380-5B1C-4B7B-A4D9-397A601BFC12}"/>
    <hyperlink ref="J1" location="'Cross-FCN_Definitions'!A1" display="Cross-FCN_Definitions" xr:uid="{D12196D6-82A4-4281-8F85-3515D764BBDC}"/>
    <hyperlink ref="K1" location="Lanes_Definitions!A1" display="Lanes_Definitions" xr:uid="{0423C569-3943-4F41-9AFE-DE50282E84EC}"/>
    <hyperlink ref="L1" location="'AVI_Lanes_Adjacent_Debug'!A1" display="AVI_Lanes_Adjacent_Debug" xr:uid="{528C063C-E300-40B1-80EA-58E652639970}"/>
  </hyperlinks>
  <pageMargins left="0.7" right="0.7" top="0.75" bottom="0.75" header="0.3" footer="0.3"/>
  <headerFooter>
    <oddFooter>&amp;C_x000D_&amp;1#&amp;"Calibri"&amp;11&amp;KFF0000 Internal</oddFooter>
  </headerFooter>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30F53-20F2-439B-8BD4-28367F5A3DF6}">
  <sheetPr codeName="Sheet8"/>
  <dimension ref="A1:E41"/>
  <sheetViews>
    <sheetView workbookViewId="0">
      <pane ySplit="1" topLeftCell="A8" activePane="bottomLeft" state="frozen"/>
      <selection activeCell="C22" activeCellId="1" sqref="A1:AS1 C22"/>
      <selection pane="bottomLeft" activeCell="C31" sqref="C31"/>
    </sheetView>
  </sheetViews>
  <sheetFormatPr defaultColWidth="9.15625" defaultRowHeight="14.4"/>
  <cols>
    <col min="1" max="1" width="11" style="1014" bestFit="1" customWidth="1"/>
    <col min="2" max="2" width="18.578125" style="40" customWidth="1"/>
    <col min="3" max="3" width="74.83984375" customWidth="1"/>
    <col min="4" max="4" width="17.578125" bestFit="1" customWidth="1"/>
    <col min="5" max="5" width="9.68359375" bestFit="1" customWidth="1"/>
  </cols>
  <sheetData>
    <row r="1" spans="1:5">
      <c r="A1" s="1017" t="s">
        <v>644</v>
      </c>
      <c r="B1" s="660" t="s">
        <v>645</v>
      </c>
      <c r="C1" s="643" t="s">
        <v>646</v>
      </c>
      <c r="D1" s="643" t="s">
        <v>647</v>
      </c>
      <c r="E1" s="644" t="s">
        <v>648</v>
      </c>
    </row>
    <row r="2" spans="1:5">
      <c r="A2" s="629">
        <v>0</v>
      </c>
      <c r="B2" s="188">
        <v>44300</v>
      </c>
      <c r="C2" s="584" t="s">
        <v>3677</v>
      </c>
      <c r="D2" s="585" t="s">
        <v>3678</v>
      </c>
      <c r="E2" s="586" t="s">
        <v>655</v>
      </c>
    </row>
    <row r="3" spans="1:5" ht="182.25" customHeight="1">
      <c r="A3" s="629">
        <v>1</v>
      </c>
      <c r="B3" s="188">
        <v>44305</v>
      </c>
      <c r="C3" s="576" t="s">
        <v>3679</v>
      </c>
      <c r="D3" s="585" t="s">
        <v>3678</v>
      </c>
      <c r="E3" s="586" t="s">
        <v>655</v>
      </c>
    </row>
    <row r="4" spans="1:5">
      <c r="A4" s="629">
        <v>1</v>
      </c>
      <c r="B4" s="188">
        <v>44340</v>
      </c>
      <c r="C4" s="585" t="s">
        <v>3680</v>
      </c>
      <c r="D4" s="585" t="s">
        <v>3678</v>
      </c>
      <c r="E4" s="586" t="s">
        <v>651</v>
      </c>
    </row>
    <row r="5" spans="1:5" ht="43.2">
      <c r="A5" s="1010">
        <v>1.1000000000000001</v>
      </c>
      <c r="B5" s="51">
        <v>44651</v>
      </c>
      <c r="C5" s="576" t="s">
        <v>3681</v>
      </c>
      <c r="D5" s="5" t="s">
        <v>654</v>
      </c>
      <c r="E5" s="598" t="s">
        <v>655</v>
      </c>
    </row>
    <row r="6" spans="1:5" ht="57.6">
      <c r="A6" s="1010">
        <v>1.2</v>
      </c>
      <c r="B6" s="51">
        <v>44662</v>
      </c>
      <c r="C6" s="576" t="s">
        <v>3682</v>
      </c>
      <c r="D6" s="5" t="s">
        <v>654</v>
      </c>
      <c r="E6" s="598" t="s">
        <v>655</v>
      </c>
    </row>
    <row r="7" spans="1:5" ht="100.8">
      <c r="A7" s="1010">
        <v>1.3</v>
      </c>
      <c r="B7" s="51">
        <v>44664</v>
      </c>
      <c r="C7" s="576" t="s">
        <v>3683</v>
      </c>
      <c r="D7" s="5" t="s">
        <v>796</v>
      </c>
      <c r="E7" s="5" t="s">
        <v>655</v>
      </c>
    </row>
    <row r="8" spans="1:5" ht="28.8">
      <c r="A8" s="1010">
        <v>1.4</v>
      </c>
      <c r="B8" s="51">
        <v>44685</v>
      </c>
      <c r="C8" s="612" t="s">
        <v>3684</v>
      </c>
      <c r="D8" s="5" t="s">
        <v>654</v>
      </c>
      <c r="E8" s="5" t="s">
        <v>655</v>
      </c>
    </row>
    <row r="9" spans="1:5">
      <c r="A9" s="1010">
        <v>1.5</v>
      </c>
      <c r="B9" s="51">
        <v>44687</v>
      </c>
      <c r="C9" s="613" t="s">
        <v>1427</v>
      </c>
      <c r="D9" s="5" t="s">
        <v>654</v>
      </c>
      <c r="E9" s="5" t="s">
        <v>655</v>
      </c>
    </row>
    <row r="10" spans="1:5">
      <c r="A10" s="1010">
        <v>1.5</v>
      </c>
      <c r="B10" s="51">
        <v>44691</v>
      </c>
      <c r="C10" s="5" t="s">
        <v>3210</v>
      </c>
      <c r="D10" s="5" t="s">
        <v>658</v>
      </c>
      <c r="E10" s="5" t="s">
        <v>655</v>
      </c>
    </row>
    <row r="11" spans="1:5">
      <c r="A11" s="1010">
        <v>1.6</v>
      </c>
      <c r="B11" s="51">
        <v>44693</v>
      </c>
      <c r="C11" s="5" t="s">
        <v>3685</v>
      </c>
      <c r="D11" s="5" t="s">
        <v>654</v>
      </c>
      <c r="E11" s="5" t="s">
        <v>655</v>
      </c>
    </row>
    <row r="12" spans="1:5">
      <c r="A12" s="1010">
        <v>1.6</v>
      </c>
      <c r="B12" s="51">
        <v>44693</v>
      </c>
      <c r="C12" s="5" t="s">
        <v>3686</v>
      </c>
      <c r="D12" s="5" t="s">
        <v>658</v>
      </c>
      <c r="E12" s="5" t="s">
        <v>655</v>
      </c>
    </row>
    <row r="13" spans="1:5">
      <c r="A13" s="1010">
        <v>1.7</v>
      </c>
      <c r="B13" s="51">
        <v>44694</v>
      </c>
      <c r="C13" s="5" t="s">
        <v>3687</v>
      </c>
      <c r="D13" s="5" t="s">
        <v>654</v>
      </c>
      <c r="E13" s="5" t="s">
        <v>655</v>
      </c>
    </row>
    <row r="14" spans="1:5">
      <c r="A14" s="1010">
        <v>1.8</v>
      </c>
      <c r="B14" s="51">
        <v>44706</v>
      </c>
      <c r="C14" s="5" t="s">
        <v>3688</v>
      </c>
      <c r="D14" s="5" t="s">
        <v>654</v>
      </c>
      <c r="E14" s="5" t="s">
        <v>655</v>
      </c>
    </row>
    <row r="15" spans="1:5">
      <c r="A15" s="1010">
        <v>1.8</v>
      </c>
      <c r="B15" s="51">
        <v>44706</v>
      </c>
      <c r="C15" s="5" t="s">
        <v>1431</v>
      </c>
      <c r="D15" s="5" t="s">
        <v>658</v>
      </c>
      <c r="E15" s="5" t="s">
        <v>655</v>
      </c>
    </row>
    <row r="16" spans="1:5">
      <c r="A16" s="1010">
        <v>2</v>
      </c>
      <c r="B16" s="51">
        <v>44713</v>
      </c>
      <c r="C16" s="576" t="s">
        <v>3689</v>
      </c>
      <c r="D16" s="5" t="s">
        <v>654</v>
      </c>
      <c r="E16" s="5" t="s">
        <v>651</v>
      </c>
    </row>
    <row r="17" spans="1:5">
      <c r="A17" s="1010">
        <v>2</v>
      </c>
      <c r="B17" s="51">
        <v>44719</v>
      </c>
      <c r="C17" s="5" t="s">
        <v>660</v>
      </c>
      <c r="D17" s="5" t="s">
        <v>654</v>
      </c>
      <c r="E17" s="5" t="s">
        <v>661</v>
      </c>
    </row>
    <row r="18" spans="1:5">
      <c r="A18" s="1010">
        <v>2</v>
      </c>
      <c r="B18" s="51">
        <v>44728</v>
      </c>
      <c r="C18" s="576" t="s">
        <v>3690</v>
      </c>
      <c r="D18" s="5" t="s">
        <v>654</v>
      </c>
      <c r="E18" s="5" t="s">
        <v>651</v>
      </c>
    </row>
    <row r="19" spans="1:5">
      <c r="A19" s="1010">
        <v>2</v>
      </c>
      <c r="B19" s="51">
        <v>44741</v>
      </c>
      <c r="C19" s="576" t="s">
        <v>3691</v>
      </c>
      <c r="D19" s="5" t="s">
        <v>654</v>
      </c>
      <c r="E19" s="5" t="s">
        <v>651</v>
      </c>
    </row>
    <row r="20" spans="1:5">
      <c r="A20" s="1010">
        <v>2.1</v>
      </c>
      <c r="B20" s="51">
        <v>44742</v>
      </c>
      <c r="C20" s="576" t="s">
        <v>3692</v>
      </c>
      <c r="D20" s="5" t="s">
        <v>654</v>
      </c>
      <c r="E20" s="5" t="s">
        <v>655</v>
      </c>
    </row>
    <row r="21" spans="1:5">
      <c r="A21" s="1010">
        <v>2.1</v>
      </c>
      <c r="B21" s="51">
        <v>44742</v>
      </c>
      <c r="C21" s="576" t="s">
        <v>3691</v>
      </c>
      <c r="D21" s="5" t="s">
        <v>654</v>
      </c>
      <c r="E21" s="5" t="s">
        <v>651</v>
      </c>
    </row>
    <row r="22" spans="1:5">
      <c r="A22" s="1010">
        <v>3</v>
      </c>
      <c r="B22" s="51">
        <v>44742</v>
      </c>
      <c r="C22" s="576" t="s">
        <v>667</v>
      </c>
      <c r="D22" s="5" t="s">
        <v>654</v>
      </c>
      <c r="E22" s="5" t="s">
        <v>661</v>
      </c>
    </row>
    <row r="23" spans="1:5" ht="28.8">
      <c r="A23" s="1010">
        <v>3.1</v>
      </c>
      <c r="B23" s="188">
        <v>44895</v>
      </c>
      <c r="C23" s="584" t="s">
        <v>1363</v>
      </c>
      <c r="D23" s="585" t="s">
        <v>3176</v>
      </c>
      <c r="E23" s="586" t="s">
        <v>655</v>
      </c>
    </row>
    <row r="24" spans="1:5">
      <c r="A24" s="1010">
        <v>3.1</v>
      </c>
      <c r="B24" s="188">
        <v>44902</v>
      </c>
      <c r="C24" s="576" t="s">
        <v>1599</v>
      </c>
      <c r="D24" s="5" t="s">
        <v>676</v>
      </c>
      <c r="E24" s="5" t="s">
        <v>655</v>
      </c>
    </row>
    <row r="25" spans="1:5" ht="28.8">
      <c r="A25" s="1010">
        <v>3.2</v>
      </c>
      <c r="B25" s="51">
        <v>44903</v>
      </c>
      <c r="C25" s="576" t="s">
        <v>3693</v>
      </c>
      <c r="D25" s="5" t="s">
        <v>3176</v>
      </c>
      <c r="E25" s="5" t="s">
        <v>655</v>
      </c>
    </row>
    <row r="26" spans="1:5">
      <c r="A26" s="1010">
        <v>3.2</v>
      </c>
      <c r="B26" s="51">
        <v>44904</v>
      </c>
      <c r="C26" s="5" t="s">
        <v>3694</v>
      </c>
      <c r="D26" s="5" t="s">
        <v>676</v>
      </c>
      <c r="E26" s="5" t="s">
        <v>655</v>
      </c>
    </row>
    <row r="27" spans="1:5">
      <c r="A27" s="1010">
        <v>3.2</v>
      </c>
      <c r="B27" s="51">
        <v>44937</v>
      </c>
      <c r="C27" s="607" t="s">
        <v>677</v>
      </c>
      <c r="D27" s="5" t="s">
        <v>678</v>
      </c>
      <c r="E27" s="5" t="s">
        <v>655</v>
      </c>
    </row>
    <row r="28" spans="1:5">
      <c r="A28" s="629">
        <v>3.3</v>
      </c>
      <c r="B28" s="188">
        <v>44945</v>
      </c>
      <c r="C28" s="584" t="s">
        <v>1373</v>
      </c>
      <c r="D28" s="585" t="s">
        <v>1001</v>
      </c>
      <c r="E28" s="586" t="s">
        <v>655</v>
      </c>
    </row>
    <row r="29" spans="1:5">
      <c r="A29" s="1010">
        <v>3.3</v>
      </c>
      <c r="B29" s="51">
        <v>44953</v>
      </c>
      <c r="C29" s="5" t="s">
        <v>3695</v>
      </c>
      <c r="D29" s="5" t="s">
        <v>658</v>
      </c>
      <c r="E29" s="5" t="s">
        <v>655</v>
      </c>
    </row>
    <row r="30" spans="1:5">
      <c r="A30" s="1010">
        <v>3.4</v>
      </c>
      <c r="B30" s="51">
        <v>44956</v>
      </c>
      <c r="C30" s="5" t="s">
        <v>3696</v>
      </c>
      <c r="D30" s="5" t="s">
        <v>658</v>
      </c>
      <c r="E30" s="5" t="s">
        <v>655</v>
      </c>
    </row>
    <row r="31" spans="1:5" ht="19.5" customHeight="1">
      <c r="A31" s="1010">
        <v>4</v>
      </c>
      <c r="B31" s="51">
        <v>44956</v>
      </c>
      <c r="C31" s="576" t="s">
        <v>3697</v>
      </c>
      <c r="D31" s="5" t="s">
        <v>658</v>
      </c>
      <c r="E31" s="5" t="s">
        <v>651</v>
      </c>
    </row>
    <row r="32" spans="1:5">
      <c r="A32" s="1010">
        <v>4</v>
      </c>
      <c r="B32" s="51">
        <v>44957</v>
      </c>
      <c r="C32" s="5" t="s">
        <v>687</v>
      </c>
      <c r="D32" s="5" t="s">
        <v>676</v>
      </c>
      <c r="E32" s="5" t="s">
        <v>661</v>
      </c>
    </row>
    <row r="33" spans="1:5">
      <c r="A33" s="1010">
        <v>4</v>
      </c>
      <c r="B33" s="51">
        <v>44970</v>
      </c>
      <c r="C33" s="2" t="s">
        <v>691</v>
      </c>
      <c r="D33" s="5" t="s">
        <v>676</v>
      </c>
      <c r="E33" s="5" t="s">
        <v>661</v>
      </c>
    </row>
    <row r="34" spans="1:5">
      <c r="A34" s="1010">
        <v>5</v>
      </c>
      <c r="B34" s="51">
        <v>44994</v>
      </c>
      <c r="C34" s="576" t="s">
        <v>3698</v>
      </c>
      <c r="D34" s="5" t="s">
        <v>3176</v>
      </c>
      <c r="E34" s="5" t="s">
        <v>651</v>
      </c>
    </row>
    <row r="35" spans="1:5">
      <c r="A35" s="1010">
        <v>5</v>
      </c>
      <c r="B35" s="191">
        <v>44998</v>
      </c>
      <c r="C35" s="2" t="s">
        <v>692</v>
      </c>
      <c r="D35" s="5" t="s">
        <v>678</v>
      </c>
      <c r="E35" s="5" t="s">
        <v>661</v>
      </c>
    </row>
    <row r="36" spans="1:5">
      <c r="A36" s="1010">
        <v>5.0999999999999996</v>
      </c>
      <c r="B36" s="1010">
        <v>20230531</v>
      </c>
      <c r="C36" t="s">
        <v>3699</v>
      </c>
      <c r="D36" s="5" t="s">
        <v>3700</v>
      </c>
      <c r="E36" s="5" t="s">
        <v>655</v>
      </c>
    </row>
    <row r="37" spans="1:5">
      <c r="A37" s="1010" t="s">
        <v>693</v>
      </c>
      <c r="B37" s="51">
        <v>45078</v>
      </c>
      <c r="C37" t="s">
        <v>3695</v>
      </c>
      <c r="D37" s="5" t="s">
        <v>658</v>
      </c>
      <c r="E37" s="5" t="s">
        <v>655</v>
      </c>
    </row>
    <row r="38" spans="1:5">
      <c r="A38" s="1010" t="s">
        <v>698</v>
      </c>
      <c r="B38" s="51">
        <v>45078</v>
      </c>
      <c r="C38" s="576" t="s">
        <v>3701</v>
      </c>
      <c r="D38" s="5" t="s">
        <v>678</v>
      </c>
      <c r="E38" s="5" t="s">
        <v>651</v>
      </c>
    </row>
    <row r="39" spans="1:5">
      <c r="A39" s="1010" t="s">
        <v>698</v>
      </c>
      <c r="B39" s="191">
        <v>45078</v>
      </c>
      <c r="C39" s="5" t="s">
        <v>699</v>
      </c>
      <c r="D39" s="5" t="s">
        <v>678</v>
      </c>
      <c r="E39" s="5" t="s">
        <v>661</v>
      </c>
    </row>
    <row r="40" spans="1:5">
      <c r="A40" s="1010" t="s">
        <v>698</v>
      </c>
      <c r="B40" s="191">
        <v>45097</v>
      </c>
      <c r="C40" s="5" t="s">
        <v>700</v>
      </c>
      <c r="D40" s="5" t="s">
        <v>678</v>
      </c>
      <c r="E40" s="5" t="s">
        <v>661</v>
      </c>
    </row>
    <row r="41" spans="1:5">
      <c r="A41" s="1010" t="s">
        <v>698</v>
      </c>
      <c r="B41" s="1065">
        <v>45205</v>
      </c>
      <c r="C41" s="595" t="s">
        <v>701</v>
      </c>
      <c r="D41" s="595" t="s">
        <v>678</v>
      </c>
      <c r="E41" s="596" t="s">
        <v>661</v>
      </c>
    </row>
  </sheetData>
  <pageMargins left="0.7" right="0.7" top="0.75" bottom="0.75" header="0.3" footer="0.3"/>
  <headerFooter>
    <oddFooter>&amp;C_x000D_&amp;1#&amp;"Calibri"&amp;11&amp;KFF0000 Internal</oddFooter>
  </headerFooter>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FC3CA-75FA-4201-A37D-1D9C7411A4B6}">
  <sheetPr codeName="Sheet80"/>
  <dimension ref="A1:L6"/>
  <sheetViews>
    <sheetView workbookViewId="0">
      <selection activeCell="C2" sqref="C2:I2"/>
    </sheetView>
  </sheetViews>
  <sheetFormatPr defaultColWidth="9.15625" defaultRowHeight="14.4"/>
  <cols>
    <col min="1" max="1" width="35.15625" customWidth="1"/>
    <col min="2" max="2" width="35" customWidth="1"/>
    <col min="6" max="6" width="17.15625" customWidth="1"/>
    <col min="9" max="9" width="21.68359375" customWidth="1"/>
    <col min="10" max="10" width="14.68359375" customWidth="1"/>
    <col min="11" max="11" width="19.83984375" customWidth="1"/>
    <col min="12" max="12" width="29.41796875" customWidth="1"/>
  </cols>
  <sheetData>
    <row r="1" spans="1:12">
      <c r="A1" s="336" t="s">
        <v>104</v>
      </c>
      <c r="B1" s="339" t="s">
        <v>94</v>
      </c>
      <c r="C1" s="1564" t="s">
        <v>106</v>
      </c>
      <c r="D1" s="1565"/>
      <c r="E1" s="337">
        <v>4</v>
      </c>
      <c r="F1" s="1308" t="s">
        <v>702</v>
      </c>
      <c r="G1" s="1309">
        <v>520</v>
      </c>
      <c r="H1" s="1308"/>
      <c r="I1" s="1308"/>
      <c r="J1" s="1310" t="s">
        <v>69</v>
      </c>
      <c r="K1" s="1310" t="s">
        <v>703</v>
      </c>
      <c r="L1" s="1356" t="s">
        <v>76</v>
      </c>
    </row>
    <row r="2" spans="1:12" ht="122.25" customHeight="1">
      <c r="A2" s="1566" t="s">
        <v>3161</v>
      </c>
      <c r="B2" s="1567"/>
      <c r="C2" s="1550" t="s">
        <v>1457</v>
      </c>
      <c r="D2" s="1551"/>
      <c r="E2" s="1551"/>
      <c r="F2" s="1551"/>
      <c r="G2" s="1551"/>
      <c r="H2" s="1551"/>
      <c r="I2" s="1552"/>
      <c r="J2" s="240" t="s">
        <v>707</v>
      </c>
      <c r="K2" s="1311" t="s">
        <v>1384</v>
      </c>
      <c r="L2" s="18"/>
    </row>
    <row r="3" spans="1:12" ht="25.8">
      <c r="A3" s="1312" t="s">
        <v>709</v>
      </c>
      <c r="B3" s="1313" t="s">
        <v>710</v>
      </c>
      <c r="C3" s="80" t="s">
        <v>711</v>
      </c>
      <c r="D3" s="80" t="s">
        <v>712</v>
      </c>
      <c r="E3" s="80" t="s">
        <v>713</v>
      </c>
      <c r="F3" s="80" t="s">
        <v>714</v>
      </c>
      <c r="G3" s="344" t="s">
        <v>715</v>
      </c>
      <c r="H3" s="80" t="s">
        <v>716</v>
      </c>
      <c r="I3" s="80" t="s">
        <v>717</v>
      </c>
      <c r="J3" s="80" t="s">
        <v>718</v>
      </c>
      <c r="K3" s="357" t="s">
        <v>719</v>
      </c>
      <c r="L3" s="80" t="s">
        <v>720</v>
      </c>
    </row>
    <row r="4" spans="1:12" ht="28.8">
      <c r="A4" s="1001" t="s">
        <v>3702</v>
      </c>
      <c r="B4" s="1001" t="s">
        <v>722</v>
      </c>
      <c r="C4" s="418" t="s">
        <v>48</v>
      </c>
      <c r="D4" s="418" t="s">
        <v>48</v>
      </c>
      <c r="E4" s="418" t="s">
        <v>48</v>
      </c>
      <c r="F4" s="418" t="s">
        <v>48</v>
      </c>
      <c r="G4" s="418" t="s">
        <v>48</v>
      </c>
      <c r="H4" s="418">
        <v>216</v>
      </c>
      <c r="I4" s="418" t="s">
        <v>723</v>
      </c>
      <c r="J4" s="345" t="s">
        <v>724</v>
      </c>
      <c r="K4" s="1568">
        <v>1</v>
      </c>
      <c r="L4" s="1570" t="s">
        <v>3703</v>
      </c>
    </row>
    <row r="5" spans="1:12" ht="28.8">
      <c r="A5" s="360" t="s">
        <v>3704</v>
      </c>
      <c r="B5" s="359" t="s">
        <v>1619</v>
      </c>
      <c r="C5" s="345" t="s">
        <v>48</v>
      </c>
      <c r="D5" s="345">
        <v>0</v>
      </c>
      <c r="E5" s="345">
        <v>65535</v>
      </c>
      <c r="F5" s="345" t="s">
        <v>3705</v>
      </c>
      <c r="G5" s="345">
        <v>65535</v>
      </c>
      <c r="H5" s="346">
        <v>16</v>
      </c>
      <c r="I5" s="347" t="s">
        <v>991</v>
      </c>
      <c r="J5" s="348" t="s">
        <v>729</v>
      </c>
      <c r="K5" s="1569"/>
      <c r="L5" s="1571"/>
    </row>
    <row r="6" spans="1:12" ht="28.8">
      <c r="A6" s="358" t="s">
        <v>3706</v>
      </c>
      <c r="B6" s="359" t="s">
        <v>1622</v>
      </c>
      <c r="C6" s="345" t="s">
        <v>48</v>
      </c>
      <c r="D6" s="345" t="s">
        <v>48</v>
      </c>
      <c r="E6" s="345" t="s">
        <v>48</v>
      </c>
      <c r="F6" s="345" t="s">
        <v>48</v>
      </c>
      <c r="G6" s="345" t="s">
        <v>48</v>
      </c>
      <c r="H6" s="345">
        <v>72</v>
      </c>
      <c r="I6" s="345" t="s">
        <v>3707</v>
      </c>
      <c r="J6" s="348" t="s">
        <v>729</v>
      </c>
      <c r="K6" s="353">
        <v>4</v>
      </c>
      <c r="L6" s="354" t="s">
        <v>3708</v>
      </c>
    </row>
  </sheetData>
  <mergeCells count="5">
    <mergeCell ref="C1:D1"/>
    <mergeCell ref="A2:B2"/>
    <mergeCell ref="C2:I2"/>
    <mergeCell ref="K4:K5"/>
    <mergeCell ref="L4:L5"/>
  </mergeCells>
  <conditionalFormatting sqref="B6:J6 C5:J5">
    <cfRule type="expression" dxfId="389" priority="3">
      <formula>MOD(ROW(), 2)=0</formula>
    </cfRule>
  </conditionalFormatting>
  <conditionalFormatting sqref="K4">
    <cfRule type="expression" dxfId="388" priority="2">
      <formula>MOD(ROW(), 2)=0</formula>
    </cfRule>
  </conditionalFormatting>
  <conditionalFormatting sqref="J4">
    <cfRule type="expression" dxfId="387" priority="1">
      <formula>MOD(ROW(), 2)=0</formula>
    </cfRule>
  </conditionalFormatting>
  <hyperlinks>
    <hyperlink ref="J1" location="'Revision Map'!A1" display="INDEX" xr:uid="{B07436E7-CD92-411D-B5F2-EAA379C95EFC}"/>
    <hyperlink ref="K1" location="'Cross-FCN_Definitions'!A1" display="Cross-FCN_Definitions" xr:uid="{8481A1D7-83E2-4853-9412-484711F4431A}"/>
    <hyperlink ref="L1" location="'AVI_Lanes_Adjacent'!A1" display="AVI_Lanes_Adjacent" xr:uid="{428DCB94-09F5-4991-A43B-4454F0348FF7}"/>
  </hyperlinks>
  <pageMargins left="0.7" right="0.7" top="0.75" bottom="0.75" header="0.3" footer="0.3"/>
  <headerFooter>
    <oddFooter>&amp;C_x000D_&amp;1#&amp;"Calibri"&amp;11&amp;KFF0000 Internal</odd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46EBB-5B71-4CE5-B6C0-F36CB9497FBA}">
  <sheetPr codeName="Sheet81"/>
  <dimension ref="A1:E20"/>
  <sheetViews>
    <sheetView topLeftCell="A13" workbookViewId="0">
      <selection activeCell="B20" sqref="B20"/>
    </sheetView>
  </sheetViews>
  <sheetFormatPr defaultColWidth="9.15625" defaultRowHeight="14.4"/>
  <cols>
    <col min="1" max="1" width="11" style="1010" bestFit="1" customWidth="1"/>
    <col min="2" max="2" width="10.41796875" bestFit="1" customWidth="1"/>
    <col min="3" max="3" width="44.578125" customWidth="1"/>
    <col min="4" max="4" width="17.578125" bestFit="1" customWidth="1"/>
    <col min="5" max="5" width="9.68359375" bestFit="1" customWidth="1"/>
  </cols>
  <sheetData>
    <row r="1" spans="1:5">
      <c r="A1" s="670" t="s">
        <v>644</v>
      </c>
      <c r="B1" s="642" t="s">
        <v>645</v>
      </c>
      <c r="C1" s="643" t="s">
        <v>646</v>
      </c>
      <c r="D1" s="643" t="s">
        <v>647</v>
      </c>
      <c r="E1" s="644" t="s">
        <v>648</v>
      </c>
    </row>
    <row r="2" spans="1:5">
      <c r="A2" s="628">
        <v>0.1</v>
      </c>
      <c r="B2" s="356">
        <v>44946</v>
      </c>
      <c r="C2" s="589" t="s">
        <v>3709</v>
      </c>
      <c r="D2" s="590" t="s">
        <v>678</v>
      </c>
      <c r="E2" s="591" t="s">
        <v>655</v>
      </c>
    </row>
    <row r="3" spans="1:5" ht="28.8">
      <c r="A3" s="629">
        <v>0.1</v>
      </c>
      <c r="B3" s="188">
        <v>44950</v>
      </c>
      <c r="C3" s="584" t="s">
        <v>1626</v>
      </c>
      <c r="D3" s="585" t="s">
        <v>1627</v>
      </c>
      <c r="E3" s="586" t="s">
        <v>655</v>
      </c>
    </row>
    <row r="4" spans="1:5" ht="86.4">
      <c r="A4" s="1011">
        <v>0.2</v>
      </c>
      <c r="B4" s="515">
        <v>44953</v>
      </c>
      <c r="C4" s="611" t="s">
        <v>3710</v>
      </c>
      <c r="D4" s="590" t="s">
        <v>678</v>
      </c>
      <c r="E4" s="591" t="s">
        <v>655</v>
      </c>
    </row>
    <row r="5" spans="1:5">
      <c r="A5" s="1010">
        <v>0.2</v>
      </c>
      <c r="B5" s="51">
        <v>44953</v>
      </c>
      <c r="C5" s="5" t="s">
        <v>3711</v>
      </c>
      <c r="D5" s="5" t="s">
        <v>658</v>
      </c>
      <c r="E5" s="5" t="s">
        <v>655</v>
      </c>
    </row>
    <row r="6" spans="1:5">
      <c r="A6" s="1011">
        <v>0.3</v>
      </c>
      <c r="B6" s="515">
        <v>44956</v>
      </c>
      <c r="C6" s="419" t="s">
        <v>3712</v>
      </c>
      <c r="D6" s="419" t="s">
        <v>658</v>
      </c>
      <c r="E6" s="419" t="s">
        <v>655</v>
      </c>
    </row>
    <row r="7" spans="1:5">
      <c r="A7" s="1010">
        <v>1</v>
      </c>
      <c r="B7" s="51">
        <v>44956</v>
      </c>
      <c r="C7" s="615" t="s">
        <v>3713</v>
      </c>
      <c r="D7" s="5" t="s">
        <v>658</v>
      </c>
      <c r="E7" s="5" t="s">
        <v>651</v>
      </c>
    </row>
    <row r="8" spans="1:5">
      <c r="A8" s="1010">
        <v>1</v>
      </c>
      <c r="B8" s="51">
        <v>44957</v>
      </c>
      <c r="C8" s="5" t="s">
        <v>687</v>
      </c>
      <c r="D8" s="5" t="s">
        <v>676</v>
      </c>
      <c r="E8" s="5" t="s">
        <v>661</v>
      </c>
    </row>
    <row r="9" spans="1:5">
      <c r="A9" s="1010">
        <v>1</v>
      </c>
      <c r="B9" s="51">
        <v>44970</v>
      </c>
      <c r="C9" s="2" t="s">
        <v>691</v>
      </c>
      <c r="D9" s="5" t="s">
        <v>676</v>
      </c>
      <c r="E9" s="5" t="s">
        <v>661</v>
      </c>
    </row>
    <row r="10" spans="1:5" ht="100.8">
      <c r="A10" s="1011">
        <v>1.1000000000000001</v>
      </c>
      <c r="B10" s="51">
        <v>44987</v>
      </c>
      <c r="C10" s="2" t="s">
        <v>1630</v>
      </c>
      <c r="D10" t="s">
        <v>3176</v>
      </c>
      <c r="E10" t="s">
        <v>655</v>
      </c>
    </row>
    <row r="11" spans="1:5">
      <c r="A11" s="1010">
        <v>2</v>
      </c>
      <c r="B11" s="51">
        <v>44994</v>
      </c>
      <c r="C11" s="615" t="s">
        <v>3714</v>
      </c>
      <c r="D11" s="5" t="s">
        <v>3176</v>
      </c>
      <c r="E11" s="5" t="s">
        <v>651</v>
      </c>
    </row>
    <row r="12" spans="1:5">
      <c r="A12" s="1010">
        <v>2</v>
      </c>
      <c r="B12" s="191">
        <v>44998</v>
      </c>
      <c r="C12" s="2" t="s">
        <v>692</v>
      </c>
      <c r="D12" s="5" t="s">
        <v>678</v>
      </c>
      <c r="E12" s="5" t="s">
        <v>661</v>
      </c>
    </row>
    <row r="13" spans="1:5">
      <c r="A13" s="1010">
        <v>2.1</v>
      </c>
      <c r="B13" s="191">
        <v>45077</v>
      </c>
      <c r="C13" t="s">
        <v>3177</v>
      </c>
      <c r="D13" t="s">
        <v>3176</v>
      </c>
      <c r="E13" t="s">
        <v>655</v>
      </c>
    </row>
    <row r="14" spans="1:5">
      <c r="A14" s="1011">
        <v>2.1</v>
      </c>
      <c r="B14" s="51">
        <v>45078</v>
      </c>
      <c r="C14" s="1034" t="s">
        <v>3711</v>
      </c>
      <c r="D14" s="1034" t="s">
        <v>658</v>
      </c>
      <c r="E14" s="1034" t="s">
        <v>655</v>
      </c>
    </row>
    <row r="15" spans="1:5">
      <c r="A15" s="1010" t="s">
        <v>666</v>
      </c>
      <c r="B15" s="51">
        <v>45078</v>
      </c>
      <c r="C15" s="576" t="s">
        <v>3715</v>
      </c>
      <c r="D15" s="5" t="s">
        <v>678</v>
      </c>
      <c r="E15" s="5" t="s">
        <v>651</v>
      </c>
    </row>
    <row r="16" spans="1:5">
      <c r="A16" s="1010" t="s">
        <v>666</v>
      </c>
      <c r="B16" s="191">
        <v>45078</v>
      </c>
      <c r="C16" s="5" t="s">
        <v>699</v>
      </c>
      <c r="D16" s="5" t="s">
        <v>678</v>
      </c>
      <c r="E16" s="5" t="s">
        <v>661</v>
      </c>
    </row>
    <row r="17" spans="1:5">
      <c r="A17" s="629" t="s">
        <v>668</v>
      </c>
      <c r="B17" s="188">
        <v>45097</v>
      </c>
      <c r="C17" s="584" t="s">
        <v>818</v>
      </c>
      <c r="D17" s="585" t="s">
        <v>678</v>
      </c>
      <c r="E17" s="586" t="s">
        <v>655</v>
      </c>
    </row>
    <row r="18" spans="1:5">
      <c r="A18" s="629" t="s">
        <v>686</v>
      </c>
      <c r="B18" s="188">
        <v>45097</v>
      </c>
      <c r="C18" s="576" t="s">
        <v>3715</v>
      </c>
      <c r="D18" s="585" t="s">
        <v>678</v>
      </c>
      <c r="E18" s="586" t="s">
        <v>651</v>
      </c>
    </row>
    <row r="19" spans="1:5">
      <c r="A19" s="1012" t="s">
        <v>686</v>
      </c>
      <c r="B19" s="191">
        <v>45097</v>
      </c>
      <c r="C19" s="594" t="s">
        <v>700</v>
      </c>
      <c r="D19" s="595" t="s">
        <v>678</v>
      </c>
      <c r="E19" s="596" t="s">
        <v>661</v>
      </c>
    </row>
    <row r="20" spans="1:5">
      <c r="A20" s="1012" t="s">
        <v>686</v>
      </c>
      <c r="B20" s="1065">
        <v>45205</v>
      </c>
      <c r="C20" s="595" t="s">
        <v>701</v>
      </c>
      <c r="D20" s="595" t="s">
        <v>678</v>
      </c>
      <c r="E20" s="596" t="s">
        <v>661</v>
      </c>
    </row>
  </sheetData>
  <pageMargins left="0.7" right="0.7" top="0.75" bottom="0.75" header="0.3" footer="0.3"/>
  <headerFooter>
    <oddFooter>&amp;C_x000D_&amp;1#&amp;"Calibri"&amp;11&amp;KFF0000 Internal</oddFooter>
  </headerFooter>
  <tableParts count="1">
    <tablePart r:id="rId1"/>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B0BA0-DC38-49C0-A0F2-01A6CE0F1871}">
  <sheetPr codeName="Sheet9"/>
  <dimension ref="A1:N33"/>
  <sheetViews>
    <sheetView zoomScale="90" zoomScaleNormal="90" workbookViewId="0">
      <pane ySplit="3" topLeftCell="A20" activePane="bottomLeft" state="frozen"/>
      <selection activeCell="J3" sqref="J3"/>
      <selection pane="bottomLeft" activeCell="K1" sqref="K1"/>
    </sheetView>
  </sheetViews>
  <sheetFormatPr defaultColWidth="9.15625" defaultRowHeight="14.4"/>
  <cols>
    <col min="1" max="1" width="38.41796875" customWidth="1"/>
    <col min="2" max="2" width="52.83984375" customWidth="1"/>
    <col min="4" max="4" width="9" bestFit="1" customWidth="1"/>
    <col min="5" max="5" width="11" bestFit="1" customWidth="1"/>
    <col min="6" max="6" width="11.68359375" style="3" customWidth="1"/>
    <col min="9" max="9" width="19.68359375" bestFit="1" customWidth="1"/>
    <col min="10" max="10" width="19.68359375" customWidth="1"/>
    <col min="11" max="11" width="29.68359375" bestFit="1" customWidth="1"/>
    <col min="12" max="12" width="27" style="2" customWidth="1"/>
  </cols>
  <sheetData>
    <row r="1" spans="1:12">
      <c r="A1" s="52" t="s">
        <v>3659</v>
      </c>
      <c r="B1" s="153" t="s">
        <v>78</v>
      </c>
      <c r="C1" s="1651" t="s">
        <v>106</v>
      </c>
      <c r="D1" s="1651"/>
      <c r="E1" s="1351">
        <v>8</v>
      </c>
      <c r="F1" s="1357" t="s">
        <v>702</v>
      </c>
      <c r="G1" s="1351">
        <v>3160</v>
      </c>
      <c r="H1" s="1357"/>
      <c r="I1" s="1310" t="s">
        <v>69</v>
      </c>
      <c r="J1" s="1314" t="s">
        <v>703</v>
      </c>
      <c r="K1" s="574" t="s">
        <v>3660</v>
      </c>
      <c r="L1" s="514" t="s">
        <v>3716</v>
      </c>
    </row>
    <row r="2" spans="1:12" ht="219" customHeight="1">
      <c r="A2" s="1661" t="s">
        <v>3661</v>
      </c>
      <c r="B2" s="1653"/>
      <c r="C2" s="1550" t="s">
        <v>1457</v>
      </c>
      <c r="D2" s="1551"/>
      <c r="E2" s="1551"/>
      <c r="F2" s="1551"/>
      <c r="G2" s="1551"/>
      <c r="H2" s="1551"/>
      <c r="I2" s="1552"/>
      <c r="J2" s="240" t="s">
        <v>707</v>
      </c>
      <c r="K2" s="1277" t="s">
        <v>1384</v>
      </c>
      <c r="L2" s="514"/>
    </row>
    <row r="3" spans="1:12">
      <c r="A3" s="1358" t="s">
        <v>709</v>
      </c>
      <c r="B3" s="1358" t="s">
        <v>710</v>
      </c>
      <c r="C3" s="1355" t="s">
        <v>711</v>
      </c>
      <c r="D3" s="1355" t="s">
        <v>712</v>
      </c>
      <c r="E3" s="1355" t="s">
        <v>713</v>
      </c>
      <c r="F3" s="1359" t="s">
        <v>714</v>
      </c>
      <c r="G3" s="1360" t="s">
        <v>715</v>
      </c>
      <c r="H3" s="1355" t="s">
        <v>716</v>
      </c>
      <c r="I3" s="1355" t="s">
        <v>717</v>
      </c>
      <c r="J3" s="1355" t="s">
        <v>718</v>
      </c>
      <c r="K3" s="1355" t="s">
        <v>719</v>
      </c>
      <c r="L3" s="32" t="s">
        <v>720</v>
      </c>
    </row>
    <row r="4" spans="1:12">
      <c r="A4" s="789" t="s">
        <v>3717</v>
      </c>
      <c r="B4" s="789" t="s">
        <v>722</v>
      </c>
      <c r="C4" s="110" t="s">
        <v>48</v>
      </c>
      <c r="D4" s="110" t="s">
        <v>48</v>
      </c>
      <c r="E4" s="110" t="s">
        <v>48</v>
      </c>
      <c r="F4" s="110" t="s">
        <v>48</v>
      </c>
      <c r="G4" s="110" t="s">
        <v>48</v>
      </c>
      <c r="H4" s="110">
        <v>216</v>
      </c>
      <c r="I4" s="110" t="s">
        <v>723</v>
      </c>
      <c r="J4" s="110" t="s">
        <v>724</v>
      </c>
      <c r="K4" s="1662">
        <v>1</v>
      </c>
      <c r="L4" s="1650" t="s">
        <v>3718</v>
      </c>
    </row>
    <row r="5" spans="1:12">
      <c r="A5" s="691" t="s">
        <v>3719</v>
      </c>
      <c r="B5" s="155" t="s">
        <v>3720</v>
      </c>
      <c r="C5" s="26" t="s">
        <v>48</v>
      </c>
      <c r="D5" s="26" t="s">
        <v>48</v>
      </c>
      <c r="E5" s="26" t="s">
        <v>48</v>
      </c>
      <c r="F5" s="26" t="s">
        <v>48</v>
      </c>
      <c r="G5" s="26" t="s">
        <v>48</v>
      </c>
      <c r="H5" s="346">
        <v>8</v>
      </c>
      <c r="I5" s="26" t="s">
        <v>839</v>
      </c>
      <c r="J5" s="26" t="s">
        <v>729</v>
      </c>
      <c r="K5" s="1662"/>
      <c r="L5" s="1650"/>
    </row>
    <row r="6" spans="1:12" ht="25.8">
      <c r="A6" s="789" t="s">
        <v>3721</v>
      </c>
      <c r="B6" s="789" t="s">
        <v>3722</v>
      </c>
      <c r="C6" s="110" t="s">
        <v>48</v>
      </c>
      <c r="D6" s="110">
        <v>0</v>
      </c>
      <c r="E6" s="110">
        <v>255</v>
      </c>
      <c r="F6" s="110" t="s">
        <v>3723</v>
      </c>
      <c r="G6" s="110">
        <v>255</v>
      </c>
      <c r="H6" s="114">
        <v>8</v>
      </c>
      <c r="I6" s="110" t="s">
        <v>743</v>
      </c>
      <c r="J6" s="110" t="s">
        <v>729</v>
      </c>
      <c r="K6" s="1662"/>
      <c r="L6" s="1650"/>
    </row>
    <row r="7" spans="1:12">
      <c r="A7" s="691" t="s">
        <v>3724</v>
      </c>
      <c r="B7" s="155" t="s">
        <v>3725</v>
      </c>
      <c r="C7" s="26" t="s">
        <v>48</v>
      </c>
      <c r="D7" s="26" t="s">
        <v>48</v>
      </c>
      <c r="E7" s="26" t="s">
        <v>48</v>
      </c>
      <c r="F7" s="26" t="s">
        <v>48</v>
      </c>
      <c r="G7" s="26" t="s">
        <v>48</v>
      </c>
      <c r="H7" s="26">
        <v>8</v>
      </c>
      <c r="I7" s="26" t="s">
        <v>839</v>
      </c>
      <c r="J7" s="26" t="s">
        <v>729</v>
      </c>
      <c r="K7" s="1662"/>
      <c r="L7" s="1650"/>
    </row>
    <row r="8" spans="1:12" ht="25.8">
      <c r="A8" s="789" t="s">
        <v>3726</v>
      </c>
      <c r="B8" s="789" t="s">
        <v>3727</v>
      </c>
      <c r="C8" s="110" t="s">
        <v>48</v>
      </c>
      <c r="D8" s="110">
        <v>0</v>
      </c>
      <c r="E8" s="110">
        <v>1</v>
      </c>
      <c r="F8" s="110" t="s">
        <v>1055</v>
      </c>
      <c r="G8" s="110">
        <v>0</v>
      </c>
      <c r="H8" s="114">
        <v>8</v>
      </c>
      <c r="I8" s="110" t="s">
        <v>1056</v>
      </c>
      <c r="J8" s="110" t="s">
        <v>729</v>
      </c>
      <c r="K8" s="1662"/>
      <c r="L8" s="1650"/>
    </row>
    <row r="9" spans="1:12" ht="25.8">
      <c r="A9" s="691" t="s">
        <v>3728</v>
      </c>
      <c r="B9" s="691" t="s">
        <v>3729</v>
      </c>
      <c r="C9" s="26" t="s">
        <v>48</v>
      </c>
      <c r="D9" s="26">
        <v>0</v>
      </c>
      <c r="E9" s="26">
        <v>1</v>
      </c>
      <c r="F9" s="26" t="s">
        <v>1055</v>
      </c>
      <c r="G9" s="26">
        <v>0</v>
      </c>
      <c r="H9" s="26">
        <v>8</v>
      </c>
      <c r="I9" s="26" t="s">
        <v>1056</v>
      </c>
      <c r="J9" s="26" t="s">
        <v>729</v>
      </c>
      <c r="K9" s="1662"/>
      <c r="L9" s="1650"/>
    </row>
    <row r="10" spans="1:12" ht="25.8">
      <c r="A10" s="789" t="s">
        <v>3730</v>
      </c>
      <c r="B10" s="789" t="s">
        <v>3731</v>
      </c>
      <c r="C10" s="110" t="s">
        <v>48</v>
      </c>
      <c r="D10" s="110">
        <v>0</v>
      </c>
      <c r="E10" s="110">
        <v>1</v>
      </c>
      <c r="F10" s="110" t="s">
        <v>1055</v>
      </c>
      <c r="G10" s="110">
        <v>0</v>
      </c>
      <c r="H10" s="114">
        <v>8</v>
      </c>
      <c r="I10" s="110" t="s">
        <v>1056</v>
      </c>
      <c r="J10" s="110" t="s">
        <v>729</v>
      </c>
      <c r="K10" s="1662"/>
      <c r="L10" s="1650"/>
    </row>
    <row r="11" spans="1:12" ht="25.8">
      <c r="A11" s="691" t="s">
        <v>3732</v>
      </c>
      <c r="B11" s="691" t="s">
        <v>3733</v>
      </c>
      <c r="C11" s="26" t="s">
        <v>48</v>
      </c>
      <c r="D11" s="26">
        <v>0</v>
      </c>
      <c r="E11" s="26">
        <v>1</v>
      </c>
      <c r="F11" s="26" t="s">
        <v>1055</v>
      </c>
      <c r="G11" s="26">
        <v>0</v>
      </c>
      <c r="H11" s="26">
        <v>8</v>
      </c>
      <c r="I11" s="26" t="s">
        <v>1056</v>
      </c>
      <c r="J11" s="26" t="s">
        <v>729</v>
      </c>
      <c r="K11" s="1662"/>
      <c r="L11" s="1650"/>
    </row>
    <row r="12" spans="1:12" ht="25.8">
      <c r="A12" s="852" t="s">
        <v>3734</v>
      </c>
      <c r="B12" s="789" t="s">
        <v>3735</v>
      </c>
      <c r="C12" s="110" t="s">
        <v>48</v>
      </c>
      <c r="D12" s="110" t="s">
        <v>48</v>
      </c>
      <c r="E12" s="110" t="s">
        <v>48</v>
      </c>
      <c r="F12" s="110" t="s">
        <v>48</v>
      </c>
      <c r="G12" s="110" t="s">
        <v>48</v>
      </c>
      <c r="H12" s="114">
        <v>8</v>
      </c>
      <c r="I12" s="853" t="s">
        <v>839</v>
      </c>
      <c r="J12" s="853" t="s">
        <v>729</v>
      </c>
      <c r="K12" s="1662"/>
      <c r="L12" s="1650"/>
    </row>
    <row r="13" spans="1:12">
      <c r="A13" s="691" t="s">
        <v>3736</v>
      </c>
      <c r="B13" s="854" t="s">
        <v>3737</v>
      </c>
      <c r="C13" s="26" t="s">
        <v>48</v>
      </c>
      <c r="D13" s="26" t="s">
        <v>48</v>
      </c>
      <c r="E13" s="26" t="s">
        <v>48</v>
      </c>
      <c r="F13" s="26" t="s">
        <v>48</v>
      </c>
      <c r="G13" s="26" t="s">
        <v>48</v>
      </c>
      <c r="H13" s="26">
        <v>192</v>
      </c>
      <c r="I13" s="26" t="s">
        <v>3738</v>
      </c>
      <c r="J13" s="26" t="s">
        <v>729</v>
      </c>
      <c r="K13" s="1663"/>
      <c r="L13" s="1664"/>
    </row>
    <row r="14" spans="1:12" ht="46.5" customHeight="1">
      <c r="A14" s="789" t="s">
        <v>3739</v>
      </c>
      <c r="B14" s="789" t="s">
        <v>3740</v>
      </c>
      <c r="C14" s="110" t="s">
        <v>48</v>
      </c>
      <c r="D14" s="110" t="s">
        <v>48</v>
      </c>
      <c r="E14" s="110" t="s">
        <v>48</v>
      </c>
      <c r="F14" s="110" t="s">
        <v>48</v>
      </c>
      <c r="G14" s="110" t="s">
        <v>48</v>
      </c>
      <c r="H14" s="110">
        <v>32</v>
      </c>
      <c r="I14" s="110" t="s">
        <v>728</v>
      </c>
      <c r="J14" s="980" t="s">
        <v>729</v>
      </c>
      <c r="K14" s="1665">
        <v>1</v>
      </c>
      <c r="L14" s="1650" t="s">
        <v>3741</v>
      </c>
    </row>
    <row r="15" spans="1:12">
      <c r="A15" s="691" t="s">
        <v>3742</v>
      </c>
      <c r="B15" s="691" t="s">
        <v>3743</v>
      </c>
      <c r="C15" s="26" t="s">
        <v>48</v>
      </c>
      <c r="D15" s="26" t="s">
        <v>48</v>
      </c>
      <c r="E15" s="26" t="s">
        <v>48</v>
      </c>
      <c r="F15" s="26" t="s">
        <v>48</v>
      </c>
      <c r="G15" s="26" t="s">
        <v>48</v>
      </c>
      <c r="H15" s="26">
        <v>8</v>
      </c>
      <c r="I15" s="26" t="s">
        <v>839</v>
      </c>
      <c r="J15" s="978" t="s">
        <v>729</v>
      </c>
      <c r="K15" s="1665"/>
      <c r="L15" s="1650"/>
    </row>
    <row r="16" spans="1:12">
      <c r="A16" s="789" t="s">
        <v>3744</v>
      </c>
      <c r="B16" s="789" t="s">
        <v>3745</v>
      </c>
      <c r="C16" s="110" t="s">
        <v>48</v>
      </c>
      <c r="D16" s="110" t="s">
        <v>48</v>
      </c>
      <c r="E16" s="110" t="s">
        <v>48</v>
      </c>
      <c r="F16" s="110" t="s">
        <v>48</v>
      </c>
      <c r="G16" s="110" t="s">
        <v>48</v>
      </c>
      <c r="H16" s="114">
        <v>8</v>
      </c>
      <c r="I16" s="110" t="s">
        <v>839</v>
      </c>
      <c r="J16" s="980" t="s">
        <v>729</v>
      </c>
      <c r="K16" s="1665"/>
      <c r="L16" s="1650"/>
    </row>
    <row r="17" spans="1:14">
      <c r="A17" s="691" t="s">
        <v>3746</v>
      </c>
      <c r="B17" s="691" t="s">
        <v>3747</v>
      </c>
      <c r="C17" s="26" t="s">
        <v>48</v>
      </c>
      <c r="D17" s="26" t="s">
        <v>48</v>
      </c>
      <c r="E17" s="26" t="s">
        <v>48</v>
      </c>
      <c r="F17" s="26" t="s">
        <v>48</v>
      </c>
      <c r="G17" s="26" t="s">
        <v>48</v>
      </c>
      <c r="H17" s="26">
        <v>8</v>
      </c>
      <c r="I17" s="26" t="s">
        <v>839</v>
      </c>
      <c r="J17" s="978" t="s">
        <v>729</v>
      </c>
      <c r="K17" s="1665"/>
      <c r="L17" s="1650"/>
    </row>
    <row r="18" spans="1:14" ht="58.9" customHeight="1">
      <c r="A18" s="789" t="s">
        <v>3748</v>
      </c>
      <c r="B18" s="789" t="s">
        <v>3749</v>
      </c>
      <c r="C18" s="110" t="s">
        <v>919</v>
      </c>
      <c r="D18" s="110">
        <v>0</v>
      </c>
      <c r="E18" s="110" t="s">
        <v>920</v>
      </c>
      <c r="F18" s="110" t="s">
        <v>3750</v>
      </c>
      <c r="G18" s="110" t="s">
        <v>920</v>
      </c>
      <c r="H18" s="114">
        <v>32</v>
      </c>
      <c r="I18" s="110" t="s">
        <v>922</v>
      </c>
      <c r="J18" s="980" t="s">
        <v>724</v>
      </c>
      <c r="K18" s="1665"/>
      <c r="L18" s="1650"/>
    </row>
    <row r="19" spans="1:14" ht="86.5" customHeight="1">
      <c r="A19" s="691" t="s">
        <v>3751</v>
      </c>
      <c r="B19" s="691" t="s">
        <v>3752</v>
      </c>
      <c r="C19" s="26" t="s">
        <v>48</v>
      </c>
      <c r="D19" s="26" t="s">
        <v>48</v>
      </c>
      <c r="E19" s="26" t="s">
        <v>48</v>
      </c>
      <c r="F19" s="26" t="s">
        <v>48</v>
      </c>
      <c r="G19" s="26" t="s">
        <v>48</v>
      </c>
      <c r="H19" s="26">
        <v>32</v>
      </c>
      <c r="I19" s="26" t="s">
        <v>1583</v>
      </c>
      <c r="J19" s="978" t="s">
        <v>724</v>
      </c>
      <c r="K19" s="1665"/>
      <c r="L19" s="1650"/>
    </row>
    <row r="20" spans="1:14" ht="105.75" customHeight="1">
      <c r="A20" s="789" t="s">
        <v>3753</v>
      </c>
      <c r="B20" s="789" t="s">
        <v>3754</v>
      </c>
      <c r="C20" s="110" t="s">
        <v>48</v>
      </c>
      <c r="D20" s="110" t="s">
        <v>48</v>
      </c>
      <c r="E20" s="110" t="s">
        <v>48</v>
      </c>
      <c r="F20" s="110" t="s">
        <v>48</v>
      </c>
      <c r="G20" s="110" t="s">
        <v>48</v>
      </c>
      <c r="H20" s="114">
        <v>8</v>
      </c>
      <c r="I20" s="110" t="s">
        <v>3755</v>
      </c>
      <c r="J20" s="980" t="s">
        <v>724</v>
      </c>
      <c r="K20" s="1665"/>
      <c r="L20" s="1650"/>
    </row>
    <row r="21" spans="1:14" ht="45.75" customHeight="1">
      <c r="A21" s="691" t="s">
        <v>3756</v>
      </c>
      <c r="B21" s="854" t="s">
        <v>3757</v>
      </c>
      <c r="C21" s="26" t="s">
        <v>48</v>
      </c>
      <c r="D21" s="26" t="s">
        <v>48</v>
      </c>
      <c r="E21" s="26" t="s">
        <v>48</v>
      </c>
      <c r="F21" s="26" t="s">
        <v>48</v>
      </c>
      <c r="G21" s="26" t="s">
        <v>48</v>
      </c>
      <c r="H21" s="26">
        <v>192</v>
      </c>
      <c r="I21" s="26" t="s">
        <v>3738</v>
      </c>
      <c r="J21" s="978" t="s">
        <v>724</v>
      </c>
      <c r="K21" s="1665"/>
      <c r="L21" s="1650"/>
    </row>
    <row r="22" spans="1:14">
      <c r="A22" s="789" t="s">
        <v>3758</v>
      </c>
      <c r="B22" s="789" t="s">
        <v>3759</v>
      </c>
      <c r="C22" s="110" t="s">
        <v>48</v>
      </c>
      <c r="D22" s="110" t="s">
        <v>48</v>
      </c>
      <c r="E22" s="110" t="s">
        <v>48</v>
      </c>
      <c r="F22" s="110" t="s">
        <v>48</v>
      </c>
      <c r="G22" s="110" t="s">
        <v>48</v>
      </c>
      <c r="H22" s="110">
        <v>192</v>
      </c>
      <c r="I22" s="110" t="s">
        <v>3738</v>
      </c>
      <c r="J22" s="980" t="s">
        <v>729</v>
      </c>
      <c r="K22" s="1665"/>
      <c r="L22" s="1650"/>
    </row>
    <row r="23" spans="1:14" ht="113.25" customHeight="1">
      <c r="A23" s="691" t="s">
        <v>3760</v>
      </c>
      <c r="B23" s="854" t="s">
        <v>3761</v>
      </c>
      <c r="C23" s="26" t="s">
        <v>48</v>
      </c>
      <c r="D23" s="26">
        <v>0</v>
      </c>
      <c r="E23" s="26" t="s">
        <v>920</v>
      </c>
      <c r="F23" s="26" t="s">
        <v>3762</v>
      </c>
      <c r="G23" s="26" t="s">
        <v>920</v>
      </c>
      <c r="H23" s="346">
        <v>32</v>
      </c>
      <c r="I23" s="346" t="s">
        <v>922</v>
      </c>
      <c r="J23" s="981" t="s">
        <v>729</v>
      </c>
      <c r="K23" s="1665"/>
      <c r="L23" s="1650"/>
    </row>
    <row r="24" spans="1:14" ht="114" customHeight="1">
      <c r="A24" s="855" t="s">
        <v>3763</v>
      </c>
      <c r="B24" s="855" t="s">
        <v>3764</v>
      </c>
      <c r="C24" s="856" t="s">
        <v>48</v>
      </c>
      <c r="D24" s="856">
        <v>0</v>
      </c>
      <c r="E24" s="856" t="s">
        <v>920</v>
      </c>
      <c r="F24" s="856" t="s">
        <v>3762</v>
      </c>
      <c r="G24" s="856" t="s">
        <v>920</v>
      </c>
      <c r="H24" s="856">
        <v>32</v>
      </c>
      <c r="I24" s="856" t="s">
        <v>922</v>
      </c>
      <c r="J24" s="982" t="s">
        <v>729</v>
      </c>
      <c r="K24" s="1665"/>
      <c r="L24" s="1650"/>
    </row>
    <row r="25" spans="1:14" ht="51.75" customHeight="1">
      <c r="A25" s="691" t="s">
        <v>3765</v>
      </c>
      <c r="B25" s="691" t="s">
        <v>3766</v>
      </c>
      <c r="C25" s="346" t="s">
        <v>48</v>
      </c>
      <c r="D25" s="346" t="s">
        <v>48</v>
      </c>
      <c r="E25" s="346" t="s">
        <v>48</v>
      </c>
      <c r="F25" s="346" t="s">
        <v>48</v>
      </c>
      <c r="G25" s="346" t="s">
        <v>48</v>
      </c>
      <c r="H25" s="346">
        <v>32</v>
      </c>
      <c r="I25" s="346" t="s">
        <v>728</v>
      </c>
      <c r="J25" s="981" t="s">
        <v>729</v>
      </c>
      <c r="K25" s="1662">
        <v>12</v>
      </c>
      <c r="L25" s="1650" t="s">
        <v>3767</v>
      </c>
    </row>
    <row r="26" spans="1:14">
      <c r="A26" s="789" t="s">
        <v>3768</v>
      </c>
      <c r="B26" s="789" t="s">
        <v>3769</v>
      </c>
      <c r="C26" s="110" t="s">
        <v>48</v>
      </c>
      <c r="D26" s="110" t="s">
        <v>48</v>
      </c>
      <c r="E26" s="110" t="s">
        <v>48</v>
      </c>
      <c r="F26" s="110" t="s">
        <v>48</v>
      </c>
      <c r="G26" s="110" t="s">
        <v>48</v>
      </c>
      <c r="H26" s="114">
        <v>16</v>
      </c>
      <c r="I26" s="110" t="s">
        <v>1544</v>
      </c>
      <c r="J26" s="980" t="s">
        <v>729</v>
      </c>
      <c r="K26" s="1662"/>
      <c r="L26" s="1650"/>
      <c r="N26" s="726"/>
    </row>
    <row r="27" spans="1:14" ht="133.15" customHeight="1">
      <c r="A27" s="691" t="s">
        <v>3770</v>
      </c>
      <c r="B27" s="691" t="s">
        <v>3771</v>
      </c>
      <c r="C27" s="26" t="s">
        <v>919</v>
      </c>
      <c r="D27" s="26">
        <v>0</v>
      </c>
      <c r="E27" s="26">
        <v>255</v>
      </c>
      <c r="F27" s="26" t="s">
        <v>3772</v>
      </c>
      <c r="G27" s="26">
        <v>255</v>
      </c>
      <c r="H27" s="26">
        <v>8</v>
      </c>
      <c r="I27" s="26" t="s">
        <v>743</v>
      </c>
      <c r="J27" s="978" t="s">
        <v>729</v>
      </c>
      <c r="K27" s="1662"/>
      <c r="L27" s="1650"/>
    </row>
    <row r="28" spans="1:14" s="31" customFormat="1">
      <c r="A28" s="789" t="s">
        <v>3773</v>
      </c>
      <c r="B28" s="789" t="s">
        <v>3774</v>
      </c>
      <c r="C28" s="110" t="s">
        <v>48</v>
      </c>
      <c r="D28" s="110" t="s">
        <v>48</v>
      </c>
      <c r="E28" s="110" t="s">
        <v>48</v>
      </c>
      <c r="F28" s="110" t="s">
        <v>48</v>
      </c>
      <c r="G28" s="110" t="s">
        <v>48</v>
      </c>
      <c r="H28" s="110">
        <v>32</v>
      </c>
      <c r="I28" s="110" t="s">
        <v>1583</v>
      </c>
      <c r="J28" s="980" t="s">
        <v>729</v>
      </c>
      <c r="K28" s="1662"/>
      <c r="L28" s="1650"/>
    </row>
    <row r="29" spans="1:14">
      <c r="A29" s="691" t="s">
        <v>3775</v>
      </c>
      <c r="B29" s="155" t="s">
        <v>3776</v>
      </c>
      <c r="C29" s="26" t="s">
        <v>48</v>
      </c>
      <c r="D29" s="26" t="s">
        <v>48</v>
      </c>
      <c r="E29" s="26" t="s">
        <v>48</v>
      </c>
      <c r="F29" s="26" t="s">
        <v>48</v>
      </c>
      <c r="G29" s="26" t="s">
        <v>48</v>
      </c>
      <c r="H29" s="26">
        <v>8</v>
      </c>
      <c r="I29" s="26" t="s">
        <v>839</v>
      </c>
      <c r="J29" s="978" t="s">
        <v>729</v>
      </c>
      <c r="K29" s="1662"/>
      <c r="L29" s="1650"/>
    </row>
    <row r="30" spans="1:14" ht="60" customHeight="1">
      <c r="A30" s="789" t="s">
        <v>3777</v>
      </c>
      <c r="B30" s="789" t="s">
        <v>3778</v>
      </c>
      <c r="C30" s="110" t="s">
        <v>48</v>
      </c>
      <c r="D30" s="110">
        <v>0</v>
      </c>
      <c r="E30" s="110">
        <v>255</v>
      </c>
      <c r="F30" s="110" t="s">
        <v>3779</v>
      </c>
      <c r="G30" s="110">
        <v>255</v>
      </c>
      <c r="H30" s="114">
        <v>8</v>
      </c>
      <c r="I30" s="110" t="s">
        <v>743</v>
      </c>
      <c r="J30" s="980" t="s">
        <v>729</v>
      </c>
      <c r="K30" s="1662"/>
      <c r="L30" s="1650"/>
    </row>
    <row r="31" spans="1:14" ht="87.75" customHeight="1">
      <c r="A31" s="691" t="s">
        <v>3780</v>
      </c>
      <c r="B31" s="691" t="s">
        <v>3781</v>
      </c>
      <c r="C31" s="26" t="s">
        <v>48</v>
      </c>
      <c r="D31" s="26">
        <v>0</v>
      </c>
      <c r="E31" s="26">
        <v>255</v>
      </c>
      <c r="F31" s="26" t="s">
        <v>3782</v>
      </c>
      <c r="G31" s="26">
        <v>255</v>
      </c>
      <c r="H31" s="26">
        <v>8</v>
      </c>
      <c r="I31" s="26" t="s">
        <v>743</v>
      </c>
      <c r="J31" s="978" t="s">
        <v>729</v>
      </c>
      <c r="K31" s="1662"/>
      <c r="L31" s="1650"/>
    </row>
    <row r="32" spans="1:14" ht="42" customHeight="1">
      <c r="A32" s="789" t="s">
        <v>3783</v>
      </c>
      <c r="B32" s="789" t="s">
        <v>3784</v>
      </c>
      <c r="C32" s="110" t="s">
        <v>919</v>
      </c>
      <c r="D32" s="110">
        <v>-50</v>
      </c>
      <c r="E32" s="110" t="s">
        <v>920</v>
      </c>
      <c r="F32" s="110" t="s">
        <v>3785</v>
      </c>
      <c r="G32" s="110" t="s">
        <v>920</v>
      </c>
      <c r="H32" s="114">
        <v>32</v>
      </c>
      <c r="I32" s="110" t="s">
        <v>922</v>
      </c>
      <c r="J32" s="980" t="s">
        <v>729</v>
      </c>
      <c r="K32" s="1662"/>
      <c r="L32" s="1650"/>
    </row>
    <row r="33" spans="1:12" ht="43.5" customHeight="1">
      <c r="A33" s="691" t="s">
        <v>3786</v>
      </c>
      <c r="B33" s="691" t="s">
        <v>3787</v>
      </c>
      <c r="C33" s="26" t="s">
        <v>919</v>
      </c>
      <c r="D33" s="26">
        <v>0</v>
      </c>
      <c r="E33" s="26" t="s">
        <v>920</v>
      </c>
      <c r="F33" s="26" t="s">
        <v>3788</v>
      </c>
      <c r="G33" s="26" t="s">
        <v>920</v>
      </c>
      <c r="H33" s="26">
        <v>32</v>
      </c>
      <c r="I33" s="26" t="s">
        <v>922</v>
      </c>
      <c r="J33" s="978" t="s">
        <v>729</v>
      </c>
      <c r="K33" s="1662"/>
      <c r="L33" s="1650"/>
    </row>
  </sheetData>
  <mergeCells count="9">
    <mergeCell ref="C1:D1"/>
    <mergeCell ref="A2:B2"/>
    <mergeCell ref="K4:K13"/>
    <mergeCell ref="L4:L13"/>
    <mergeCell ref="C2:I2"/>
    <mergeCell ref="K25:K33"/>
    <mergeCell ref="L25:L33"/>
    <mergeCell ref="L14:L24"/>
    <mergeCell ref="K14:K24"/>
  </mergeCells>
  <hyperlinks>
    <hyperlink ref="I1" location="'Revision Map'!A1" display="INDEX" xr:uid="{17CF868E-B5E2-42D7-9BE6-F9B9E465C2F6}"/>
    <hyperlink ref="J1" location="'Cross-FCN_Definitions'!A1" display="Cross-FCN_Definitions" xr:uid="{6FA5FC41-D12E-4927-88B7-28B19D7AF1E5}"/>
    <hyperlink ref="K1" location="Lanes_Definitions!A1" display="Lanes_Definitions" xr:uid="{3B3370EA-AB3F-4549-8659-88E0C10FFBE9}"/>
    <hyperlink ref="L1" location="'AVI_LAP_Debug'!A1" display="AVI_Lanes_Application_Debug" xr:uid="{7E8F6E2B-5919-4402-A122-5AB352A60EBA}"/>
  </hyperlinks>
  <pageMargins left="0.7" right="0.7" top="0.75" bottom="0.75" header="0.3" footer="0.3"/>
  <headerFooter>
    <oddFooter>&amp;C_x000D_&amp;1#&amp;"Calibri"&amp;11&amp;KFF0000 Internal</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E939E-54AA-4A0B-A2DF-5271C74E7F07}">
  <sheetPr codeName="Sheet10"/>
  <dimension ref="A1:E51"/>
  <sheetViews>
    <sheetView workbookViewId="0">
      <pane ySplit="1" topLeftCell="A37" activePane="bottomLeft" state="frozen"/>
      <selection activeCell="C22" activeCellId="1" sqref="A1:AS1 C22"/>
      <selection pane="bottomLeft" activeCell="B51" sqref="B51"/>
    </sheetView>
  </sheetViews>
  <sheetFormatPr defaultColWidth="9.15625" defaultRowHeight="14.4"/>
  <cols>
    <col min="1" max="1" width="11" style="1014" bestFit="1" customWidth="1"/>
    <col min="2" max="2" width="15.68359375" style="40" customWidth="1"/>
    <col min="3" max="3" width="86" customWidth="1"/>
    <col min="4" max="4" width="17.578125" bestFit="1" customWidth="1"/>
    <col min="5" max="5" width="9.68359375" bestFit="1" customWidth="1"/>
  </cols>
  <sheetData>
    <row r="1" spans="1:5">
      <c r="A1" s="1017" t="s">
        <v>644</v>
      </c>
      <c r="B1" s="660" t="s">
        <v>645</v>
      </c>
      <c r="C1" s="643" t="s">
        <v>646</v>
      </c>
      <c r="D1" s="643" t="s">
        <v>647</v>
      </c>
      <c r="E1" s="644" t="s">
        <v>648</v>
      </c>
    </row>
    <row r="2" spans="1:5">
      <c r="A2" s="629">
        <v>0</v>
      </c>
      <c r="B2" s="188">
        <v>44300</v>
      </c>
      <c r="C2" s="584" t="s">
        <v>3677</v>
      </c>
      <c r="D2" s="585" t="s">
        <v>3678</v>
      </c>
      <c r="E2" s="586" t="s">
        <v>655</v>
      </c>
    </row>
    <row r="3" spans="1:5" ht="244.8">
      <c r="A3" s="629">
        <v>1</v>
      </c>
      <c r="B3" s="188">
        <v>44305</v>
      </c>
      <c r="C3" s="576" t="s">
        <v>3789</v>
      </c>
      <c r="D3" s="585" t="s">
        <v>3678</v>
      </c>
      <c r="E3" s="586" t="s">
        <v>655</v>
      </c>
    </row>
    <row r="4" spans="1:5">
      <c r="A4" s="629">
        <v>1</v>
      </c>
      <c r="B4" s="51">
        <v>44340</v>
      </c>
      <c r="C4" s="585" t="s">
        <v>3680</v>
      </c>
      <c r="D4" s="585" t="s">
        <v>3678</v>
      </c>
      <c r="E4" s="586" t="s">
        <v>651</v>
      </c>
    </row>
    <row r="5" spans="1:5" ht="43.2">
      <c r="A5" s="1010">
        <v>1.1000000000000001</v>
      </c>
      <c r="B5" s="51">
        <v>44651</v>
      </c>
      <c r="C5" s="576" t="s">
        <v>3790</v>
      </c>
      <c r="D5" s="5" t="s">
        <v>654</v>
      </c>
      <c r="E5" s="598" t="s">
        <v>655</v>
      </c>
    </row>
    <row r="6" spans="1:5" ht="57.6">
      <c r="A6" s="1010">
        <v>1.2</v>
      </c>
      <c r="B6" s="51">
        <v>44662</v>
      </c>
      <c r="C6" s="576" t="s">
        <v>3791</v>
      </c>
      <c r="D6" s="5" t="s">
        <v>654</v>
      </c>
      <c r="E6" s="598" t="s">
        <v>655</v>
      </c>
    </row>
    <row r="7" spans="1:5" ht="100.8">
      <c r="A7" s="1010">
        <v>1.3</v>
      </c>
      <c r="B7" s="51">
        <v>44664</v>
      </c>
      <c r="C7" s="576" t="s">
        <v>3792</v>
      </c>
      <c r="D7" s="5" t="s">
        <v>796</v>
      </c>
      <c r="E7" s="5" t="s">
        <v>655</v>
      </c>
    </row>
    <row r="8" spans="1:5" ht="72">
      <c r="A8" s="1010">
        <v>1.4</v>
      </c>
      <c r="B8" s="51">
        <v>44687</v>
      </c>
      <c r="C8" s="614" t="s">
        <v>3793</v>
      </c>
      <c r="D8" s="5" t="s">
        <v>796</v>
      </c>
      <c r="E8" s="5" t="s">
        <v>655</v>
      </c>
    </row>
    <row r="9" spans="1:5">
      <c r="A9" s="1010">
        <v>1.4</v>
      </c>
      <c r="B9" s="51">
        <v>44688</v>
      </c>
      <c r="C9" s="576" t="s">
        <v>3794</v>
      </c>
      <c r="D9" s="5"/>
      <c r="E9" s="5"/>
    </row>
    <row r="10" spans="1:5">
      <c r="A10" s="1010">
        <v>1.4</v>
      </c>
      <c r="B10" s="51">
        <v>44691</v>
      </c>
      <c r="C10" s="5" t="s">
        <v>999</v>
      </c>
      <c r="D10" s="5" t="s">
        <v>658</v>
      </c>
      <c r="E10" s="5" t="s">
        <v>655</v>
      </c>
    </row>
    <row r="11" spans="1:5" ht="158.4">
      <c r="A11" s="1010">
        <v>1.5</v>
      </c>
      <c r="B11" s="51">
        <v>44693</v>
      </c>
      <c r="C11" s="613" t="s">
        <v>3795</v>
      </c>
      <c r="D11" s="5" t="s">
        <v>796</v>
      </c>
      <c r="E11" s="5" t="s">
        <v>655</v>
      </c>
    </row>
    <row r="12" spans="1:5">
      <c r="A12" s="1010">
        <v>1.5</v>
      </c>
      <c r="B12" s="51">
        <v>44693</v>
      </c>
      <c r="C12" s="5" t="s">
        <v>3210</v>
      </c>
      <c r="D12" s="5" t="s">
        <v>658</v>
      </c>
      <c r="E12" s="5" t="s">
        <v>655</v>
      </c>
    </row>
    <row r="13" spans="1:5" ht="43.2">
      <c r="A13" s="1010">
        <v>1.6</v>
      </c>
      <c r="B13" s="51">
        <v>44694</v>
      </c>
      <c r="C13" s="613" t="s">
        <v>3796</v>
      </c>
      <c r="D13" s="5" t="s">
        <v>796</v>
      </c>
      <c r="E13" s="5" t="s">
        <v>655</v>
      </c>
    </row>
    <row r="14" spans="1:5">
      <c r="A14" s="1010">
        <v>1.7</v>
      </c>
      <c r="B14" s="51">
        <v>44694</v>
      </c>
      <c r="C14" s="174" t="s">
        <v>3797</v>
      </c>
      <c r="D14" s="5" t="s">
        <v>796</v>
      </c>
      <c r="E14" s="5" t="s">
        <v>655</v>
      </c>
    </row>
    <row r="15" spans="1:5" ht="28.8">
      <c r="A15" s="1010">
        <v>1.8</v>
      </c>
      <c r="B15" s="51">
        <v>44697</v>
      </c>
      <c r="C15" s="576" t="s">
        <v>3798</v>
      </c>
      <c r="D15" s="5" t="s">
        <v>3176</v>
      </c>
      <c r="E15" s="5" t="s">
        <v>655</v>
      </c>
    </row>
    <row r="16" spans="1:5">
      <c r="A16" s="1010">
        <v>1.8</v>
      </c>
      <c r="B16" s="51">
        <v>44701</v>
      </c>
      <c r="C16" s="5" t="s">
        <v>3799</v>
      </c>
      <c r="D16" s="5" t="s">
        <v>658</v>
      </c>
      <c r="E16" s="5" t="s">
        <v>655</v>
      </c>
    </row>
    <row r="17" spans="1:5">
      <c r="A17" s="1010">
        <v>1.9</v>
      </c>
      <c r="B17" s="51">
        <v>44706</v>
      </c>
      <c r="C17" s="5" t="s">
        <v>1593</v>
      </c>
      <c r="D17" s="5" t="s">
        <v>3176</v>
      </c>
      <c r="E17" s="5" t="s">
        <v>655</v>
      </c>
    </row>
    <row r="18" spans="1:5">
      <c r="A18" s="1010">
        <v>1.9</v>
      </c>
      <c r="B18" s="51">
        <v>44706</v>
      </c>
      <c r="C18" s="5" t="s">
        <v>1594</v>
      </c>
      <c r="D18" s="5" t="s">
        <v>658</v>
      </c>
      <c r="E18" s="5" t="s">
        <v>655</v>
      </c>
    </row>
    <row r="19" spans="1:5">
      <c r="A19" s="1010">
        <v>2</v>
      </c>
      <c r="B19" s="51">
        <v>44713</v>
      </c>
      <c r="C19" s="5" t="s">
        <v>3800</v>
      </c>
      <c r="D19" s="5" t="s">
        <v>3176</v>
      </c>
      <c r="E19" s="5" t="s">
        <v>651</v>
      </c>
    </row>
    <row r="20" spans="1:5">
      <c r="A20" s="1010">
        <v>2</v>
      </c>
      <c r="B20" s="51">
        <v>44719</v>
      </c>
      <c r="C20" s="5" t="s">
        <v>660</v>
      </c>
      <c r="D20" s="5" t="s">
        <v>654</v>
      </c>
      <c r="E20" s="5" t="s">
        <v>661</v>
      </c>
    </row>
    <row r="21" spans="1:5" ht="100.8">
      <c r="A21" s="1010">
        <v>2.1</v>
      </c>
      <c r="B21" s="51">
        <v>44729</v>
      </c>
      <c r="C21" s="576" t="s">
        <v>3801</v>
      </c>
      <c r="D21" s="5" t="s">
        <v>3176</v>
      </c>
      <c r="E21" s="5" t="s">
        <v>655</v>
      </c>
    </row>
    <row r="22" spans="1:5">
      <c r="A22" s="1010">
        <v>2.1</v>
      </c>
      <c r="B22" s="51">
        <v>44735</v>
      </c>
      <c r="C22" s="5" t="s">
        <v>3802</v>
      </c>
      <c r="D22" s="5" t="s">
        <v>658</v>
      </c>
      <c r="E22" s="5" t="s">
        <v>655</v>
      </c>
    </row>
    <row r="23" spans="1:5">
      <c r="A23" s="1010">
        <v>2.1</v>
      </c>
      <c r="B23" s="51">
        <v>44735</v>
      </c>
      <c r="C23" s="5" t="s">
        <v>3803</v>
      </c>
      <c r="D23" s="5" t="s">
        <v>3176</v>
      </c>
      <c r="E23" s="5" t="s">
        <v>655</v>
      </c>
    </row>
    <row r="24" spans="1:5">
      <c r="A24" s="1010">
        <v>3</v>
      </c>
      <c r="B24" s="51">
        <v>44735</v>
      </c>
      <c r="C24" s="5" t="s">
        <v>3804</v>
      </c>
      <c r="D24" s="5" t="s">
        <v>3176</v>
      </c>
      <c r="E24" s="5" t="s">
        <v>651</v>
      </c>
    </row>
    <row r="25" spans="1:5">
      <c r="A25" s="1010">
        <v>3</v>
      </c>
      <c r="B25" s="51">
        <v>44741</v>
      </c>
      <c r="C25" s="615" t="s">
        <v>3805</v>
      </c>
      <c r="D25" s="5" t="s">
        <v>3176</v>
      </c>
      <c r="E25" s="5" t="s">
        <v>651</v>
      </c>
    </row>
    <row r="26" spans="1:5">
      <c r="A26" s="1010">
        <v>3.1</v>
      </c>
      <c r="B26" s="51">
        <v>44743</v>
      </c>
      <c r="C26" s="576" t="s">
        <v>3806</v>
      </c>
      <c r="D26" s="5" t="s">
        <v>654</v>
      </c>
      <c r="E26" s="5" t="s">
        <v>655</v>
      </c>
    </row>
    <row r="27" spans="1:5">
      <c r="A27" s="1010">
        <v>4</v>
      </c>
      <c r="B27" s="51">
        <v>44743</v>
      </c>
      <c r="C27" s="5" t="s">
        <v>3805</v>
      </c>
      <c r="D27" s="5" t="s">
        <v>3176</v>
      </c>
      <c r="E27" s="5" t="s">
        <v>651</v>
      </c>
    </row>
    <row r="28" spans="1:5">
      <c r="A28" s="1010">
        <v>4</v>
      </c>
      <c r="B28" s="51">
        <v>44743</v>
      </c>
      <c r="C28" s="5" t="s">
        <v>667</v>
      </c>
      <c r="D28" s="5" t="s">
        <v>654</v>
      </c>
      <c r="E28" s="5" t="s">
        <v>661</v>
      </c>
    </row>
    <row r="29" spans="1:5" ht="28.8">
      <c r="A29" s="1010">
        <v>4.0999999999999996</v>
      </c>
      <c r="B29" s="188">
        <v>44895</v>
      </c>
      <c r="C29" s="584" t="s">
        <v>1363</v>
      </c>
      <c r="D29" s="585" t="s">
        <v>3176</v>
      </c>
      <c r="E29" s="586" t="s">
        <v>655</v>
      </c>
    </row>
    <row r="30" spans="1:5" ht="43.2">
      <c r="A30" s="1010">
        <v>4.2</v>
      </c>
      <c r="B30" s="51">
        <v>44896</v>
      </c>
      <c r="C30" s="1002" t="s">
        <v>3807</v>
      </c>
      <c r="D30" s="5" t="s">
        <v>3176</v>
      </c>
      <c r="E30" s="5" t="s">
        <v>655</v>
      </c>
    </row>
    <row r="31" spans="1:5" ht="100.8">
      <c r="A31" s="1010">
        <v>4.3</v>
      </c>
      <c r="B31" s="51">
        <v>44897</v>
      </c>
      <c r="C31" s="576" t="s">
        <v>3808</v>
      </c>
      <c r="D31" s="5" t="s">
        <v>3176</v>
      </c>
      <c r="E31" s="5" t="s">
        <v>655</v>
      </c>
    </row>
    <row r="32" spans="1:5">
      <c r="A32" s="1010">
        <v>4.3</v>
      </c>
      <c r="B32" s="188">
        <v>44903</v>
      </c>
      <c r="C32" s="576" t="s">
        <v>1599</v>
      </c>
      <c r="D32" s="5" t="s">
        <v>676</v>
      </c>
      <c r="E32" s="5" t="s">
        <v>655</v>
      </c>
    </row>
    <row r="33" spans="1:5">
      <c r="A33" s="1010">
        <v>4.3</v>
      </c>
      <c r="B33" s="51">
        <v>44937</v>
      </c>
      <c r="C33" s="607" t="s">
        <v>677</v>
      </c>
      <c r="D33" s="5" t="s">
        <v>678</v>
      </c>
      <c r="E33" s="5" t="s">
        <v>655</v>
      </c>
    </row>
    <row r="34" spans="1:5">
      <c r="A34" s="629">
        <v>4.3</v>
      </c>
      <c r="B34" s="188">
        <v>44945</v>
      </c>
      <c r="C34" s="584" t="s">
        <v>1373</v>
      </c>
      <c r="D34" s="585" t="s">
        <v>1001</v>
      </c>
      <c r="E34" s="586" t="s">
        <v>655</v>
      </c>
    </row>
    <row r="35" spans="1:5">
      <c r="A35" s="1010">
        <v>4.3</v>
      </c>
      <c r="B35" s="51">
        <v>44946</v>
      </c>
      <c r="C35" s="576" t="s">
        <v>3809</v>
      </c>
      <c r="D35" s="5" t="s">
        <v>676</v>
      </c>
      <c r="E35" s="5" t="s">
        <v>655</v>
      </c>
    </row>
    <row r="36" spans="1:5">
      <c r="A36" s="1010">
        <v>4.4000000000000004</v>
      </c>
      <c r="B36" s="51">
        <v>44949</v>
      </c>
      <c r="C36" s="5" t="s">
        <v>3810</v>
      </c>
      <c r="D36" s="5" t="s">
        <v>1001</v>
      </c>
      <c r="E36" s="5" t="s">
        <v>655</v>
      </c>
    </row>
    <row r="37" spans="1:5">
      <c r="A37" s="1010">
        <v>4.4000000000000004</v>
      </c>
      <c r="B37" s="51">
        <v>44949</v>
      </c>
      <c r="C37" s="5" t="s">
        <v>3811</v>
      </c>
      <c r="D37" s="5" t="s">
        <v>678</v>
      </c>
      <c r="E37" s="5" t="s">
        <v>655</v>
      </c>
    </row>
    <row r="38" spans="1:5">
      <c r="A38" s="1010">
        <v>4.5</v>
      </c>
      <c r="B38" s="51">
        <v>44950</v>
      </c>
      <c r="C38" s="576" t="s">
        <v>3812</v>
      </c>
      <c r="D38" s="5" t="s">
        <v>1001</v>
      </c>
      <c r="E38" s="5" t="s">
        <v>655</v>
      </c>
    </row>
    <row r="39" spans="1:5">
      <c r="A39" s="1010">
        <v>4.5</v>
      </c>
      <c r="B39" s="51">
        <v>44953</v>
      </c>
      <c r="C39" s="5" t="s">
        <v>3811</v>
      </c>
      <c r="D39" s="5" t="s">
        <v>658</v>
      </c>
      <c r="E39" s="5" t="s">
        <v>655</v>
      </c>
    </row>
    <row r="40" spans="1:5">
      <c r="A40" s="1010">
        <v>4.5999999999999996</v>
      </c>
      <c r="B40" s="51">
        <v>44956</v>
      </c>
      <c r="C40" s="5" t="s">
        <v>3813</v>
      </c>
      <c r="D40" s="5" t="s">
        <v>658</v>
      </c>
      <c r="E40" s="5" t="s">
        <v>655</v>
      </c>
    </row>
    <row r="41" spans="1:5">
      <c r="A41" s="1010">
        <v>5</v>
      </c>
      <c r="B41" s="51">
        <v>44956</v>
      </c>
      <c r="C41" s="576" t="s">
        <v>3697</v>
      </c>
      <c r="D41" s="5" t="s">
        <v>658</v>
      </c>
      <c r="E41" s="5" t="s">
        <v>651</v>
      </c>
    </row>
    <row r="42" spans="1:5">
      <c r="A42" s="1010">
        <v>5</v>
      </c>
      <c r="B42" s="51">
        <v>44957</v>
      </c>
      <c r="C42" s="5" t="s">
        <v>687</v>
      </c>
      <c r="D42" s="5" t="s">
        <v>676</v>
      </c>
      <c r="E42" s="5" t="s">
        <v>661</v>
      </c>
    </row>
    <row r="43" spans="1:5">
      <c r="A43" s="1010">
        <v>5</v>
      </c>
      <c r="B43" s="51">
        <v>44970</v>
      </c>
      <c r="C43" s="5" t="s">
        <v>691</v>
      </c>
      <c r="D43" s="5" t="s">
        <v>676</v>
      </c>
      <c r="E43" s="5" t="s">
        <v>661</v>
      </c>
    </row>
    <row r="44" spans="1:5">
      <c r="A44" s="1010">
        <v>6</v>
      </c>
      <c r="B44" s="51">
        <v>44994</v>
      </c>
      <c r="C44" s="5" t="s">
        <v>3698</v>
      </c>
      <c r="D44" s="5" t="s">
        <v>3176</v>
      </c>
      <c r="E44" s="5" t="s">
        <v>651</v>
      </c>
    </row>
    <row r="45" spans="1:5">
      <c r="A45" s="1010">
        <v>6</v>
      </c>
      <c r="B45" s="191">
        <v>44998</v>
      </c>
      <c r="C45" s="5" t="s">
        <v>692</v>
      </c>
      <c r="D45" s="5" t="s">
        <v>678</v>
      </c>
      <c r="E45" s="5" t="s">
        <v>661</v>
      </c>
    </row>
    <row r="46" spans="1:5">
      <c r="A46" s="1010" t="s">
        <v>1452</v>
      </c>
      <c r="B46" s="51">
        <v>45078</v>
      </c>
      <c r="C46" s="5" t="s">
        <v>3701</v>
      </c>
      <c r="D46" s="585" t="s">
        <v>678</v>
      </c>
      <c r="E46" s="5" t="s">
        <v>651</v>
      </c>
    </row>
    <row r="47" spans="1:5">
      <c r="A47" s="1010" t="s">
        <v>1452</v>
      </c>
      <c r="B47" s="191">
        <v>45078</v>
      </c>
      <c r="C47" s="5" t="s">
        <v>699</v>
      </c>
      <c r="D47" s="5" t="s">
        <v>678</v>
      </c>
      <c r="E47" s="5" t="s">
        <v>661</v>
      </c>
    </row>
    <row r="48" spans="1:5">
      <c r="A48" s="629" t="s">
        <v>59</v>
      </c>
      <c r="B48" s="188">
        <v>45097</v>
      </c>
      <c r="C48" s="584" t="s">
        <v>818</v>
      </c>
      <c r="D48" s="585" t="s">
        <v>678</v>
      </c>
      <c r="E48" s="586" t="s">
        <v>655</v>
      </c>
    </row>
    <row r="49" spans="1:5">
      <c r="A49" s="629" t="s">
        <v>1454</v>
      </c>
      <c r="B49" s="188">
        <v>45097</v>
      </c>
      <c r="C49" s="5" t="s">
        <v>3701</v>
      </c>
      <c r="D49" s="585" t="s">
        <v>678</v>
      </c>
      <c r="E49" s="586" t="s">
        <v>651</v>
      </c>
    </row>
    <row r="50" spans="1:5">
      <c r="A50" s="1012" t="s">
        <v>1454</v>
      </c>
      <c r="B50" s="191">
        <v>45097</v>
      </c>
      <c r="C50" s="594" t="s">
        <v>700</v>
      </c>
      <c r="D50" s="595" t="s">
        <v>678</v>
      </c>
      <c r="E50" s="596" t="s">
        <v>661</v>
      </c>
    </row>
    <row r="51" spans="1:5">
      <c r="A51" s="1012" t="s">
        <v>1454</v>
      </c>
      <c r="B51" s="1065">
        <v>45205</v>
      </c>
      <c r="C51" s="595" t="s">
        <v>701</v>
      </c>
      <c r="D51" s="595" t="s">
        <v>678</v>
      </c>
      <c r="E51" s="596" t="s">
        <v>661</v>
      </c>
    </row>
  </sheetData>
  <pageMargins left="0.7" right="0.7" top="0.75" bottom="0.75" header="0.3" footer="0.3"/>
  <pageSetup paperSize="9" orientation="portrait" horizontalDpi="300" verticalDpi="300" r:id="rId1"/>
  <headerFooter>
    <oddFooter>&amp;C_x000D_&amp;1#&amp;"Calibri"&amp;11&amp;KFF0000 Internal</oddFooter>
  </headerFooter>
  <tableParts count="1">
    <tablePart r:id="rId2"/>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A20CB-4ECE-49EF-BE48-F5B209D9BC64}">
  <sheetPr codeName="Sheet82"/>
  <dimension ref="A1:L8"/>
  <sheetViews>
    <sheetView workbookViewId="0">
      <selection activeCell="C2" sqref="C2:I2"/>
    </sheetView>
  </sheetViews>
  <sheetFormatPr defaultColWidth="9.15625" defaultRowHeight="14.4"/>
  <cols>
    <col min="1" max="1" width="35.68359375" customWidth="1"/>
    <col min="2" max="2" width="42" customWidth="1"/>
    <col min="6" max="6" width="15.83984375" customWidth="1"/>
    <col min="9" max="9" width="24.578125" customWidth="1"/>
    <col min="10" max="10" width="14" customWidth="1"/>
    <col min="11" max="11" width="20" customWidth="1"/>
    <col min="12" max="12" width="34.83984375" customWidth="1"/>
  </cols>
  <sheetData>
    <row r="1" spans="1:12">
      <c r="A1" s="336" t="s">
        <v>104</v>
      </c>
      <c r="B1" s="339" t="s">
        <v>96</v>
      </c>
      <c r="C1" s="1564" t="s">
        <v>106</v>
      </c>
      <c r="D1" s="1565"/>
      <c r="E1" s="337">
        <v>4</v>
      </c>
      <c r="F1" s="1308" t="s">
        <v>702</v>
      </c>
      <c r="G1" s="1309">
        <v>784</v>
      </c>
      <c r="H1" s="1308"/>
      <c r="I1" s="1308"/>
      <c r="J1" s="1310" t="s">
        <v>69</v>
      </c>
      <c r="K1" s="1310" t="s">
        <v>703</v>
      </c>
      <c r="L1" s="514" t="s">
        <v>78</v>
      </c>
    </row>
    <row r="2" spans="1:12" ht="120" customHeight="1">
      <c r="A2" s="1566" t="s">
        <v>3161</v>
      </c>
      <c r="B2" s="1567"/>
      <c r="C2" s="1550" t="s">
        <v>1457</v>
      </c>
      <c r="D2" s="1551"/>
      <c r="E2" s="1551"/>
      <c r="F2" s="1551"/>
      <c r="G2" s="1551"/>
      <c r="H2" s="1551"/>
      <c r="I2" s="1552"/>
      <c r="J2" s="240" t="s">
        <v>707</v>
      </c>
      <c r="K2" s="1311" t="s">
        <v>1384</v>
      </c>
      <c r="L2" s="18"/>
    </row>
    <row r="3" spans="1:12" ht="25.8">
      <c r="A3" s="1312" t="s">
        <v>709</v>
      </c>
      <c r="B3" s="1313" t="s">
        <v>710</v>
      </c>
      <c r="C3" s="80" t="s">
        <v>711</v>
      </c>
      <c r="D3" s="80" t="s">
        <v>712</v>
      </c>
      <c r="E3" s="80" t="s">
        <v>713</v>
      </c>
      <c r="F3" s="80" t="s">
        <v>714</v>
      </c>
      <c r="G3" s="344" t="s">
        <v>715</v>
      </c>
      <c r="H3" s="80" t="s">
        <v>716</v>
      </c>
      <c r="I3" s="80" t="s">
        <v>717</v>
      </c>
      <c r="J3" s="80" t="s">
        <v>718</v>
      </c>
      <c r="K3" s="357" t="s">
        <v>719</v>
      </c>
      <c r="L3" s="80" t="s">
        <v>720</v>
      </c>
    </row>
    <row r="4" spans="1:12">
      <c r="A4" s="1001" t="s">
        <v>3814</v>
      </c>
      <c r="B4" s="1001" t="s">
        <v>722</v>
      </c>
      <c r="C4" s="418" t="s">
        <v>48</v>
      </c>
      <c r="D4" s="418" t="s">
        <v>48</v>
      </c>
      <c r="E4" s="418" t="s">
        <v>48</v>
      </c>
      <c r="F4" s="418" t="s">
        <v>48</v>
      </c>
      <c r="G4" s="418" t="s">
        <v>48</v>
      </c>
      <c r="H4" s="418">
        <v>216</v>
      </c>
      <c r="I4" s="418" t="s">
        <v>723</v>
      </c>
      <c r="J4" s="345" t="s">
        <v>724</v>
      </c>
      <c r="K4" s="1667">
        <v>1</v>
      </c>
      <c r="L4" s="1668" t="s">
        <v>3815</v>
      </c>
    </row>
    <row r="5" spans="1:12" ht="28.8">
      <c r="A5" s="360" t="s">
        <v>3816</v>
      </c>
      <c r="B5" s="359" t="s">
        <v>1619</v>
      </c>
      <c r="C5" s="345" t="s">
        <v>48</v>
      </c>
      <c r="D5" s="345">
        <v>0</v>
      </c>
      <c r="E5" s="345">
        <v>65535</v>
      </c>
      <c r="F5" s="345" t="s">
        <v>1620</v>
      </c>
      <c r="G5" s="345">
        <v>65535</v>
      </c>
      <c r="H5" s="346">
        <v>16</v>
      </c>
      <c r="I5" s="347" t="s">
        <v>991</v>
      </c>
      <c r="J5" s="347" t="s">
        <v>729</v>
      </c>
      <c r="K5" s="1667"/>
      <c r="L5" s="1668"/>
    </row>
    <row r="6" spans="1:12">
      <c r="A6" s="358" t="s">
        <v>3817</v>
      </c>
      <c r="B6" s="359" t="s">
        <v>3818</v>
      </c>
      <c r="C6" s="345" t="s">
        <v>48</v>
      </c>
      <c r="D6" s="345" t="s">
        <v>48</v>
      </c>
      <c r="E6" s="345" t="s">
        <v>48</v>
      </c>
      <c r="F6" s="345" t="s">
        <v>48</v>
      </c>
      <c r="G6" s="345" t="s">
        <v>48</v>
      </c>
      <c r="H6" s="345">
        <v>72</v>
      </c>
      <c r="I6" s="345" t="s">
        <v>3707</v>
      </c>
      <c r="J6" s="347" t="s">
        <v>729</v>
      </c>
      <c r="K6" s="353">
        <v>1</v>
      </c>
      <c r="L6" s="354" t="s">
        <v>3819</v>
      </c>
    </row>
    <row r="7" spans="1:12" ht="28.8">
      <c r="A7" s="115" t="s">
        <v>3820</v>
      </c>
      <c r="B7" s="116" t="s">
        <v>3166</v>
      </c>
      <c r="C7" s="10" t="s">
        <v>48</v>
      </c>
      <c r="D7" s="10">
        <v>0</v>
      </c>
      <c r="E7" s="10">
        <v>255</v>
      </c>
      <c r="F7" s="9" t="s">
        <v>3167</v>
      </c>
      <c r="G7" s="10">
        <v>255</v>
      </c>
      <c r="H7" s="10">
        <v>8</v>
      </c>
      <c r="I7" s="10" t="s">
        <v>743</v>
      </c>
      <c r="J7" s="10" t="s">
        <v>729</v>
      </c>
      <c r="K7" s="1591">
        <v>12</v>
      </c>
      <c r="L7" s="1666" t="s">
        <v>3821</v>
      </c>
    </row>
    <row r="8" spans="1:12">
      <c r="A8" s="704" t="s">
        <v>3822</v>
      </c>
      <c r="B8" s="400" t="s">
        <v>3170</v>
      </c>
      <c r="C8" s="373" t="s">
        <v>48</v>
      </c>
      <c r="D8" s="373" t="s">
        <v>48</v>
      </c>
      <c r="E8" s="373" t="s">
        <v>48</v>
      </c>
      <c r="F8" s="373" t="s">
        <v>48</v>
      </c>
      <c r="G8" s="373" t="s">
        <v>48</v>
      </c>
      <c r="H8" s="373">
        <v>32</v>
      </c>
      <c r="I8" s="705" t="s">
        <v>3171</v>
      </c>
      <c r="J8" s="373" t="s">
        <v>729</v>
      </c>
      <c r="K8" s="1591"/>
      <c r="L8" s="1666"/>
    </row>
  </sheetData>
  <mergeCells count="7">
    <mergeCell ref="K7:K8"/>
    <mergeCell ref="L7:L8"/>
    <mergeCell ref="C1:D1"/>
    <mergeCell ref="A2:B2"/>
    <mergeCell ref="C2:I2"/>
    <mergeCell ref="K4:K5"/>
    <mergeCell ref="L4:L5"/>
  </mergeCells>
  <conditionalFormatting sqref="B6:J6 C5:J5">
    <cfRule type="expression" dxfId="373" priority="3">
      <formula>MOD(ROW(), 2)=0</formula>
    </cfRule>
  </conditionalFormatting>
  <conditionalFormatting sqref="K4">
    <cfRule type="expression" dxfId="372" priority="2">
      <formula>MOD(ROW(), 2)=0</formula>
    </cfRule>
  </conditionalFormatting>
  <conditionalFormatting sqref="J4">
    <cfRule type="expression" dxfId="371" priority="1">
      <formula>MOD(ROW(), 2)=0</formula>
    </cfRule>
  </conditionalFormatting>
  <hyperlinks>
    <hyperlink ref="J1" location="'Revision Map'!A1" display="INDEX" xr:uid="{2D30A5FF-E84C-49EB-A989-01E321F242E1}"/>
    <hyperlink ref="K1" location="'Cross-FCN_Definitions'!A1" display="Cross-FCN_Definitions" xr:uid="{D13C5123-8437-4899-A0BE-D73B15228EB5}"/>
    <hyperlink ref="L1" location="'AVI_Lanes_Applications'!A1" display="AVI_Lanes_Applications" xr:uid="{5A5DD90D-CEBA-46E3-8924-468DB2B664F0}"/>
  </hyperlinks>
  <pageMargins left="0.7" right="0.7" top="0.75" bottom="0.75" header="0.3" footer="0.3"/>
  <headerFooter>
    <oddFooter>&amp;C_x000D_&amp;1#&amp;"Calibri"&amp;11&amp;KFF0000 Internal</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3C71F-61CD-46C4-BDB2-54353EF22F44}">
  <sheetPr codeName="Sheet83"/>
  <dimension ref="A1:E22"/>
  <sheetViews>
    <sheetView topLeftCell="A13" workbookViewId="0">
      <selection activeCell="B22" sqref="B22"/>
    </sheetView>
  </sheetViews>
  <sheetFormatPr defaultColWidth="9.15625" defaultRowHeight="14.4"/>
  <cols>
    <col min="1" max="1" width="11" style="1014" bestFit="1" customWidth="1"/>
    <col min="2" max="2" width="31.68359375" customWidth="1"/>
    <col min="3" max="3" width="44.26171875" bestFit="1" customWidth="1"/>
    <col min="4" max="4" width="18.41796875" customWidth="1"/>
    <col min="5" max="5" width="11.578125" bestFit="1" customWidth="1"/>
  </cols>
  <sheetData>
    <row r="1" spans="1:5">
      <c r="A1" s="670" t="s">
        <v>644</v>
      </c>
      <c r="B1" s="642" t="s">
        <v>645</v>
      </c>
      <c r="C1" s="643" t="s">
        <v>646</v>
      </c>
      <c r="D1" s="643" t="s">
        <v>647</v>
      </c>
      <c r="E1" s="644" t="s">
        <v>793</v>
      </c>
    </row>
    <row r="2" spans="1:5" ht="16.5" customHeight="1">
      <c r="A2" s="628">
        <v>0.1</v>
      </c>
      <c r="B2" s="356">
        <v>44953</v>
      </c>
      <c r="C2" s="589" t="s">
        <v>3823</v>
      </c>
      <c r="D2" s="590" t="s">
        <v>678</v>
      </c>
      <c r="E2" s="591" t="s">
        <v>655</v>
      </c>
    </row>
    <row r="3" spans="1:5">
      <c r="A3" s="1010">
        <v>0.1</v>
      </c>
      <c r="B3" s="51">
        <v>44953</v>
      </c>
      <c r="C3" s="5" t="s">
        <v>3824</v>
      </c>
      <c r="D3" s="5" t="s">
        <v>658</v>
      </c>
      <c r="E3" s="5" t="s">
        <v>655</v>
      </c>
    </row>
    <row r="4" spans="1:5">
      <c r="A4" s="1011">
        <v>0.2</v>
      </c>
      <c r="B4" s="515">
        <v>44953</v>
      </c>
      <c r="C4" s="419" t="s">
        <v>3825</v>
      </c>
      <c r="D4" s="616" t="s">
        <v>678</v>
      </c>
      <c r="E4" s="419" t="s">
        <v>655</v>
      </c>
    </row>
    <row r="5" spans="1:5">
      <c r="A5" s="1010">
        <v>0.2</v>
      </c>
      <c r="B5" s="51">
        <v>44953</v>
      </c>
      <c r="C5" s="5" t="s">
        <v>3826</v>
      </c>
      <c r="D5" s="5" t="s">
        <v>658</v>
      </c>
      <c r="E5" s="5" t="s">
        <v>655</v>
      </c>
    </row>
    <row r="6" spans="1:5">
      <c r="A6" s="1011">
        <v>0.3</v>
      </c>
      <c r="B6" s="515">
        <v>44956</v>
      </c>
      <c r="C6" s="419" t="s">
        <v>3827</v>
      </c>
      <c r="D6" s="419" t="s">
        <v>658</v>
      </c>
      <c r="E6" s="419" t="s">
        <v>655</v>
      </c>
    </row>
    <row r="7" spans="1:5">
      <c r="A7" s="1010">
        <v>1</v>
      </c>
      <c r="B7" s="51">
        <v>44956</v>
      </c>
      <c r="C7" s="615" t="s">
        <v>3713</v>
      </c>
      <c r="D7" s="5" t="s">
        <v>658</v>
      </c>
      <c r="E7" s="5" t="s">
        <v>651</v>
      </c>
    </row>
    <row r="8" spans="1:5">
      <c r="A8" s="1010">
        <v>1</v>
      </c>
      <c r="B8" s="51">
        <v>44957</v>
      </c>
      <c r="C8" s="5" t="s">
        <v>687</v>
      </c>
      <c r="D8" s="5" t="s">
        <v>676</v>
      </c>
      <c r="E8" s="5" t="s">
        <v>661</v>
      </c>
    </row>
    <row r="9" spans="1:5">
      <c r="A9" s="1010">
        <v>1</v>
      </c>
      <c r="B9" s="51">
        <v>44970</v>
      </c>
      <c r="C9" s="2" t="s">
        <v>691</v>
      </c>
      <c r="D9" s="5" t="s">
        <v>676</v>
      </c>
      <c r="E9" s="5" t="s">
        <v>661</v>
      </c>
    </row>
    <row r="10" spans="1:5" ht="100.8">
      <c r="A10" s="1010">
        <v>1.1000000000000001</v>
      </c>
      <c r="B10" s="51">
        <v>44987</v>
      </c>
      <c r="C10" s="2" t="s">
        <v>1630</v>
      </c>
      <c r="D10" s="5" t="s">
        <v>3176</v>
      </c>
      <c r="E10" s="5" t="s">
        <v>655</v>
      </c>
    </row>
    <row r="11" spans="1:5">
      <c r="A11" s="1010">
        <v>1.2</v>
      </c>
      <c r="B11" s="743" t="s">
        <v>3828</v>
      </c>
      <c r="C11" t="s">
        <v>3829</v>
      </c>
      <c r="D11" s="5" t="s">
        <v>3700</v>
      </c>
      <c r="E11" s="5" t="s">
        <v>655</v>
      </c>
    </row>
    <row r="12" spans="1:5">
      <c r="A12" s="1010">
        <v>1.2</v>
      </c>
      <c r="B12" s="51">
        <v>44994</v>
      </c>
      <c r="C12" s="615" t="s">
        <v>3830</v>
      </c>
      <c r="D12" s="5" t="s">
        <v>658</v>
      </c>
      <c r="E12" s="5" t="s">
        <v>655</v>
      </c>
    </row>
    <row r="13" spans="1:5">
      <c r="A13" s="1010">
        <v>2</v>
      </c>
      <c r="B13" s="51">
        <v>44994</v>
      </c>
      <c r="C13" t="s">
        <v>3714</v>
      </c>
      <c r="D13" s="5" t="s">
        <v>658</v>
      </c>
      <c r="E13" s="5" t="s">
        <v>651</v>
      </c>
    </row>
    <row r="14" spans="1:5">
      <c r="A14" s="1010">
        <v>2</v>
      </c>
      <c r="B14" s="191">
        <v>44998</v>
      </c>
      <c r="C14" s="2" t="s">
        <v>692</v>
      </c>
      <c r="D14" s="5" t="s">
        <v>678</v>
      </c>
      <c r="E14" s="5" t="s">
        <v>661</v>
      </c>
    </row>
    <row r="15" spans="1:5">
      <c r="A15" s="1010">
        <v>2.1</v>
      </c>
      <c r="B15" s="191">
        <v>45077</v>
      </c>
      <c r="C15" t="s">
        <v>3177</v>
      </c>
      <c r="D15" s="5" t="s">
        <v>3176</v>
      </c>
      <c r="E15" s="5" t="s">
        <v>655</v>
      </c>
    </row>
    <row r="16" spans="1:5">
      <c r="A16" s="1011" t="s">
        <v>663</v>
      </c>
      <c r="B16" s="515">
        <v>45078</v>
      </c>
      <c r="C16" s="1034" t="s">
        <v>3711</v>
      </c>
      <c r="D16" s="419" t="s">
        <v>658</v>
      </c>
      <c r="E16" s="419" t="s">
        <v>655</v>
      </c>
    </row>
    <row r="17" spans="1:5">
      <c r="A17" s="1010" t="s">
        <v>666</v>
      </c>
      <c r="B17" s="51">
        <v>45078</v>
      </c>
      <c r="C17" s="576" t="s">
        <v>3715</v>
      </c>
      <c r="D17" s="5" t="s">
        <v>678</v>
      </c>
      <c r="E17" s="5" t="s">
        <v>651</v>
      </c>
    </row>
    <row r="18" spans="1:5">
      <c r="A18" s="1010" t="s">
        <v>666</v>
      </c>
      <c r="B18" s="191">
        <v>45078</v>
      </c>
      <c r="C18" s="5" t="s">
        <v>699</v>
      </c>
      <c r="D18" s="5" t="s">
        <v>678</v>
      </c>
      <c r="E18" s="5" t="s">
        <v>661</v>
      </c>
    </row>
    <row r="19" spans="1:5">
      <c r="A19" s="1010" t="s">
        <v>668</v>
      </c>
      <c r="B19" s="188">
        <v>45097</v>
      </c>
      <c r="C19" s="584" t="s">
        <v>818</v>
      </c>
      <c r="D19" s="585" t="s">
        <v>678</v>
      </c>
      <c r="E19" s="586" t="s">
        <v>655</v>
      </c>
    </row>
    <row r="20" spans="1:5">
      <c r="A20" s="1010" t="s">
        <v>686</v>
      </c>
      <c r="B20" s="188">
        <v>45097</v>
      </c>
      <c r="C20" s="576" t="s">
        <v>3715</v>
      </c>
      <c r="D20" s="585" t="s">
        <v>678</v>
      </c>
      <c r="E20" s="586" t="s">
        <v>651</v>
      </c>
    </row>
    <row r="21" spans="1:5">
      <c r="A21" s="1010" t="s">
        <v>686</v>
      </c>
      <c r="B21" s="191">
        <v>45097</v>
      </c>
      <c r="C21" s="594" t="s">
        <v>700</v>
      </c>
      <c r="D21" s="595" t="s">
        <v>678</v>
      </c>
      <c r="E21" s="596" t="s">
        <v>661</v>
      </c>
    </row>
    <row r="22" spans="1:5">
      <c r="A22" s="1010" t="s">
        <v>686</v>
      </c>
      <c r="B22" s="1065">
        <v>45205</v>
      </c>
      <c r="C22" s="595" t="s">
        <v>701</v>
      </c>
      <c r="D22" s="595" t="s">
        <v>678</v>
      </c>
      <c r="E22" s="596" t="s">
        <v>661</v>
      </c>
    </row>
  </sheetData>
  <pageMargins left="0.7" right="0.7" top="0.75" bottom="0.75" header="0.3" footer="0.3"/>
  <headerFooter>
    <oddFooter>&amp;C_x000D_&amp;1#&amp;"Calibri"&amp;11&amp;KFF0000 Internal</oddFooter>
  </headerFooter>
  <tableParts count="1">
    <tablePart r:id="rId1"/>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664C5A-93A7-47FD-8A46-FE4A559C5773}">
  <sheetPr codeName="Sheet11"/>
  <dimension ref="A1:N23"/>
  <sheetViews>
    <sheetView topLeftCell="B1" zoomScale="110" zoomScaleNormal="110" workbookViewId="0">
      <pane ySplit="3" topLeftCell="A5" activePane="bottomLeft" state="frozen"/>
      <selection activeCell="J3" sqref="J3"/>
      <selection pane="bottomLeft" activeCell="L1" sqref="L1"/>
    </sheetView>
  </sheetViews>
  <sheetFormatPr defaultColWidth="9.15625" defaultRowHeight="14.4"/>
  <cols>
    <col min="1" max="1" width="56.578125" style="5" bestFit="1" customWidth="1"/>
    <col min="2" max="2" width="29.68359375" style="5" customWidth="1"/>
    <col min="3" max="3" width="7.26171875" style="5" customWidth="1"/>
    <col min="4" max="4" width="7" customWidth="1"/>
    <col min="5" max="5" width="7.26171875" customWidth="1"/>
    <col min="6" max="6" width="17.578125" customWidth="1"/>
    <col min="7" max="7" width="10" style="30" customWidth="1"/>
    <col min="8" max="8" width="7.578125" customWidth="1"/>
    <col min="9" max="9" width="19.26171875" customWidth="1"/>
    <col min="10" max="10" width="21.578125" customWidth="1"/>
    <col min="11" max="11" width="23.26171875" customWidth="1"/>
    <col min="12" max="12" width="21.68359375" customWidth="1"/>
    <col min="13" max="13" width="8.15625" customWidth="1"/>
    <col min="14" max="14" width="9.41796875" customWidth="1"/>
  </cols>
  <sheetData>
    <row r="1" spans="1:14">
      <c r="A1" s="55" t="s">
        <v>3659</v>
      </c>
      <c r="B1" s="172" t="s">
        <v>75</v>
      </c>
      <c r="C1" s="1651" t="s">
        <v>106</v>
      </c>
      <c r="D1" s="1651"/>
      <c r="E1" s="1351">
        <v>6</v>
      </c>
      <c r="F1" s="1352" t="s">
        <v>702</v>
      </c>
      <c r="G1" s="1351">
        <v>1968</v>
      </c>
      <c r="H1" s="1352"/>
      <c r="I1" s="1310" t="s">
        <v>69</v>
      </c>
      <c r="J1" s="1314" t="s">
        <v>703</v>
      </c>
      <c r="K1" s="574" t="s">
        <v>3660</v>
      </c>
      <c r="L1" s="513" t="s">
        <v>93</v>
      </c>
    </row>
    <row r="2" spans="1:14" ht="218.25" customHeight="1">
      <c r="A2" s="785" t="s">
        <v>3661</v>
      </c>
      <c r="B2" s="56"/>
      <c r="C2" s="1669" t="s">
        <v>3831</v>
      </c>
      <c r="D2" s="1659"/>
      <c r="E2" s="1659"/>
      <c r="F2" s="1659"/>
      <c r="G2" s="1659"/>
      <c r="H2" s="1659"/>
      <c r="I2" s="1660"/>
      <c r="J2" s="240" t="s">
        <v>707</v>
      </c>
      <c r="K2" s="1277" t="s">
        <v>1384</v>
      </c>
      <c r="L2" s="513"/>
      <c r="N2" s="2"/>
    </row>
    <row r="3" spans="1:14">
      <c r="A3" s="850" t="s">
        <v>709</v>
      </c>
      <c r="B3" s="102" t="s">
        <v>710</v>
      </c>
      <c r="C3" s="102" t="s">
        <v>711</v>
      </c>
      <c r="D3" s="102" t="s">
        <v>712</v>
      </c>
      <c r="E3" s="102" t="s">
        <v>713</v>
      </c>
      <c r="F3" s="102" t="s">
        <v>714</v>
      </c>
      <c r="G3" s="103" t="s">
        <v>715</v>
      </c>
      <c r="H3" s="102" t="s">
        <v>716</v>
      </c>
      <c r="I3" s="102" t="s">
        <v>717</v>
      </c>
      <c r="J3" s="478" t="s">
        <v>718</v>
      </c>
      <c r="K3" s="1361" t="s">
        <v>719</v>
      </c>
      <c r="L3" s="58" t="s">
        <v>720</v>
      </c>
    </row>
    <row r="4" spans="1:14" ht="25.8">
      <c r="A4" s="691" t="s">
        <v>3832</v>
      </c>
      <c r="B4" s="691" t="s">
        <v>1386</v>
      </c>
      <c r="C4" s="26" t="s">
        <v>48</v>
      </c>
      <c r="D4" s="26" t="s">
        <v>48</v>
      </c>
      <c r="E4" s="26" t="s">
        <v>48</v>
      </c>
      <c r="F4" s="26" t="s">
        <v>48</v>
      </c>
      <c r="G4" s="26" t="s">
        <v>48</v>
      </c>
      <c r="H4" s="346">
        <v>216</v>
      </c>
      <c r="I4" s="26" t="s">
        <v>723</v>
      </c>
      <c r="J4" s="26" t="s">
        <v>724</v>
      </c>
      <c r="K4" s="1591">
        <v>1</v>
      </c>
      <c r="L4" s="1654" t="s">
        <v>3833</v>
      </c>
    </row>
    <row r="5" spans="1:14" ht="25.8">
      <c r="A5" s="691" t="s">
        <v>3834</v>
      </c>
      <c r="B5" s="691" t="s">
        <v>3666</v>
      </c>
      <c r="C5" s="26" t="s">
        <v>48</v>
      </c>
      <c r="D5" s="26">
        <v>0</v>
      </c>
      <c r="E5" s="26">
        <v>255</v>
      </c>
      <c r="F5" s="26" t="s">
        <v>3835</v>
      </c>
      <c r="G5" s="26">
        <v>255</v>
      </c>
      <c r="H5" s="346">
        <v>8</v>
      </c>
      <c r="I5" s="26" t="s">
        <v>743</v>
      </c>
      <c r="J5" s="26" t="s">
        <v>729</v>
      </c>
      <c r="K5" s="1591"/>
      <c r="L5" s="1654"/>
    </row>
    <row r="6" spans="1:14" ht="38.700000000000003">
      <c r="A6" s="691" t="s">
        <v>3836</v>
      </c>
      <c r="B6" s="691" t="s">
        <v>3837</v>
      </c>
      <c r="C6" s="26" t="s">
        <v>919</v>
      </c>
      <c r="D6" s="26">
        <v>0</v>
      </c>
      <c r="E6" s="26" t="s">
        <v>920</v>
      </c>
      <c r="F6" s="26" t="s">
        <v>3329</v>
      </c>
      <c r="G6" s="26" t="s">
        <v>920</v>
      </c>
      <c r="H6" s="346">
        <v>32</v>
      </c>
      <c r="I6" s="26" t="s">
        <v>922</v>
      </c>
      <c r="J6" s="26" t="s">
        <v>729</v>
      </c>
      <c r="K6" s="1595"/>
      <c r="L6" s="1655"/>
    </row>
    <row r="7" spans="1:14" ht="51.6">
      <c r="A7" s="691" t="s">
        <v>3838</v>
      </c>
      <c r="B7" s="691" t="s">
        <v>3839</v>
      </c>
      <c r="C7" s="26" t="s">
        <v>48</v>
      </c>
      <c r="D7" s="26" t="s">
        <v>48</v>
      </c>
      <c r="E7" s="26" t="s">
        <v>48</v>
      </c>
      <c r="F7" s="26" t="s">
        <v>48</v>
      </c>
      <c r="G7" s="26" t="s">
        <v>48</v>
      </c>
      <c r="H7" s="346">
        <v>32</v>
      </c>
      <c r="I7" s="26" t="s">
        <v>728</v>
      </c>
      <c r="J7" s="978" t="s">
        <v>729</v>
      </c>
      <c r="K7" s="1591">
        <v>2</v>
      </c>
      <c r="L7" s="1650" t="s">
        <v>3840</v>
      </c>
    </row>
    <row r="8" spans="1:14" ht="25.8">
      <c r="A8" s="691" t="s">
        <v>3841</v>
      </c>
      <c r="B8" s="691" t="s">
        <v>3672</v>
      </c>
      <c r="C8" s="26" t="s">
        <v>48</v>
      </c>
      <c r="D8" s="26" t="s">
        <v>48</v>
      </c>
      <c r="E8" s="26" t="s">
        <v>48</v>
      </c>
      <c r="F8" s="26" t="s">
        <v>48</v>
      </c>
      <c r="G8" s="26" t="s">
        <v>48</v>
      </c>
      <c r="H8" s="346">
        <v>592</v>
      </c>
      <c r="I8" s="26" t="s">
        <v>3673</v>
      </c>
      <c r="J8" s="978" t="s">
        <v>724</v>
      </c>
      <c r="K8" s="1591"/>
      <c r="L8" s="1650"/>
    </row>
    <row r="9" spans="1:14" ht="25.8">
      <c r="A9" s="691" t="s">
        <v>3842</v>
      </c>
      <c r="B9" s="691" t="s">
        <v>3675</v>
      </c>
      <c r="C9" s="26" t="s">
        <v>48</v>
      </c>
      <c r="D9" s="26" t="s">
        <v>48</v>
      </c>
      <c r="E9" s="26" t="s">
        <v>48</v>
      </c>
      <c r="F9" s="26" t="s">
        <v>48</v>
      </c>
      <c r="G9" s="26" t="s">
        <v>48</v>
      </c>
      <c r="H9" s="346">
        <v>232</v>
      </c>
      <c r="I9" s="26" t="s">
        <v>3676</v>
      </c>
      <c r="J9" s="978" t="s">
        <v>724</v>
      </c>
      <c r="K9" s="1591"/>
      <c r="L9" s="1650"/>
    </row>
    <row r="10" spans="1:14">
      <c r="A10"/>
      <c r="B10"/>
      <c r="C10"/>
      <c r="G10"/>
    </row>
    <row r="14" spans="1:14" ht="17.5" customHeight="1"/>
    <row r="15" spans="1:14" ht="19.149999999999999" customHeight="1"/>
    <row r="16" spans="1:14" ht="18" customHeight="1"/>
    <row r="17" spans="1:7" ht="15" customHeight="1"/>
    <row r="18" spans="1:7" ht="15" customHeight="1"/>
    <row r="20" spans="1:7">
      <c r="A20"/>
      <c r="B20"/>
      <c r="C20"/>
      <c r="G20"/>
    </row>
    <row r="21" spans="1:7">
      <c r="A21"/>
      <c r="B21"/>
      <c r="C21"/>
      <c r="G21"/>
    </row>
    <row r="22" spans="1:7">
      <c r="A22"/>
      <c r="B22"/>
      <c r="C22"/>
      <c r="G22"/>
    </row>
    <row r="23" spans="1:7">
      <c r="A23"/>
      <c r="B23"/>
      <c r="C23"/>
      <c r="G23"/>
    </row>
  </sheetData>
  <mergeCells count="6">
    <mergeCell ref="C1:D1"/>
    <mergeCell ref="K4:K6"/>
    <mergeCell ref="L4:L6"/>
    <mergeCell ref="C2:I2"/>
    <mergeCell ref="K7:K9"/>
    <mergeCell ref="L7:L9"/>
  </mergeCells>
  <hyperlinks>
    <hyperlink ref="I1" location="'Revision Map'!A1" display="INDEX" xr:uid="{62AB3B04-3ABA-4332-B629-293D61F04B0E}"/>
    <hyperlink ref="J1" location="'Cross-FCN_Definitions'!A1" display="Cross-FCN_Definitions" xr:uid="{2968D1D6-C797-43A9-9C6B-E706F703FA1C}"/>
    <hyperlink ref="K1" location="Lanes_Definitions!A1" display="Lanes_Definitions" xr:uid="{A14B836F-AD3D-4384-81B9-EDC66A5F9BF1}"/>
    <hyperlink ref="L1" location="'AVI_Lanes_Host_Debug'!A1" display="AVI_Lanes_Host_Debug" xr:uid="{A8A25B03-EC08-4157-94DF-F6A652007D77}"/>
  </hyperlinks>
  <pageMargins left="0.7" right="0.7" top="0.75" bottom="0.75" header="0.3" footer="0.3"/>
  <pageSetup paperSize="9" orientation="portrait" r:id="rId1"/>
  <headerFooter>
    <oddFooter>&amp;C_x000D_&amp;1#&amp;"Calibri"&amp;11&amp;KFF0000 Internal</oddFooter>
  </headerFooter>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4D0F0-53A7-4A77-B3D1-9800B5D391F4}">
  <sheetPr codeName="Sheet12"/>
  <dimension ref="A1:E42"/>
  <sheetViews>
    <sheetView workbookViewId="0">
      <pane ySplit="1" topLeftCell="A30" activePane="bottomLeft" state="frozen"/>
      <selection activeCell="C22" activeCellId="1" sqref="A1:AS1 C22"/>
      <selection pane="bottomLeft" activeCell="B42" sqref="B42"/>
    </sheetView>
  </sheetViews>
  <sheetFormatPr defaultColWidth="9.15625" defaultRowHeight="14.4"/>
  <cols>
    <col min="1" max="1" width="11" style="1014" bestFit="1" customWidth="1"/>
    <col min="2" max="2" width="11.41796875" style="40" customWidth="1"/>
    <col min="3" max="3" width="66.26171875" bestFit="1" customWidth="1"/>
    <col min="4" max="4" width="17.578125" bestFit="1" customWidth="1"/>
    <col min="5" max="5" width="9.68359375" bestFit="1" customWidth="1"/>
  </cols>
  <sheetData>
    <row r="1" spans="1:5">
      <c r="A1" s="1017" t="s">
        <v>644</v>
      </c>
      <c r="B1" s="660" t="s">
        <v>645</v>
      </c>
      <c r="C1" s="643" t="s">
        <v>646</v>
      </c>
      <c r="D1" s="643" t="s">
        <v>647</v>
      </c>
      <c r="E1" s="644" t="s">
        <v>648</v>
      </c>
    </row>
    <row r="2" spans="1:5">
      <c r="A2" s="629">
        <v>0</v>
      </c>
      <c r="B2" s="188">
        <v>44300</v>
      </c>
      <c r="C2" s="584" t="s">
        <v>3677</v>
      </c>
      <c r="D2" s="585" t="s">
        <v>3678</v>
      </c>
      <c r="E2" s="586" t="s">
        <v>655</v>
      </c>
    </row>
    <row r="3" spans="1:5" ht="216">
      <c r="A3" s="629">
        <v>0.1</v>
      </c>
      <c r="B3" s="617">
        <v>44301</v>
      </c>
      <c r="C3" s="618" t="s">
        <v>3843</v>
      </c>
      <c r="D3" s="187" t="s">
        <v>3678</v>
      </c>
      <c r="E3" s="187" t="s">
        <v>655</v>
      </c>
    </row>
    <row r="4" spans="1:5">
      <c r="A4" s="629">
        <v>1</v>
      </c>
      <c r="B4" s="188">
        <v>44340</v>
      </c>
      <c r="C4" s="585" t="s">
        <v>3680</v>
      </c>
      <c r="D4" s="585" t="s">
        <v>3678</v>
      </c>
      <c r="E4" s="586" t="s">
        <v>651</v>
      </c>
    </row>
    <row r="5" spans="1:5">
      <c r="A5" s="629">
        <v>1</v>
      </c>
      <c r="B5" s="617">
        <v>44341</v>
      </c>
      <c r="C5" s="597"/>
      <c r="D5" s="585" t="s">
        <v>654</v>
      </c>
      <c r="E5" s="586" t="s">
        <v>661</v>
      </c>
    </row>
    <row r="6" spans="1:5">
      <c r="A6" s="629">
        <v>1</v>
      </c>
      <c r="B6" s="188">
        <v>44452</v>
      </c>
      <c r="C6" s="585" t="s">
        <v>1345</v>
      </c>
      <c r="D6" s="585" t="s">
        <v>654</v>
      </c>
      <c r="E6" s="586" t="s">
        <v>661</v>
      </c>
    </row>
    <row r="7" spans="1:5" ht="43.2">
      <c r="A7" s="629">
        <v>1.1000000000000001</v>
      </c>
      <c r="B7" s="188">
        <v>44662</v>
      </c>
      <c r="C7" s="584" t="s">
        <v>3844</v>
      </c>
      <c r="D7" s="585" t="s">
        <v>654</v>
      </c>
      <c r="E7" s="586" t="s">
        <v>655</v>
      </c>
    </row>
    <row r="8" spans="1:5">
      <c r="A8" s="1010">
        <v>1.2</v>
      </c>
      <c r="B8" s="51">
        <v>44665</v>
      </c>
      <c r="C8" s="5" t="s">
        <v>3845</v>
      </c>
      <c r="D8" s="5" t="s">
        <v>796</v>
      </c>
      <c r="E8" s="5" t="s">
        <v>655</v>
      </c>
    </row>
    <row r="9" spans="1:5" ht="43.2">
      <c r="A9" s="1010">
        <v>1.3</v>
      </c>
      <c r="B9" s="188">
        <v>44685</v>
      </c>
      <c r="C9" s="612" t="s">
        <v>3846</v>
      </c>
      <c r="D9" s="5" t="s">
        <v>654</v>
      </c>
      <c r="E9" s="5" t="s">
        <v>655</v>
      </c>
    </row>
    <row r="10" spans="1:5">
      <c r="A10" s="1010">
        <v>1.4</v>
      </c>
      <c r="B10" s="51">
        <v>44687</v>
      </c>
      <c r="C10" s="174" t="s">
        <v>1427</v>
      </c>
      <c r="D10" s="5" t="s">
        <v>654</v>
      </c>
      <c r="E10" s="5" t="s">
        <v>655</v>
      </c>
    </row>
    <row r="11" spans="1:5">
      <c r="A11" s="1010">
        <v>1.4</v>
      </c>
      <c r="B11" s="51">
        <v>44691</v>
      </c>
      <c r="C11" s="5" t="s">
        <v>3210</v>
      </c>
      <c r="D11" s="5" t="s">
        <v>658</v>
      </c>
      <c r="E11" s="5" t="s">
        <v>655</v>
      </c>
    </row>
    <row r="12" spans="1:5">
      <c r="A12" s="1010">
        <v>1.5</v>
      </c>
      <c r="B12" s="51">
        <v>44693</v>
      </c>
      <c r="C12" s="5" t="s">
        <v>3685</v>
      </c>
      <c r="D12" s="5" t="s">
        <v>654</v>
      </c>
      <c r="E12" s="5" t="s">
        <v>655</v>
      </c>
    </row>
    <row r="13" spans="1:5">
      <c r="A13" s="1010">
        <v>1.5</v>
      </c>
      <c r="B13" s="51">
        <v>44693</v>
      </c>
      <c r="C13" s="5" t="s">
        <v>3686</v>
      </c>
      <c r="D13" s="5" t="s">
        <v>658</v>
      </c>
      <c r="E13" s="5" t="s">
        <v>655</v>
      </c>
    </row>
    <row r="14" spans="1:5">
      <c r="A14" s="1010">
        <v>1.6</v>
      </c>
      <c r="B14" s="51">
        <v>44706</v>
      </c>
      <c r="C14" s="5" t="s">
        <v>3688</v>
      </c>
      <c r="D14" s="5" t="s">
        <v>654</v>
      </c>
      <c r="E14" s="5" t="s">
        <v>655</v>
      </c>
    </row>
    <row r="15" spans="1:5">
      <c r="A15" s="1010">
        <v>1.6</v>
      </c>
      <c r="B15" s="51">
        <v>44706</v>
      </c>
      <c r="C15" s="5" t="s">
        <v>3847</v>
      </c>
      <c r="D15" s="5" t="s">
        <v>658</v>
      </c>
      <c r="E15" s="5" t="s">
        <v>655</v>
      </c>
    </row>
    <row r="16" spans="1:5">
      <c r="A16" s="1010">
        <v>2</v>
      </c>
      <c r="B16" s="51">
        <v>44713</v>
      </c>
      <c r="C16" s="5" t="s">
        <v>3689</v>
      </c>
      <c r="D16" s="5" t="s">
        <v>654</v>
      </c>
      <c r="E16" s="5" t="s">
        <v>651</v>
      </c>
    </row>
    <row r="17" spans="1:5">
      <c r="A17" s="1010">
        <v>2</v>
      </c>
      <c r="B17" s="51">
        <v>44719</v>
      </c>
      <c r="C17" s="5" t="s">
        <v>660</v>
      </c>
      <c r="D17" s="5" t="s">
        <v>654</v>
      </c>
      <c r="E17" s="5" t="s">
        <v>661</v>
      </c>
    </row>
    <row r="18" spans="1:5" ht="28.8">
      <c r="A18" s="1010">
        <v>2</v>
      </c>
      <c r="B18" s="51">
        <v>44728</v>
      </c>
      <c r="C18" s="576" t="s">
        <v>3690</v>
      </c>
      <c r="D18" s="5" t="s">
        <v>654</v>
      </c>
      <c r="E18" s="5" t="s">
        <v>651</v>
      </c>
    </row>
    <row r="19" spans="1:5" ht="28.8">
      <c r="A19" s="1010">
        <v>2</v>
      </c>
      <c r="B19" s="51">
        <v>44741</v>
      </c>
      <c r="C19" s="576" t="s">
        <v>3691</v>
      </c>
      <c r="D19" s="5" t="s">
        <v>654</v>
      </c>
      <c r="E19" s="5" t="s">
        <v>651</v>
      </c>
    </row>
    <row r="20" spans="1:5">
      <c r="A20" s="1010">
        <v>2.1</v>
      </c>
      <c r="B20" s="51">
        <v>44742</v>
      </c>
      <c r="C20" s="576" t="s">
        <v>3848</v>
      </c>
      <c r="D20" s="5" t="s">
        <v>654</v>
      </c>
      <c r="E20" s="5" t="s">
        <v>655</v>
      </c>
    </row>
    <row r="21" spans="1:5" ht="28.8">
      <c r="A21" s="1010">
        <v>2.1</v>
      </c>
      <c r="B21" s="51">
        <v>44742</v>
      </c>
      <c r="C21" s="576" t="s">
        <v>3691</v>
      </c>
      <c r="D21" s="5" t="s">
        <v>654</v>
      </c>
      <c r="E21" s="5" t="s">
        <v>651</v>
      </c>
    </row>
    <row r="22" spans="1:5">
      <c r="A22" s="1010">
        <v>3</v>
      </c>
      <c r="B22" s="51">
        <v>44742</v>
      </c>
      <c r="C22" s="576" t="s">
        <v>667</v>
      </c>
      <c r="D22" s="5" t="s">
        <v>654</v>
      </c>
      <c r="E22" s="5" t="s">
        <v>661</v>
      </c>
    </row>
    <row r="23" spans="1:5" ht="28.8">
      <c r="A23" s="1010">
        <v>3.1</v>
      </c>
      <c r="B23" s="188">
        <v>44895</v>
      </c>
      <c r="C23" s="584" t="s">
        <v>1363</v>
      </c>
      <c r="D23" s="585" t="s">
        <v>683</v>
      </c>
      <c r="E23" s="586" t="s">
        <v>655</v>
      </c>
    </row>
    <row r="24" spans="1:5" ht="72">
      <c r="A24" s="1010">
        <v>3.2</v>
      </c>
      <c r="B24" s="51">
        <v>44897</v>
      </c>
      <c r="C24" s="576" t="s">
        <v>3849</v>
      </c>
      <c r="D24" s="5" t="s">
        <v>683</v>
      </c>
      <c r="E24" s="5" t="s">
        <v>655</v>
      </c>
    </row>
    <row r="25" spans="1:5">
      <c r="A25" s="1010">
        <v>3.2</v>
      </c>
      <c r="B25" s="188">
        <v>44902</v>
      </c>
      <c r="C25" s="576" t="s">
        <v>1599</v>
      </c>
      <c r="D25" s="5" t="s">
        <v>676</v>
      </c>
      <c r="E25" s="5" t="s">
        <v>655</v>
      </c>
    </row>
    <row r="26" spans="1:5">
      <c r="A26" s="1010">
        <v>3.2</v>
      </c>
      <c r="B26" s="188">
        <v>44904</v>
      </c>
      <c r="C26" s="576" t="s">
        <v>3850</v>
      </c>
      <c r="D26" s="5" t="s">
        <v>683</v>
      </c>
      <c r="E26" s="5" t="s">
        <v>655</v>
      </c>
    </row>
    <row r="27" spans="1:5">
      <c r="A27" s="1010">
        <v>3.2</v>
      </c>
      <c r="B27" s="188">
        <v>44904</v>
      </c>
      <c r="C27" s="576" t="s">
        <v>3694</v>
      </c>
      <c r="D27" s="5" t="s">
        <v>676</v>
      </c>
      <c r="E27" s="5" t="s">
        <v>655</v>
      </c>
    </row>
    <row r="28" spans="1:5">
      <c r="A28" s="1010">
        <v>3.2</v>
      </c>
      <c r="B28" s="51">
        <v>44937</v>
      </c>
      <c r="C28" s="607" t="s">
        <v>677</v>
      </c>
      <c r="D28" s="5" t="s">
        <v>678</v>
      </c>
      <c r="E28" s="5" t="s">
        <v>655</v>
      </c>
    </row>
    <row r="29" spans="1:5">
      <c r="A29" s="629">
        <v>3.3</v>
      </c>
      <c r="B29" s="188">
        <v>44945</v>
      </c>
      <c r="C29" s="584" t="s">
        <v>1373</v>
      </c>
      <c r="D29" s="585" t="s">
        <v>1001</v>
      </c>
      <c r="E29" s="586" t="s">
        <v>655</v>
      </c>
    </row>
    <row r="30" spans="1:5">
      <c r="A30" s="1010">
        <v>3.3</v>
      </c>
      <c r="B30" s="51">
        <v>44953</v>
      </c>
      <c r="C30" s="5" t="s">
        <v>3695</v>
      </c>
      <c r="D30" s="5" t="s">
        <v>658</v>
      </c>
      <c r="E30" s="5" t="s">
        <v>655</v>
      </c>
    </row>
    <row r="31" spans="1:5">
      <c r="A31" s="1010">
        <v>3.4</v>
      </c>
      <c r="B31" s="51">
        <v>44956</v>
      </c>
      <c r="C31" s="5" t="s">
        <v>3851</v>
      </c>
      <c r="D31" s="5" t="s">
        <v>658</v>
      </c>
      <c r="E31" s="5" t="s">
        <v>655</v>
      </c>
    </row>
    <row r="32" spans="1:5">
      <c r="A32" s="1010">
        <v>4</v>
      </c>
      <c r="B32" s="51">
        <v>44956</v>
      </c>
      <c r="C32" s="576" t="s">
        <v>3697</v>
      </c>
      <c r="D32" s="5" t="s">
        <v>658</v>
      </c>
      <c r="E32" s="5" t="s">
        <v>651</v>
      </c>
    </row>
    <row r="33" spans="1:5">
      <c r="A33" s="1010">
        <v>4</v>
      </c>
      <c r="B33" s="51">
        <v>44957</v>
      </c>
      <c r="C33" s="5" t="s">
        <v>687</v>
      </c>
      <c r="D33" s="5" t="s">
        <v>676</v>
      </c>
      <c r="E33" s="5" t="s">
        <v>661</v>
      </c>
    </row>
    <row r="34" spans="1:5">
      <c r="A34" s="1010">
        <v>4</v>
      </c>
      <c r="B34" s="51">
        <v>44970</v>
      </c>
      <c r="C34" s="2" t="s">
        <v>691</v>
      </c>
      <c r="D34" s="5" t="s">
        <v>676</v>
      </c>
      <c r="E34" s="5" t="s">
        <v>661</v>
      </c>
    </row>
    <row r="35" spans="1:5">
      <c r="A35" s="1010">
        <v>5</v>
      </c>
      <c r="B35" s="51">
        <v>44994</v>
      </c>
      <c r="C35" s="576" t="s">
        <v>3698</v>
      </c>
      <c r="D35" s="5" t="s">
        <v>683</v>
      </c>
      <c r="E35" s="5" t="s">
        <v>651</v>
      </c>
    </row>
    <row r="36" spans="1:5">
      <c r="A36" s="1010">
        <v>5</v>
      </c>
      <c r="B36" s="191">
        <v>44998</v>
      </c>
      <c r="C36" s="2" t="s">
        <v>692</v>
      </c>
      <c r="D36" s="5" t="s">
        <v>678</v>
      </c>
      <c r="E36" s="5" t="s">
        <v>661</v>
      </c>
    </row>
    <row r="37" spans="1:5">
      <c r="A37" s="1010">
        <v>5.0999999999999996</v>
      </c>
      <c r="B37" s="1010">
        <v>20230531</v>
      </c>
      <c r="C37" t="s">
        <v>3699</v>
      </c>
      <c r="D37" s="5" t="s">
        <v>3700</v>
      </c>
      <c r="E37" s="586" t="s">
        <v>655</v>
      </c>
    </row>
    <row r="38" spans="1:5">
      <c r="A38" s="1011" t="s">
        <v>693</v>
      </c>
      <c r="B38" s="515">
        <v>45078</v>
      </c>
      <c r="C38" s="1034" t="s">
        <v>3695</v>
      </c>
      <c r="D38" s="419" t="s">
        <v>658</v>
      </c>
      <c r="E38" s="5" t="s">
        <v>655</v>
      </c>
    </row>
    <row r="39" spans="1:5">
      <c r="A39" s="1010" t="s">
        <v>698</v>
      </c>
      <c r="B39" s="51">
        <v>45078</v>
      </c>
      <c r="C39" s="576" t="s">
        <v>3701</v>
      </c>
      <c r="D39" s="5" t="s">
        <v>678</v>
      </c>
      <c r="E39" s="5" t="s">
        <v>651</v>
      </c>
    </row>
    <row r="40" spans="1:5">
      <c r="A40" s="1010" t="s">
        <v>698</v>
      </c>
      <c r="B40" s="191">
        <v>45078</v>
      </c>
      <c r="C40" s="5" t="s">
        <v>699</v>
      </c>
      <c r="D40" s="5" t="s">
        <v>678</v>
      </c>
      <c r="E40" s="5" t="s">
        <v>661</v>
      </c>
    </row>
    <row r="41" spans="1:5">
      <c r="A41" s="1010" t="s">
        <v>698</v>
      </c>
      <c r="B41" s="191">
        <v>45097</v>
      </c>
      <c r="C41" s="5" t="s">
        <v>700</v>
      </c>
      <c r="D41" s="5" t="s">
        <v>678</v>
      </c>
      <c r="E41" s="5" t="s">
        <v>661</v>
      </c>
    </row>
    <row r="42" spans="1:5">
      <c r="A42" s="1010" t="s">
        <v>698</v>
      </c>
      <c r="B42" s="1065">
        <v>45205</v>
      </c>
      <c r="C42" s="595" t="s">
        <v>701</v>
      </c>
      <c r="D42" s="595" t="s">
        <v>678</v>
      </c>
      <c r="E42" s="596" t="s">
        <v>661</v>
      </c>
    </row>
  </sheetData>
  <pageMargins left="0.7" right="0.7" top="0.75" bottom="0.75" header="0.3" footer="0.3"/>
  <headerFooter>
    <oddFooter>&amp;C_x000D_&amp;1#&amp;"Calibri"&amp;11&amp;KFF0000 Internal</oddFooter>
  </headerFooter>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885AD-467E-4E30-898A-85C22AF4C22C}">
  <sheetPr codeName="Sheet84"/>
  <dimension ref="A1:L6"/>
  <sheetViews>
    <sheetView workbookViewId="0">
      <selection activeCell="C2" sqref="C2:I2"/>
    </sheetView>
  </sheetViews>
  <sheetFormatPr defaultColWidth="9.15625" defaultRowHeight="14.4"/>
  <cols>
    <col min="1" max="1" width="35.41796875" customWidth="1"/>
    <col min="2" max="2" width="33.68359375" customWidth="1"/>
    <col min="6" max="6" width="16.41796875" customWidth="1"/>
    <col min="9" max="9" width="25.15625" customWidth="1"/>
    <col min="10" max="10" width="16.83984375" customWidth="1"/>
    <col min="11" max="11" width="22.578125" customWidth="1"/>
    <col min="12" max="12" width="29" customWidth="1"/>
  </cols>
  <sheetData>
    <row r="1" spans="1:12">
      <c r="A1" s="336" t="s">
        <v>104</v>
      </c>
      <c r="B1" s="339" t="s">
        <v>93</v>
      </c>
      <c r="C1" s="1564" t="s">
        <v>106</v>
      </c>
      <c r="D1" s="1565"/>
      <c r="E1" s="337">
        <v>4</v>
      </c>
      <c r="F1" s="1308" t="s">
        <v>702</v>
      </c>
      <c r="G1" s="1309">
        <v>376</v>
      </c>
      <c r="H1" s="1308"/>
      <c r="I1" s="1308"/>
      <c r="J1" s="1310" t="s">
        <v>69</v>
      </c>
      <c r="K1" s="1310" t="s">
        <v>703</v>
      </c>
      <c r="L1" s="1356" t="s">
        <v>75</v>
      </c>
    </row>
    <row r="2" spans="1:12" ht="129" customHeight="1">
      <c r="A2" s="1566" t="s">
        <v>3161</v>
      </c>
      <c r="B2" s="1567"/>
      <c r="C2" s="1550" t="s">
        <v>1457</v>
      </c>
      <c r="D2" s="1551"/>
      <c r="E2" s="1551"/>
      <c r="F2" s="1551"/>
      <c r="G2" s="1551"/>
      <c r="H2" s="1551"/>
      <c r="I2" s="1552"/>
      <c r="J2" s="240" t="s">
        <v>707</v>
      </c>
      <c r="K2" s="1311" t="s">
        <v>1384</v>
      </c>
      <c r="L2" s="18"/>
    </row>
    <row r="3" spans="1:12">
      <c r="A3" s="1312" t="s">
        <v>709</v>
      </c>
      <c r="B3" s="1313" t="s">
        <v>710</v>
      </c>
      <c r="C3" s="80" t="s">
        <v>711</v>
      </c>
      <c r="D3" s="80" t="s">
        <v>712</v>
      </c>
      <c r="E3" s="80" t="s">
        <v>713</v>
      </c>
      <c r="F3" s="80" t="s">
        <v>714</v>
      </c>
      <c r="G3" s="344" t="s">
        <v>715</v>
      </c>
      <c r="H3" s="80" t="s">
        <v>716</v>
      </c>
      <c r="I3" s="80" t="s">
        <v>717</v>
      </c>
      <c r="J3" s="80" t="s">
        <v>718</v>
      </c>
      <c r="K3" s="357" t="s">
        <v>719</v>
      </c>
      <c r="L3" s="80" t="s">
        <v>720</v>
      </c>
    </row>
    <row r="4" spans="1:12" s="1" customFormat="1" ht="28.8">
      <c r="A4" s="1001" t="s">
        <v>3852</v>
      </c>
      <c r="B4" s="1001" t="s">
        <v>722</v>
      </c>
      <c r="C4" s="418" t="s">
        <v>48</v>
      </c>
      <c r="D4" s="418" t="s">
        <v>48</v>
      </c>
      <c r="E4" s="418" t="s">
        <v>48</v>
      </c>
      <c r="F4" s="418" t="s">
        <v>48</v>
      </c>
      <c r="G4" s="418" t="s">
        <v>48</v>
      </c>
      <c r="H4" s="418">
        <v>216</v>
      </c>
      <c r="I4" s="418" t="s">
        <v>723</v>
      </c>
      <c r="J4" s="345" t="s">
        <v>724</v>
      </c>
      <c r="K4" s="1568">
        <v>1</v>
      </c>
      <c r="L4" s="1570" t="s">
        <v>3853</v>
      </c>
    </row>
    <row r="5" spans="1:12" s="1" customFormat="1" ht="28.8">
      <c r="A5" s="703" t="s">
        <v>3854</v>
      </c>
      <c r="B5" s="851" t="s">
        <v>1619</v>
      </c>
      <c r="C5" s="345" t="s">
        <v>48</v>
      </c>
      <c r="D5" s="345">
        <v>0</v>
      </c>
      <c r="E5" s="345">
        <v>65535</v>
      </c>
      <c r="F5" s="345" t="s">
        <v>1620</v>
      </c>
      <c r="G5" s="345">
        <v>65535</v>
      </c>
      <c r="H5" s="346">
        <v>16</v>
      </c>
      <c r="I5" s="347" t="s">
        <v>991</v>
      </c>
      <c r="J5" s="348" t="s">
        <v>729</v>
      </c>
      <c r="K5" s="1569"/>
      <c r="L5" s="1571"/>
    </row>
    <row r="6" spans="1:12" s="1" customFormat="1" ht="28.8">
      <c r="A6" s="704" t="s">
        <v>3855</v>
      </c>
      <c r="B6" s="851" t="s">
        <v>1622</v>
      </c>
      <c r="C6" s="345" t="s">
        <v>48</v>
      </c>
      <c r="D6" s="345" t="s">
        <v>48</v>
      </c>
      <c r="E6" s="345" t="s">
        <v>48</v>
      </c>
      <c r="F6" s="345" t="s">
        <v>48</v>
      </c>
      <c r="G6" s="345" t="s">
        <v>48</v>
      </c>
      <c r="H6" s="345">
        <v>72</v>
      </c>
      <c r="I6" s="345" t="s">
        <v>3707</v>
      </c>
      <c r="J6" s="348" t="s">
        <v>729</v>
      </c>
      <c r="K6" s="353">
        <v>2</v>
      </c>
      <c r="L6" s="354" t="s">
        <v>3856</v>
      </c>
    </row>
  </sheetData>
  <mergeCells count="5">
    <mergeCell ref="C1:D1"/>
    <mergeCell ref="A2:B2"/>
    <mergeCell ref="C2:I2"/>
    <mergeCell ref="K4:K5"/>
    <mergeCell ref="L4:L5"/>
  </mergeCells>
  <conditionalFormatting sqref="B6:J6 C5:J5">
    <cfRule type="expression" dxfId="342" priority="3">
      <formula>MOD(ROW(), 2)=0</formula>
    </cfRule>
  </conditionalFormatting>
  <conditionalFormatting sqref="K4">
    <cfRule type="expression" dxfId="341" priority="2">
      <formula>MOD(ROW(), 2)=0</formula>
    </cfRule>
  </conditionalFormatting>
  <conditionalFormatting sqref="J4">
    <cfRule type="expression" dxfId="340" priority="1">
      <formula>MOD(ROW(), 2)=0</formula>
    </cfRule>
  </conditionalFormatting>
  <hyperlinks>
    <hyperlink ref="J1" location="'Revision Map'!A1" display="INDEX" xr:uid="{E4EA4187-D208-4A21-ADD8-A295F5C09A30}"/>
    <hyperlink ref="K1" location="'Cross-FCN_Definitions'!A1" display="Cross-FCN_Definitions" xr:uid="{1E118579-FB1F-402A-B55E-6EC8F8419E3D}"/>
    <hyperlink ref="L1" location="'AVI_Lanes_Host'!A1" display="AVI_Lanes_Host" xr:uid="{439E9A3A-7831-41F7-AF67-CF8F51119FD1}"/>
  </hyperlinks>
  <pageMargins left="0.7" right="0.7" top="0.75" bottom="0.75" header="0.3" footer="0.3"/>
  <headerFooter>
    <oddFooter>&amp;C_x000D_&amp;1#&amp;"Calibri"&amp;11&amp;KFF0000 Internal</oddFoot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4E387-85D2-4BEC-A5BF-7878A9147F5B}">
  <sheetPr codeName="Sheet85"/>
  <dimension ref="A1:E18"/>
  <sheetViews>
    <sheetView topLeftCell="A11" workbookViewId="0">
      <selection activeCell="B18" sqref="B18"/>
    </sheetView>
  </sheetViews>
  <sheetFormatPr defaultColWidth="9.15625" defaultRowHeight="14.4"/>
  <cols>
    <col min="1" max="1" width="11" style="1014" bestFit="1" customWidth="1"/>
    <col min="2" max="2" width="10.41796875" bestFit="1" customWidth="1"/>
    <col min="3" max="3" width="44.68359375" customWidth="1"/>
    <col min="4" max="4" width="17.578125" bestFit="1" customWidth="1"/>
    <col min="5" max="5" width="9.68359375" bestFit="1" customWidth="1"/>
  </cols>
  <sheetData>
    <row r="1" spans="1:5">
      <c r="A1" s="670" t="s">
        <v>644</v>
      </c>
      <c r="B1" s="642" t="s">
        <v>645</v>
      </c>
      <c r="C1" s="643" t="s">
        <v>646</v>
      </c>
      <c r="D1" s="643" t="s">
        <v>647</v>
      </c>
      <c r="E1" s="644" t="s">
        <v>648</v>
      </c>
    </row>
    <row r="2" spans="1:5">
      <c r="A2" s="628">
        <v>0.1</v>
      </c>
      <c r="B2" s="356">
        <v>44953</v>
      </c>
      <c r="C2" s="589" t="s">
        <v>3857</v>
      </c>
      <c r="D2" s="590" t="s">
        <v>678</v>
      </c>
      <c r="E2" s="591" t="s">
        <v>655</v>
      </c>
    </row>
    <row r="3" spans="1:5">
      <c r="A3" s="1010">
        <v>0.1</v>
      </c>
      <c r="B3" s="51">
        <v>44953</v>
      </c>
      <c r="C3" s="5" t="s">
        <v>815</v>
      </c>
      <c r="D3" s="5" t="s">
        <v>658</v>
      </c>
      <c r="E3" s="5" t="s">
        <v>655</v>
      </c>
    </row>
    <row r="4" spans="1:5">
      <c r="A4" s="628">
        <v>0.2</v>
      </c>
      <c r="B4" s="519">
        <v>44956</v>
      </c>
      <c r="C4" s="355" t="s">
        <v>3858</v>
      </c>
      <c r="D4" s="355" t="s">
        <v>658</v>
      </c>
      <c r="E4" s="355" t="s">
        <v>655</v>
      </c>
    </row>
    <row r="5" spans="1:5">
      <c r="A5" s="1010">
        <v>1</v>
      </c>
      <c r="B5" s="51">
        <v>44956</v>
      </c>
      <c r="C5" s="615" t="s">
        <v>3713</v>
      </c>
      <c r="D5" s="5" t="s">
        <v>658</v>
      </c>
      <c r="E5" s="5" t="s">
        <v>651</v>
      </c>
    </row>
    <row r="6" spans="1:5">
      <c r="A6" s="1010">
        <v>1</v>
      </c>
      <c r="B6" s="51">
        <v>44957</v>
      </c>
      <c r="C6" s="5" t="s">
        <v>687</v>
      </c>
      <c r="D6" s="5" t="s">
        <v>676</v>
      </c>
      <c r="E6" s="5" t="s">
        <v>661</v>
      </c>
    </row>
    <row r="7" spans="1:5">
      <c r="A7" s="1010">
        <v>1</v>
      </c>
      <c r="B7" s="51">
        <v>44970</v>
      </c>
      <c r="C7" s="2" t="s">
        <v>691</v>
      </c>
      <c r="D7" s="5" t="s">
        <v>676</v>
      </c>
      <c r="E7" s="5" t="s">
        <v>661</v>
      </c>
    </row>
    <row r="8" spans="1:5" ht="100.8">
      <c r="A8" s="1010">
        <v>1.1000000000000001</v>
      </c>
      <c r="B8" s="51">
        <v>44987</v>
      </c>
      <c r="C8" s="2" t="s">
        <v>1630</v>
      </c>
      <c r="D8" t="s">
        <v>3176</v>
      </c>
      <c r="E8" t="s">
        <v>655</v>
      </c>
    </row>
    <row r="9" spans="1:5">
      <c r="A9" s="1010">
        <v>2</v>
      </c>
      <c r="B9" s="51">
        <v>44994</v>
      </c>
      <c r="C9" s="615" t="s">
        <v>3714</v>
      </c>
      <c r="D9" s="5" t="s">
        <v>3176</v>
      </c>
      <c r="E9" s="5" t="s">
        <v>651</v>
      </c>
    </row>
    <row r="10" spans="1:5">
      <c r="A10" s="1014">
        <v>2</v>
      </c>
      <c r="B10" s="191">
        <v>44998</v>
      </c>
      <c r="C10" s="2" t="s">
        <v>692</v>
      </c>
      <c r="D10" s="5" t="s">
        <v>678</v>
      </c>
      <c r="E10" s="5" t="s">
        <v>661</v>
      </c>
    </row>
    <row r="11" spans="1:5">
      <c r="A11" s="1010">
        <v>2.1</v>
      </c>
      <c r="B11" s="191">
        <v>45077</v>
      </c>
      <c r="C11" t="s">
        <v>3177</v>
      </c>
      <c r="D11" t="s">
        <v>3176</v>
      </c>
      <c r="E11" t="s">
        <v>655</v>
      </c>
    </row>
    <row r="12" spans="1:5">
      <c r="A12" s="1035" t="s">
        <v>663</v>
      </c>
      <c r="B12" s="191">
        <v>45078</v>
      </c>
      <c r="C12" s="1034" t="s">
        <v>3711</v>
      </c>
      <c r="D12" s="1034" t="s">
        <v>658</v>
      </c>
      <c r="E12" s="1034" t="s">
        <v>655</v>
      </c>
    </row>
    <row r="13" spans="1:5">
      <c r="A13" s="1014" t="s">
        <v>666</v>
      </c>
      <c r="B13" s="191">
        <v>45078</v>
      </c>
      <c r="C13" s="615" t="s">
        <v>3715</v>
      </c>
      <c r="D13" s="5" t="s">
        <v>3176</v>
      </c>
      <c r="E13" s="5" t="s">
        <v>651</v>
      </c>
    </row>
    <row r="14" spans="1:5">
      <c r="A14" s="1010" t="s">
        <v>666</v>
      </c>
      <c r="B14" s="191">
        <v>45078</v>
      </c>
      <c r="C14" s="5" t="s">
        <v>699</v>
      </c>
      <c r="D14" s="5" t="s">
        <v>678</v>
      </c>
      <c r="E14" s="5" t="s">
        <v>661</v>
      </c>
    </row>
    <row r="15" spans="1:5">
      <c r="A15" s="1010" t="s">
        <v>668</v>
      </c>
      <c r="B15" s="188">
        <v>45097</v>
      </c>
      <c r="C15" s="584" t="s">
        <v>818</v>
      </c>
      <c r="D15" s="585" t="s">
        <v>678</v>
      </c>
      <c r="E15" s="586" t="s">
        <v>655</v>
      </c>
    </row>
    <row r="16" spans="1:5">
      <c r="A16" s="1010" t="s">
        <v>686</v>
      </c>
      <c r="B16" s="188">
        <v>45097</v>
      </c>
      <c r="C16" s="615" t="s">
        <v>3715</v>
      </c>
      <c r="D16" s="585" t="s">
        <v>678</v>
      </c>
      <c r="E16" s="586" t="s">
        <v>651</v>
      </c>
    </row>
    <row r="17" spans="1:5">
      <c r="A17" s="1010" t="s">
        <v>686</v>
      </c>
      <c r="B17" s="191">
        <v>45097</v>
      </c>
      <c r="C17" s="594" t="s">
        <v>700</v>
      </c>
      <c r="D17" s="595" t="s">
        <v>678</v>
      </c>
      <c r="E17" s="596" t="s">
        <v>661</v>
      </c>
    </row>
    <row r="18" spans="1:5">
      <c r="A18" s="1010" t="s">
        <v>686</v>
      </c>
      <c r="B18" s="1065">
        <v>45205</v>
      </c>
      <c r="C18" s="595" t="s">
        <v>701</v>
      </c>
      <c r="D18" s="595" t="s">
        <v>678</v>
      </c>
      <c r="E18" s="596" t="s">
        <v>661</v>
      </c>
    </row>
  </sheetData>
  <pageMargins left="0.7" right="0.7" top="0.75" bottom="0.75" header="0.3" footer="0.3"/>
  <headerFooter>
    <oddFooter>&amp;C_x000D_&amp;1#&amp;"Calibri"&amp;11&amp;KFF0000 Internal</oddFooter>
  </headerFooter>
  <tableParts count="1">
    <tablePart r:id="rId1"/>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140DB-1BE7-407D-829D-DFB26F535D51}">
  <sheetPr codeName="Sheet13"/>
  <dimension ref="A1:L29"/>
  <sheetViews>
    <sheetView zoomScale="110" zoomScaleNormal="110" workbookViewId="0">
      <pane ySplit="2" topLeftCell="A3" activePane="bottomLeft" state="frozen"/>
      <selection activeCell="J3" sqref="J3"/>
      <selection pane="bottomLeft"/>
    </sheetView>
  </sheetViews>
  <sheetFormatPr defaultColWidth="9.15625" defaultRowHeight="14.4"/>
  <cols>
    <col min="1" max="1" width="24.41796875" customWidth="1"/>
    <col min="2" max="2" width="40.41796875" customWidth="1"/>
    <col min="6" max="6" width="13.83984375" customWidth="1"/>
    <col min="7" max="7" width="10" bestFit="1" customWidth="1"/>
    <col min="9" max="9" width="19.68359375" bestFit="1" customWidth="1"/>
    <col min="10" max="10" width="20.578125" customWidth="1"/>
    <col min="11" max="11" width="22.26171875" customWidth="1"/>
    <col min="12" max="12" width="27.26171875" customWidth="1"/>
    <col min="13" max="13" width="7" customWidth="1"/>
    <col min="14" max="14" width="7.26171875" customWidth="1"/>
    <col min="15" max="15" width="12.68359375" customWidth="1"/>
  </cols>
  <sheetData>
    <row r="1" spans="1:12">
      <c r="A1" s="55" t="s">
        <v>3659</v>
      </c>
      <c r="B1" s="172" t="s">
        <v>77</v>
      </c>
      <c r="C1" s="1651" t="s">
        <v>106</v>
      </c>
      <c r="D1" s="1651"/>
      <c r="E1" s="1351">
        <v>7</v>
      </c>
      <c r="F1" s="1352" t="s">
        <v>3859</v>
      </c>
      <c r="G1" s="1351">
        <v>3040</v>
      </c>
      <c r="H1" s="1352"/>
      <c r="I1" s="1310" t="s">
        <v>69</v>
      </c>
      <c r="J1" s="1314" t="s">
        <v>703</v>
      </c>
      <c r="K1" s="574" t="s">
        <v>3660</v>
      </c>
      <c r="L1" s="514" t="s">
        <v>95</v>
      </c>
    </row>
    <row r="2" spans="1:12" s="787" customFormat="1" ht="226.5" customHeight="1">
      <c r="A2" s="1652" t="s">
        <v>3661</v>
      </c>
      <c r="B2" s="1653"/>
      <c r="C2" s="1550" t="s">
        <v>1457</v>
      </c>
      <c r="D2" s="1551"/>
      <c r="E2" s="1551"/>
      <c r="F2" s="1551"/>
      <c r="G2" s="1551"/>
      <c r="H2" s="1551"/>
      <c r="I2" s="1552"/>
      <c r="J2" s="240" t="s">
        <v>707</v>
      </c>
      <c r="K2" s="1277" t="s">
        <v>1384</v>
      </c>
      <c r="L2" s="786"/>
    </row>
    <row r="3" spans="1:12" ht="28.8">
      <c r="A3" s="843" t="s">
        <v>709</v>
      </c>
      <c r="B3" s="844" t="s">
        <v>710</v>
      </c>
      <c r="C3" s="102" t="s">
        <v>711</v>
      </c>
      <c r="D3" s="102" t="s">
        <v>712</v>
      </c>
      <c r="E3" s="102" t="s">
        <v>713</v>
      </c>
      <c r="F3" s="845" t="s">
        <v>714</v>
      </c>
      <c r="G3" s="103" t="s">
        <v>715</v>
      </c>
      <c r="H3" s="102" t="s">
        <v>716</v>
      </c>
      <c r="I3" s="102" t="s">
        <v>717</v>
      </c>
      <c r="J3" s="478" t="s">
        <v>718</v>
      </c>
      <c r="K3" s="1361" t="s">
        <v>719</v>
      </c>
      <c r="L3" s="58" t="s">
        <v>720</v>
      </c>
    </row>
    <row r="4" spans="1:12">
      <c r="A4" s="691" t="s">
        <v>3860</v>
      </c>
      <c r="B4" s="691" t="s">
        <v>722</v>
      </c>
      <c r="C4" s="26" t="s">
        <v>48</v>
      </c>
      <c r="D4" s="26" t="s">
        <v>48</v>
      </c>
      <c r="E4" s="26" t="s">
        <v>48</v>
      </c>
      <c r="F4" s="26" t="s">
        <v>48</v>
      </c>
      <c r="G4" s="26" t="s">
        <v>48</v>
      </c>
      <c r="H4" s="26">
        <v>216</v>
      </c>
      <c r="I4" s="26" t="s">
        <v>723</v>
      </c>
      <c r="J4" s="26" t="s">
        <v>724</v>
      </c>
      <c r="K4" s="1656">
        <v>1</v>
      </c>
      <c r="L4" s="1654" t="s">
        <v>3861</v>
      </c>
    </row>
    <row r="5" spans="1:12" ht="25.8">
      <c r="A5" s="691" t="s">
        <v>3862</v>
      </c>
      <c r="B5" s="691" t="s">
        <v>3666</v>
      </c>
      <c r="C5" s="26" t="s">
        <v>48</v>
      </c>
      <c r="D5" s="26">
        <v>0</v>
      </c>
      <c r="E5" s="26">
        <v>255</v>
      </c>
      <c r="F5" s="26" t="s">
        <v>3863</v>
      </c>
      <c r="G5" s="26">
        <v>255</v>
      </c>
      <c r="H5" s="26">
        <v>8</v>
      </c>
      <c r="I5" s="26" t="s">
        <v>743</v>
      </c>
      <c r="J5" s="26" t="s">
        <v>729</v>
      </c>
      <c r="K5" s="1657"/>
      <c r="L5" s="1655"/>
    </row>
    <row r="6" spans="1:12" ht="40.5" customHeight="1">
      <c r="A6" s="691" t="s">
        <v>3864</v>
      </c>
      <c r="B6" s="691" t="s">
        <v>3865</v>
      </c>
      <c r="C6" s="26" t="s">
        <v>48</v>
      </c>
      <c r="D6" s="26" t="s">
        <v>48</v>
      </c>
      <c r="E6" s="26" t="s">
        <v>48</v>
      </c>
      <c r="F6" s="26" t="s">
        <v>48</v>
      </c>
      <c r="G6" s="26" t="s">
        <v>48</v>
      </c>
      <c r="H6" s="26">
        <v>32</v>
      </c>
      <c r="I6" s="26" t="s">
        <v>728</v>
      </c>
      <c r="J6" s="978" t="s">
        <v>729</v>
      </c>
      <c r="K6" s="1591">
        <v>4</v>
      </c>
      <c r="L6" s="1650" t="s">
        <v>3866</v>
      </c>
    </row>
    <row r="7" spans="1:12">
      <c r="A7" s="691" t="s">
        <v>3867</v>
      </c>
      <c r="B7" s="691" t="s">
        <v>3672</v>
      </c>
      <c r="C7" s="26" t="s">
        <v>48</v>
      </c>
      <c r="D7" s="26" t="s">
        <v>48</v>
      </c>
      <c r="E7" s="26" t="s">
        <v>48</v>
      </c>
      <c r="F7" s="26" t="s">
        <v>48</v>
      </c>
      <c r="G7" s="26" t="s">
        <v>48</v>
      </c>
      <c r="H7" s="26">
        <v>592</v>
      </c>
      <c r="I7" s="26" t="s">
        <v>3673</v>
      </c>
      <c r="J7" s="978" t="s">
        <v>724</v>
      </c>
      <c r="K7" s="1591"/>
      <c r="L7" s="1650"/>
    </row>
    <row r="8" spans="1:12">
      <c r="A8" s="691" t="s">
        <v>3868</v>
      </c>
      <c r="B8" s="691" t="s">
        <v>3869</v>
      </c>
      <c r="C8" s="26" t="s">
        <v>48</v>
      </c>
      <c r="D8" s="26" t="s">
        <v>48</v>
      </c>
      <c r="E8" s="26" t="s">
        <v>48</v>
      </c>
      <c r="F8" s="26" t="s">
        <v>48</v>
      </c>
      <c r="G8" s="26" t="s">
        <v>48</v>
      </c>
      <c r="H8" s="26">
        <v>80</v>
      </c>
      <c r="I8" s="26" t="s">
        <v>3870</v>
      </c>
      <c r="J8" s="978" t="s">
        <v>724</v>
      </c>
      <c r="K8" s="1591"/>
      <c r="L8" s="1650"/>
    </row>
    <row r="9" spans="1:12" ht="16.5" customHeight="1"/>
    <row r="10" spans="1:12" ht="16.5" customHeight="1"/>
    <row r="11" spans="1:12" ht="16.5" customHeight="1"/>
    <row r="12" spans="1:12" ht="16.5" customHeight="1"/>
    <row r="13" spans="1:12" ht="16.5" customHeight="1"/>
    <row r="14" spans="1:12" ht="16.5" customHeight="1"/>
    <row r="15" spans="1:12" ht="16.5" customHeight="1"/>
    <row r="16" spans="1:12"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9.5" customHeight="1"/>
    <row r="29" ht="13.5" customHeight="1"/>
  </sheetData>
  <mergeCells count="7">
    <mergeCell ref="K6:K8"/>
    <mergeCell ref="L6:L8"/>
    <mergeCell ref="C1:D1"/>
    <mergeCell ref="A2:B2"/>
    <mergeCell ref="K4:K5"/>
    <mergeCell ref="L4:L5"/>
    <mergeCell ref="C2:I2"/>
  </mergeCells>
  <hyperlinks>
    <hyperlink ref="I1" location="'Revision Map'!A1" display="INDEX" xr:uid="{CD5D0103-B141-4477-A302-8F195061FF4C}"/>
    <hyperlink ref="J1" location="'Cross-FCN_Definitions'!A1" display="Cross-FCN_Definitions" xr:uid="{BC28E6A8-C2BC-495A-94A7-DCD7C77474DC}"/>
    <hyperlink ref="K1" location="Lanes_Definitions!A1" display="Lanes_Definitions" xr:uid="{117D3206-73A8-41EE-8B4F-B9B3E8D024BB}"/>
    <hyperlink ref="L1" location="'AVI_Lanes_Road_Edge_Debug'!A1" display="AVI_Lanes_Road_Edge_Debug" xr:uid="{03500B17-3719-4F09-B47E-AB6CF84B5094}"/>
  </hyperlinks>
  <pageMargins left="0.7" right="0.7" top="0.75" bottom="0.75" header="0.3" footer="0.3"/>
  <headerFooter>
    <oddFooter>&amp;C_x000D_&amp;1#&amp;"Calibri"&amp;11&amp;KFF0000 Internal</oddFooter>
  </headerFooter>
  <tableParts count="1">
    <tablePart r:id="rId1"/>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5E94F-8843-4339-9F68-6C01032F4765}">
  <sheetPr codeName="Sheet14"/>
  <dimension ref="A1:E40"/>
  <sheetViews>
    <sheetView workbookViewId="0">
      <pane ySplit="1" topLeftCell="A27" activePane="bottomLeft" state="frozen"/>
      <selection activeCell="C22" activeCellId="1" sqref="A1:AS1 C22"/>
      <selection pane="bottomLeft" activeCell="B40" sqref="B40"/>
    </sheetView>
  </sheetViews>
  <sheetFormatPr defaultColWidth="9.15625" defaultRowHeight="14.4"/>
  <cols>
    <col min="1" max="1" width="11" style="1014" bestFit="1" customWidth="1"/>
    <col min="2" max="2" width="13.578125" style="40" customWidth="1"/>
    <col min="3" max="3" width="65.83984375" bestFit="1" customWidth="1"/>
    <col min="4" max="4" width="17.578125" bestFit="1" customWidth="1"/>
    <col min="5" max="5" width="9.68359375" bestFit="1" customWidth="1"/>
  </cols>
  <sheetData>
    <row r="1" spans="1:5">
      <c r="A1" s="1017" t="s">
        <v>644</v>
      </c>
      <c r="B1" s="660" t="s">
        <v>645</v>
      </c>
      <c r="C1" s="643" t="s">
        <v>646</v>
      </c>
      <c r="D1" s="643" t="s">
        <v>647</v>
      </c>
      <c r="E1" s="644" t="s">
        <v>648</v>
      </c>
    </row>
    <row r="2" spans="1:5">
      <c r="A2" s="629">
        <v>0</v>
      </c>
      <c r="B2" s="188">
        <v>44300</v>
      </c>
      <c r="C2" s="584" t="s">
        <v>3677</v>
      </c>
      <c r="D2" s="585" t="s">
        <v>3678</v>
      </c>
      <c r="E2" s="586" t="s">
        <v>655</v>
      </c>
    </row>
    <row r="3" spans="1:5" ht="187.2">
      <c r="A3" s="629">
        <v>0.1</v>
      </c>
      <c r="B3" s="188">
        <v>44301</v>
      </c>
      <c r="C3" s="584" t="s">
        <v>3871</v>
      </c>
      <c r="D3" s="585" t="s">
        <v>3678</v>
      </c>
      <c r="E3" s="586" t="s">
        <v>655</v>
      </c>
    </row>
    <row r="4" spans="1:5">
      <c r="A4" s="629">
        <v>1</v>
      </c>
      <c r="B4" s="188">
        <v>44340</v>
      </c>
      <c r="C4" s="585" t="s">
        <v>3680</v>
      </c>
      <c r="D4" s="585" t="s">
        <v>3678</v>
      </c>
      <c r="E4" s="586" t="s">
        <v>651</v>
      </c>
    </row>
    <row r="5" spans="1:5">
      <c r="A5" s="629">
        <v>1</v>
      </c>
      <c r="B5" s="188">
        <v>44341</v>
      </c>
      <c r="C5" s="597"/>
      <c r="D5" s="585" t="s">
        <v>654</v>
      </c>
      <c r="E5" s="586" t="s">
        <v>661</v>
      </c>
    </row>
    <row r="6" spans="1:5">
      <c r="A6" s="629">
        <v>1</v>
      </c>
      <c r="B6" s="188">
        <v>44452</v>
      </c>
      <c r="C6" s="585" t="s">
        <v>1345</v>
      </c>
      <c r="D6" s="585" t="s">
        <v>654</v>
      </c>
      <c r="E6" s="586" t="s">
        <v>661</v>
      </c>
    </row>
    <row r="7" spans="1:5" ht="127.5" customHeight="1">
      <c r="A7" s="629">
        <v>1.1000000000000001</v>
      </c>
      <c r="B7" s="188">
        <v>44662</v>
      </c>
      <c r="C7" s="584" t="s">
        <v>3872</v>
      </c>
      <c r="D7" s="585" t="s">
        <v>654</v>
      </c>
      <c r="E7" s="586" t="s">
        <v>655</v>
      </c>
    </row>
    <row r="8" spans="1:5" ht="72">
      <c r="A8" s="1010">
        <v>1.2</v>
      </c>
      <c r="B8" s="51">
        <v>44665</v>
      </c>
      <c r="C8" s="576" t="s">
        <v>3873</v>
      </c>
      <c r="D8" s="5" t="s">
        <v>796</v>
      </c>
      <c r="E8" s="5" t="s">
        <v>655</v>
      </c>
    </row>
    <row r="9" spans="1:5" ht="28.8">
      <c r="A9" s="1010">
        <v>1.3</v>
      </c>
      <c r="B9" s="51">
        <v>44685</v>
      </c>
      <c r="C9" s="612" t="s">
        <v>3684</v>
      </c>
      <c r="D9" s="5" t="s">
        <v>654</v>
      </c>
      <c r="E9" s="5" t="s">
        <v>655</v>
      </c>
    </row>
    <row r="10" spans="1:5">
      <c r="A10" s="1010">
        <v>1.4</v>
      </c>
      <c r="B10" s="51">
        <v>44687</v>
      </c>
      <c r="C10" s="174" t="s">
        <v>1427</v>
      </c>
      <c r="D10" s="5" t="s">
        <v>654</v>
      </c>
      <c r="E10" s="5" t="s">
        <v>655</v>
      </c>
    </row>
    <row r="11" spans="1:5">
      <c r="A11" s="1010">
        <v>1.4</v>
      </c>
      <c r="B11" s="51">
        <v>44691</v>
      </c>
      <c r="C11" s="5" t="s">
        <v>999</v>
      </c>
      <c r="D11" s="5" t="s">
        <v>658</v>
      </c>
      <c r="E11" s="5" t="s">
        <v>655</v>
      </c>
    </row>
    <row r="12" spans="1:5">
      <c r="A12" s="1010">
        <v>1.5</v>
      </c>
      <c r="B12" s="51">
        <v>44693</v>
      </c>
      <c r="C12" s="5" t="s">
        <v>3685</v>
      </c>
      <c r="D12" s="5" t="s">
        <v>654</v>
      </c>
      <c r="E12" s="5" t="s">
        <v>655</v>
      </c>
    </row>
    <row r="13" spans="1:5">
      <c r="A13" s="1010">
        <v>1.5</v>
      </c>
      <c r="B13" s="51">
        <v>44693</v>
      </c>
      <c r="C13" s="5" t="s">
        <v>3686</v>
      </c>
      <c r="D13" s="5" t="s">
        <v>658</v>
      </c>
      <c r="E13" s="5" t="s">
        <v>655</v>
      </c>
    </row>
    <row r="14" spans="1:5">
      <c r="A14" s="1010">
        <v>1.6</v>
      </c>
      <c r="B14" s="51">
        <v>44694</v>
      </c>
      <c r="C14" s="5" t="s">
        <v>3874</v>
      </c>
      <c r="D14" s="5" t="s">
        <v>654</v>
      </c>
      <c r="E14" s="5" t="s">
        <v>655</v>
      </c>
    </row>
    <row r="15" spans="1:5">
      <c r="A15" s="1010">
        <v>1.7</v>
      </c>
      <c r="B15" s="51">
        <v>44706</v>
      </c>
      <c r="C15" s="5" t="s">
        <v>3688</v>
      </c>
      <c r="D15" s="5" t="s">
        <v>654</v>
      </c>
      <c r="E15" s="5" t="s">
        <v>655</v>
      </c>
    </row>
    <row r="16" spans="1:5">
      <c r="A16" s="1010">
        <v>1.7</v>
      </c>
      <c r="B16" s="51">
        <v>44706</v>
      </c>
      <c r="C16" s="5" t="s">
        <v>1594</v>
      </c>
      <c r="D16" s="5" t="s">
        <v>658</v>
      </c>
      <c r="E16" s="5" t="s">
        <v>655</v>
      </c>
    </row>
    <row r="17" spans="1:5">
      <c r="A17" s="1010">
        <v>2</v>
      </c>
      <c r="B17" s="51">
        <v>44713</v>
      </c>
      <c r="C17" s="576" t="s">
        <v>3689</v>
      </c>
      <c r="D17" s="5" t="s">
        <v>654</v>
      </c>
      <c r="E17" s="5" t="s">
        <v>651</v>
      </c>
    </row>
    <row r="18" spans="1:5">
      <c r="A18" s="1010">
        <v>2</v>
      </c>
      <c r="B18" s="51">
        <v>44719</v>
      </c>
      <c r="C18" s="5" t="s">
        <v>660</v>
      </c>
      <c r="D18" s="5" t="s">
        <v>654</v>
      </c>
      <c r="E18" s="5" t="s">
        <v>661</v>
      </c>
    </row>
    <row r="19" spans="1:5" ht="28.8">
      <c r="A19" s="1010">
        <v>2</v>
      </c>
      <c r="B19" s="51">
        <v>44728</v>
      </c>
      <c r="C19" s="576" t="s">
        <v>3690</v>
      </c>
      <c r="D19" s="5" t="s">
        <v>654</v>
      </c>
      <c r="E19" s="5" t="s">
        <v>651</v>
      </c>
    </row>
    <row r="20" spans="1:5" ht="28.8">
      <c r="A20" s="1010">
        <v>2</v>
      </c>
      <c r="B20" s="51">
        <v>44741</v>
      </c>
      <c r="C20" s="576" t="s">
        <v>3691</v>
      </c>
      <c r="D20" s="5" t="s">
        <v>654</v>
      </c>
      <c r="E20" s="5" t="s">
        <v>651</v>
      </c>
    </row>
    <row r="21" spans="1:5">
      <c r="A21" s="1010">
        <v>2.1</v>
      </c>
      <c r="B21" s="51">
        <v>44742</v>
      </c>
      <c r="C21" s="576" t="s">
        <v>3875</v>
      </c>
      <c r="D21" s="5" t="s">
        <v>654</v>
      </c>
      <c r="E21" s="5" t="s">
        <v>655</v>
      </c>
    </row>
    <row r="22" spans="1:5" ht="28.8">
      <c r="A22" s="1010">
        <v>2.1</v>
      </c>
      <c r="B22" s="51">
        <v>44742</v>
      </c>
      <c r="C22" s="576" t="s">
        <v>3691</v>
      </c>
      <c r="D22" s="5" t="s">
        <v>654</v>
      </c>
      <c r="E22" s="5" t="s">
        <v>651</v>
      </c>
    </row>
    <row r="23" spans="1:5">
      <c r="A23" s="1010">
        <v>3</v>
      </c>
      <c r="B23" s="51">
        <v>44742</v>
      </c>
      <c r="C23" s="576" t="s">
        <v>667</v>
      </c>
      <c r="D23" s="5" t="s">
        <v>654</v>
      </c>
      <c r="E23" s="5" t="s">
        <v>661</v>
      </c>
    </row>
    <row r="24" spans="1:5" ht="28.8">
      <c r="A24" s="1010">
        <v>3.1</v>
      </c>
      <c r="B24" s="188">
        <v>44895</v>
      </c>
      <c r="C24" s="584" t="s">
        <v>1363</v>
      </c>
      <c r="D24" s="5" t="s">
        <v>3176</v>
      </c>
      <c r="E24" s="586" t="s">
        <v>655</v>
      </c>
    </row>
    <row r="25" spans="1:5" ht="28.8">
      <c r="A25" s="1010">
        <v>3.2</v>
      </c>
      <c r="B25" s="51">
        <v>44901</v>
      </c>
      <c r="C25" s="576" t="s">
        <v>3876</v>
      </c>
      <c r="D25" s="5" t="s">
        <v>654</v>
      </c>
      <c r="E25" s="5" t="s">
        <v>655</v>
      </c>
    </row>
    <row r="26" spans="1:5">
      <c r="A26" s="1010">
        <v>3.2</v>
      </c>
      <c r="B26" s="188">
        <v>44902</v>
      </c>
      <c r="C26" s="576" t="s">
        <v>3694</v>
      </c>
      <c r="D26" s="5" t="s">
        <v>676</v>
      </c>
      <c r="E26" s="5" t="s">
        <v>655</v>
      </c>
    </row>
    <row r="27" spans="1:5">
      <c r="A27" s="1010">
        <v>3.2</v>
      </c>
      <c r="B27" s="51">
        <v>44937</v>
      </c>
      <c r="C27" s="607" t="s">
        <v>677</v>
      </c>
      <c r="D27" s="5" t="s">
        <v>678</v>
      </c>
      <c r="E27" s="5" t="s">
        <v>655</v>
      </c>
    </row>
    <row r="28" spans="1:5">
      <c r="A28" s="1010">
        <v>3.2</v>
      </c>
      <c r="B28" s="51">
        <v>44953</v>
      </c>
      <c r="C28" s="5" t="s">
        <v>3695</v>
      </c>
      <c r="D28" s="5" t="s">
        <v>658</v>
      </c>
      <c r="E28" s="5" t="s">
        <v>655</v>
      </c>
    </row>
    <row r="29" spans="1:5">
      <c r="A29" s="1010">
        <v>3.3</v>
      </c>
      <c r="B29" s="51">
        <v>44956</v>
      </c>
      <c r="C29" s="5" t="s">
        <v>3877</v>
      </c>
      <c r="D29" s="5" t="s">
        <v>658</v>
      </c>
      <c r="E29" s="5" t="s">
        <v>655</v>
      </c>
    </row>
    <row r="30" spans="1:5">
      <c r="A30" s="1010">
        <v>4</v>
      </c>
      <c r="B30" s="51">
        <v>44956</v>
      </c>
      <c r="C30" s="5" t="s">
        <v>3697</v>
      </c>
      <c r="D30" s="5" t="s">
        <v>658</v>
      </c>
      <c r="E30" s="5" t="s">
        <v>651</v>
      </c>
    </row>
    <row r="31" spans="1:5">
      <c r="A31" s="1010">
        <v>4</v>
      </c>
      <c r="B31" s="51">
        <v>44957</v>
      </c>
      <c r="C31" s="5" t="s">
        <v>687</v>
      </c>
      <c r="D31" s="5" t="s">
        <v>676</v>
      </c>
      <c r="E31" s="5" t="s">
        <v>661</v>
      </c>
    </row>
    <row r="32" spans="1:5">
      <c r="A32" s="1010">
        <v>4</v>
      </c>
      <c r="B32" s="51">
        <v>44970</v>
      </c>
      <c r="C32" s="5" t="s">
        <v>691</v>
      </c>
      <c r="D32" s="5" t="s">
        <v>676</v>
      </c>
      <c r="E32" s="5" t="s">
        <v>661</v>
      </c>
    </row>
    <row r="33" spans="1:5">
      <c r="A33" s="1010">
        <v>5</v>
      </c>
      <c r="B33" s="51">
        <v>44994</v>
      </c>
      <c r="C33" s="5" t="s">
        <v>3698</v>
      </c>
      <c r="D33" s="5" t="s">
        <v>3176</v>
      </c>
      <c r="E33" s="5" t="s">
        <v>651</v>
      </c>
    </row>
    <row r="34" spans="1:5">
      <c r="A34" s="1010">
        <v>5</v>
      </c>
      <c r="B34" s="191">
        <v>44998</v>
      </c>
      <c r="C34" s="5" t="s">
        <v>692</v>
      </c>
      <c r="D34" s="5" t="s">
        <v>678</v>
      </c>
      <c r="E34" s="5" t="s">
        <v>661</v>
      </c>
    </row>
    <row r="35" spans="1:5">
      <c r="A35" s="1010" t="s">
        <v>698</v>
      </c>
      <c r="B35" s="51">
        <v>45078</v>
      </c>
      <c r="C35" s="5" t="s">
        <v>3701</v>
      </c>
      <c r="D35" s="5" t="s">
        <v>678</v>
      </c>
      <c r="E35" s="5" t="s">
        <v>651</v>
      </c>
    </row>
    <row r="36" spans="1:5">
      <c r="A36" s="1010" t="s">
        <v>698</v>
      </c>
      <c r="B36" s="191">
        <v>45078</v>
      </c>
      <c r="C36" s="5" t="s">
        <v>699</v>
      </c>
      <c r="D36" s="5" t="s">
        <v>678</v>
      </c>
      <c r="E36" s="5" t="s">
        <v>661</v>
      </c>
    </row>
    <row r="37" spans="1:5">
      <c r="A37" s="1010" t="s">
        <v>1759</v>
      </c>
      <c r="B37" s="188">
        <v>45097</v>
      </c>
      <c r="C37" s="585" t="s">
        <v>818</v>
      </c>
      <c r="D37" s="585" t="s">
        <v>678</v>
      </c>
      <c r="E37" s="586" t="s">
        <v>655</v>
      </c>
    </row>
    <row r="38" spans="1:5">
      <c r="A38" s="1010" t="s">
        <v>1452</v>
      </c>
      <c r="B38" s="188">
        <v>45097</v>
      </c>
      <c r="C38" s="5" t="s">
        <v>3701</v>
      </c>
      <c r="D38" s="585" t="s">
        <v>678</v>
      </c>
      <c r="E38" s="586" t="s">
        <v>651</v>
      </c>
    </row>
    <row r="39" spans="1:5">
      <c r="A39" s="1010" t="s">
        <v>1452</v>
      </c>
      <c r="B39" s="191">
        <v>45097</v>
      </c>
      <c r="C39" s="595" t="s">
        <v>700</v>
      </c>
      <c r="D39" s="595" t="s">
        <v>678</v>
      </c>
      <c r="E39" s="596" t="s">
        <v>661</v>
      </c>
    </row>
    <row r="40" spans="1:5">
      <c r="A40" s="1010" t="s">
        <v>1452</v>
      </c>
      <c r="B40" s="1065">
        <v>45205</v>
      </c>
      <c r="C40" s="595" t="s">
        <v>701</v>
      </c>
      <c r="D40" s="595" t="s">
        <v>678</v>
      </c>
      <c r="E40" s="596" t="s">
        <v>661</v>
      </c>
    </row>
  </sheetData>
  <pageMargins left="0.7" right="0.7" top="0.75" bottom="0.75" header="0.3" footer="0.3"/>
  <headerFooter>
    <oddFooter>&amp;C_x000D_&amp;1#&amp;"Calibri"&amp;11&amp;KFF0000 Internal</oddFooter>
  </headerFooter>
  <tableParts count="1">
    <tablePart r:id="rId1"/>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440E6-3C7D-4D4F-AD68-CAC9D53FE05D}">
  <sheetPr codeName="Sheet86"/>
  <dimension ref="A1:L6"/>
  <sheetViews>
    <sheetView workbookViewId="0">
      <selection activeCell="C2" sqref="C2:I2"/>
    </sheetView>
  </sheetViews>
  <sheetFormatPr defaultColWidth="9.15625" defaultRowHeight="14.4"/>
  <cols>
    <col min="1" max="1" width="34.68359375" customWidth="1"/>
    <col min="2" max="2" width="29.15625" customWidth="1"/>
    <col min="6" max="6" width="16" customWidth="1"/>
    <col min="9" max="9" width="24.26171875" customWidth="1"/>
    <col min="10" max="10" width="16.26171875" customWidth="1"/>
    <col min="11" max="11" width="23.68359375" customWidth="1"/>
    <col min="12" max="12" width="28.26171875" customWidth="1"/>
  </cols>
  <sheetData>
    <row r="1" spans="1:12">
      <c r="A1" s="336" t="s">
        <v>104</v>
      </c>
      <c r="B1" s="339" t="s">
        <v>95</v>
      </c>
      <c r="C1" s="1564" t="s">
        <v>106</v>
      </c>
      <c r="D1" s="1565"/>
      <c r="E1" s="337">
        <v>4</v>
      </c>
      <c r="F1" s="1308" t="s">
        <v>702</v>
      </c>
      <c r="G1" s="1309">
        <v>376</v>
      </c>
      <c r="H1" s="1308"/>
      <c r="I1" s="1308"/>
      <c r="J1" s="1310" t="s">
        <v>69</v>
      </c>
      <c r="K1" s="1310" t="s">
        <v>703</v>
      </c>
      <c r="L1" s="1356" t="s">
        <v>77</v>
      </c>
    </row>
    <row r="2" spans="1:12" ht="132" customHeight="1">
      <c r="A2" s="1566" t="s">
        <v>3161</v>
      </c>
      <c r="B2" s="1567"/>
      <c r="C2" s="1550" t="s">
        <v>1457</v>
      </c>
      <c r="D2" s="1551"/>
      <c r="E2" s="1551"/>
      <c r="F2" s="1551"/>
      <c r="G2" s="1551"/>
      <c r="H2" s="1551"/>
      <c r="I2" s="1552"/>
      <c r="J2" s="240" t="s">
        <v>707</v>
      </c>
      <c r="K2" s="1311" t="s">
        <v>1384</v>
      </c>
      <c r="L2" s="18"/>
    </row>
    <row r="3" spans="1:12">
      <c r="A3" s="1312" t="s">
        <v>709</v>
      </c>
      <c r="B3" s="1313" t="s">
        <v>710</v>
      </c>
      <c r="C3" s="80" t="s">
        <v>711</v>
      </c>
      <c r="D3" s="80" t="s">
        <v>712</v>
      </c>
      <c r="E3" s="80" t="s">
        <v>713</v>
      </c>
      <c r="F3" s="80" t="s">
        <v>714</v>
      </c>
      <c r="G3" s="344" t="s">
        <v>715</v>
      </c>
      <c r="H3" s="80" t="s">
        <v>716</v>
      </c>
      <c r="I3" s="80" t="s">
        <v>717</v>
      </c>
      <c r="J3" s="80" t="s">
        <v>718</v>
      </c>
      <c r="K3" s="357" t="s">
        <v>719</v>
      </c>
      <c r="L3" s="80" t="s">
        <v>720</v>
      </c>
    </row>
    <row r="4" spans="1:12" ht="28.8">
      <c r="A4" s="1001" t="s">
        <v>3878</v>
      </c>
      <c r="B4" s="1001" t="s">
        <v>722</v>
      </c>
      <c r="C4" s="418" t="s">
        <v>48</v>
      </c>
      <c r="D4" s="418" t="s">
        <v>48</v>
      </c>
      <c r="E4" s="418" t="s">
        <v>48</v>
      </c>
      <c r="F4" s="418" t="s">
        <v>48</v>
      </c>
      <c r="G4" s="418" t="s">
        <v>48</v>
      </c>
      <c r="H4" s="418">
        <v>216</v>
      </c>
      <c r="I4" s="418" t="s">
        <v>723</v>
      </c>
      <c r="J4" s="345" t="s">
        <v>724</v>
      </c>
      <c r="K4" s="1568">
        <v>1</v>
      </c>
      <c r="L4" s="1570" t="s">
        <v>3879</v>
      </c>
    </row>
    <row r="5" spans="1:12" ht="28.8">
      <c r="A5" s="360" t="s">
        <v>3880</v>
      </c>
      <c r="B5" s="359" t="s">
        <v>1619</v>
      </c>
      <c r="C5" s="345" t="s">
        <v>48</v>
      </c>
      <c r="D5" s="345">
        <v>0</v>
      </c>
      <c r="E5" s="345">
        <v>65535</v>
      </c>
      <c r="F5" s="345" t="s">
        <v>1620</v>
      </c>
      <c r="G5" s="345">
        <v>65535</v>
      </c>
      <c r="H5" s="346">
        <v>16</v>
      </c>
      <c r="I5" s="347" t="s">
        <v>991</v>
      </c>
      <c r="J5" s="348" t="s">
        <v>729</v>
      </c>
      <c r="K5" s="1569"/>
      <c r="L5" s="1571"/>
    </row>
    <row r="6" spans="1:12" ht="28.8">
      <c r="A6" s="957" t="s">
        <v>3881</v>
      </c>
      <c r="B6" s="958" t="s">
        <v>1622</v>
      </c>
      <c r="C6" s="846" t="s">
        <v>48</v>
      </c>
      <c r="D6" s="846" t="s">
        <v>48</v>
      </c>
      <c r="E6" s="846" t="s">
        <v>48</v>
      </c>
      <c r="F6" s="846" t="s">
        <v>48</v>
      </c>
      <c r="G6" s="846" t="s">
        <v>48</v>
      </c>
      <c r="H6" s="846">
        <v>72</v>
      </c>
      <c r="I6" s="846" t="s">
        <v>3707</v>
      </c>
      <c r="J6" s="847" t="s">
        <v>729</v>
      </c>
      <c r="K6" s="353">
        <v>2</v>
      </c>
      <c r="L6" s="354" t="s">
        <v>3882</v>
      </c>
    </row>
  </sheetData>
  <mergeCells count="5">
    <mergeCell ref="C1:D1"/>
    <mergeCell ref="A2:B2"/>
    <mergeCell ref="C2:I2"/>
    <mergeCell ref="K4:K5"/>
    <mergeCell ref="L4:L5"/>
  </mergeCells>
  <conditionalFormatting sqref="B6:J6 C5:J5">
    <cfRule type="expression" dxfId="313" priority="3">
      <formula>MOD(ROW(), 2)=0</formula>
    </cfRule>
  </conditionalFormatting>
  <conditionalFormatting sqref="K4">
    <cfRule type="expression" dxfId="312" priority="2">
      <formula>MOD(ROW(), 2)=0</formula>
    </cfRule>
  </conditionalFormatting>
  <conditionalFormatting sqref="J4">
    <cfRule type="expression" dxfId="311" priority="1">
      <formula>MOD(ROW(), 2)=0</formula>
    </cfRule>
  </conditionalFormatting>
  <hyperlinks>
    <hyperlink ref="J1" location="'Revision Map'!A1" display="INDEX" xr:uid="{8DFB7AE0-B305-4128-813D-1C7E8D46ACCA}"/>
    <hyperlink ref="K1" location="'Cross-FCN_Definitions'!A1" display="Cross-FCN_Definitions" xr:uid="{568D917F-F3C2-49CC-813B-D82B6588DF3F}"/>
    <hyperlink ref="L1" location="'AVI_Lanes_Road_Edge'!A1" display="AVI_Lanes_Road_Edge" xr:uid="{FBEB14FA-2E69-4073-99E0-0897F18B08FD}"/>
  </hyperlinks>
  <pageMargins left="0.7" right="0.7" top="0.75" bottom="0.75" header="0.3" footer="0.3"/>
  <headerFooter>
    <oddFooter>&amp;C_x000D_&amp;1#&amp;"Calibri"&amp;11&amp;KFF0000 Internal</oddFooter>
  </headerFooter>
  <tableParts count="1">
    <tablePart r:id="rId1"/>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F3E75-1F7A-4161-9166-F2D27EF47252}">
  <sheetPr codeName="Sheet87"/>
  <dimension ref="A1:E18"/>
  <sheetViews>
    <sheetView topLeftCell="A11" workbookViewId="0">
      <selection activeCell="B18" sqref="B18"/>
    </sheetView>
  </sheetViews>
  <sheetFormatPr defaultColWidth="9.15625" defaultRowHeight="14.4"/>
  <cols>
    <col min="1" max="1" width="11" style="1010" bestFit="1" customWidth="1"/>
    <col min="2" max="2" width="10.41796875" bestFit="1" customWidth="1"/>
    <col min="3" max="3" width="44.26171875" bestFit="1" customWidth="1"/>
    <col min="4" max="4" width="17.578125" bestFit="1" customWidth="1"/>
    <col min="5" max="5" width="9.68359375" bestFit="1" customWidth="1"/>
  </cols>
  <sheetData>
    <row r="1" spans="1:5">
      <c r="A1" s="670" t="s">
        <v>644</v>
      </c>
      <c r="B1" s="642" t="s">
        <v>645</v>
      </c>
      <c r="C1" s="643" t="s">
        <v>646</v>
      </c>
      <c r="D1" s="643" t="s">
        <v>647</v>
      </c>
      <c r="E1" s="644" t="s">
        <v>648</v>
      </c>
    </row>
    <row r="2" spans="1:5" ht="14.25" customHeight="1">
      <c r="A2" s="628">
        <v>0.1</v>
      </c>
      <c r="B2" s="356">
        <v>44953</v>
      </c>
      <c r="C2" s="589" t="s">
        <v>3883</v>
      </c>
      <c r="D2" s="590" t="s">
        <v>678</v>
      </c>
      <c r="E2" s="591" t="s">
        <v>655</v>
      </c>
    </row>
    <row r="3" spans="1:5">
      <c r="A3" s="1010">
        <v>0.1</v>
      </c>
      <c r="B3" s="51">
        <v>44953</v>
      </c>
      <c r="C3" s="5" t="s">
        <v>3884</v>
      </c>
      <c r="D3" s="5" t="s">
        <v>658</v>
      </c>
      <c r="E3" s="5" t="s">
        <v>655</v>
      </c>
    </row>
    <row r="4" spans="1:5">
      <c r="A4" s="628">
        <v>0.2</v>
      </c>
      <c r="B4" s="519">
        <v>44956</v>
      </c>
      <c r="C4" s="355" t="s">
        <v>3885</v>
      </c>
      <c r="D4" s="355" t="s">
        <v>658</v>
      </c>
      <c r="E4" s="355" t="s">
        <v>655</v>
      </c>
    </row>
    <row r="5" spans="1:5">
      <c r="A5" s="1010">
        <v>1</v>
      </c>
      <c r="B5" s="51">
        <v>44956</v>
      </c>
      <c r="C5" s="615" t="s">
        <v>3713</v>
      </c>
      <c r="D5" s="5" t="s">
        <v>658</v>
      </c>
      <c r="E5" s="5" t="s">
        <v>651</v>
      </c>
    </row>
    <row r="6" spans="1:5">
      <c r="A6" s="1010">
        <v>1</v>
      </c>
      <c r="B6" s="51">
        <v>44957</v>
      </c>
      <c r="C6" s="5" t="s">
        <v>687</v>
      </c>
      <c r="D6" s="5" t="s">
        <v>676</v>
      </c>
      <c r="E6" s="5" t="s">
        <v>661</v>
      </c>
    </row>
    <row r="7" spans="1:5">
      <c r="A7" s="1010">
        <v>1</v>
      </c>
      <c r="B7" s="51">
        <v>44970</v>
      </c>
      <c r="C7" s="2" t="s">
        <v>691</v>
      </c>
      <c r="D7" s="5" t="s">
        <v>676</v>
      </c>
      <c r="E7" s="5" t="s">
        <v>661</v>
      </c>
    </row>
    <row r="8" spans="1:5" ht="100.8">
      <c r="A8" s="1010">
        <v>1.1000000000000001</v>
      </c>
      <c r="B8" s="51">
        <v>44987</v>
      </c>
      <c r="C8" s="2" t="s">
        <v>1630</v>
      </c>
      <c r="D8" t="s">
        <v>3176</v>
      </c>
      <c r="E8" t="s">
        <v>655</v>
      </c>
    </row>
    <row r="9" spans="1:5">
      <c r="A9" s="1010">
        <v>2</v>
      </c>
      <c r="B9" s="51">
        <v>44994</v>
      </c>
      <c r="C9" s="615" t="s">
        <v>3714</v>
      </c>
      <c r="D9" s="5" t="s">
        <v>3176</v>
      </c>
      <c r="E9" s="5" t="s">
        <v>651</v>
      </c>
    </row>
    <row r="10" spans="1:5">
      <c r="A10" s="1010">
        <v>2</v>
      </c>
      <c r="B10" s="191">
        <v>44998</v>
      </c>
      <c r="C10" s="2" t="s">
        <v>692</v>
      </c>
      <c r="D10" s="5" t="s">
        <v>678</v>
      </c>
      <c r="E10" s="5" t="s">
        <v>661</v>
      </c>
    </row>
    <row r="11" spans="1:5">
      <c r="A11" s="1010">
        <v>2.1</v>
      </c>
      <c r="B11" s="191">
        <v>45077</v>
      </c>
      <c r="C11" t="s">
        <v>3177</v>
      </c>
      <c r="D11" t="s">
        <v>3176</v>
      </c>
      <c r="E11" t="s">
        <v>655</v>
      </c>
    </row>
    <row r="12" spans="1:5">
      <c r="A12" s="1011" t="s">
        <v>663</v>
      </c>
      <c r="B12" s="191">
        <v>45078</v>
      </c>
      <c r="C12" s="1034" t="s">
        <v>3711</v>
      </c>
      <c r="D12" s="1034" t="s">
        <v>658</v>
      </c>
      <c r="E12" s="1034" t="s">
        <v>655</v>
      </c>
    </row>
    <row r="13" spans="1:5">
      <c r="A13" s="1010" t="s">
        <v>666</v>
      </c>
      <c r="B13" s="191">
        <v>45078</v>
      </c>
      <c r="C13" s="615" t="s">
        <v>3715</v>
      </c>
      <c r="D13" s="5" t="s">
        <v>678</v>
      </c>
      <c r="E13" s="5" t="s">
        <v>651</v>
      </c>
    </row>
    <row r="14" spans="1:5">
      <c r="A14" s="1010" t="s">
        <v>666</v>
      </c>
      <c r="B14" s="191">
        <v>45078</v>
      </c>
      <c r="C14" s="5" t="s">
        <v>699</v>
      </c>
      <c r="D14" s="5" t="s">
        <v>678</v>
      </c>
      <c r="E14" s="5" t="s">
        <v>661</v>
      </c>
    </row>
    <row r="15" spans="1:5">
      <c r="A15" s="1010" t="s">
        <v>668</v>
      </c>
      <c r="B15" s="188">
        <v>45097</v>
      </c>
      <c r="C15" s="585" t="s">
        <v>818</v>
      </c>
      <c r="D15" s="585" t="s">
        <v>678</v>
      </c>
      <c r="E15" s="586" t="s">
        <v>655</v>
      </c>
    </row>
    <row r="16" spans="1:5">
      <c r="A16" s="1010" t="s">
        <v>686</v>
      </c>
      <c r="B16" s="188">
        <v>45097</v>
      </c>
      <c r="C16" s="615" t="s">
        <v>3715</v>
      </c>
      <c r="D16" s="585" t="s">
        <v>678</v>
      </c>
      <c r="E16" s="586" t="s">
        <v>651</v>
      </c>
    </row>
    <row r="17" spans="1:5">
      <c r="A17" s="1010" t="s">
        <v>686</v>
      </c>
      <c r="B17" s="191">
        <v>45097</v>
      </c>
      <c r="C17" s="595" t="s">
        <v>700</v>
      </c>
      <c r="D17" s="595" t="s">
        <v>678</v>
      </c>
      <c r="E17" s="596" t="s">
        <v>661</v>
      </c>
    </row>
    <row r="18" spans="1:5">
      <c r="A18" s="1010" t="s">
        <v>686</v>
      </c>
      <c r="B18" s="1065">
        <v>45205</v>
      </c>
      <c r="C18" s="595" t="s">
        <v>701</v>
      </c>
      <c r="D18" s="595" t="s">
        <v>678</v>
      </c>
      <c r="E18" s="596" t="s">
        <v>661</v>
      </c>
    </row>
  </sheetData>
  <pageMargins left="0.7" right="0.7" top="0.75" bottom="0.75" header="0.3" footer="0.3"/>
  <headerFooter>
    <oddFooter>&amp;C_x000D_&amp;1#&amp;"Calibri"&amp;11&amp;KFF0000 Internal</oddFooter>
  </headerFooter>
  <tableParts count="1">
    <tablePart r:id="rId1"/>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BBE9-5D3A-4154-9A4F-96CEAA01CBAA}">
  <sheetPr codeName="Sheet64"/>
  <dimension ref="A1:L16"/>
  <sheetViews>
    <sheetView workbookViewId="0">
      <pane ySplit="3" topLeftCell="A4" activePane="bottomLeft" state="frozen"/>
      <selection activeCell="J3" sqref="J3"/>
      <selection pane="bottomLeft" activeCell="B8" sqref="B8"/>
    </sheetView>
  </sheetViews>
  <sheetFormatPr defaultColWidth="9.15625" defaultRowHeight="14.4"/>
  <cols>
    <col min="1" max="1" width="28.41796875" bestFit="1" customWidth="1"/>
    <col min="2" max="2" width="53.83984375" customWidth="1"/>
    <col min="3" max="3" width="8" bestFit="1" customWidth="1"/>
    <col min="4" max="4" width="12.68359375" customWidth="1"/>
    <col min="5" max="5" width="11.15625" bestFit="1" customWidth="1"/>
    <col min="6" max="6" width="17" bestFit="1" customWidth="1"/>
    <col min="7" max="7" width="11.578125" bestFit="1" customWidth="1"/>
    <col min="8" max="8" width="8.83984375" bestFit="1" customWidth="1"/>
    <col min="9" max="9" width="17.26171875" customWidth="1"/>
    <col min="10" max="10" width="22.41796875" customWidth="1"/>
    <col min="11" max="11" width="21" customWidth="1"/>
    <col min="12" max="12" width="22.83984375" bestFit="1" customWidth="1"/>
  </cols>
  <sheetData>
    <row r="1" spans="1:12" ht="30.75" customHeight="1">
      <c r="A1" s="41" t="s">
        <v>104</v>
      </c>
      <c r="B1" s="41" t="s">
        <v>87</v>
      </c>
      <c r="C1" s="1674" t="s">
        <v>106</v>
      </c>
      <c r="D1" s="1674"/>
      <c r="E1" s="1039">
        <v>6</v>
      </c>
      <c r="F1" s="1274" t="s">
        <v>702</v>
      </c>
      <c r="G1" s="1362">
        <v>4664</v>
      </c>
      <c r="H1" s="1274"/>
      <c r="I1" s="1363" t="s">
        <v>69</v>
      </c>
      <c r="J1" s="1363" t="s">
        <v>703</v>
      </c>
      <c r="K1" s="1364" t="s">
        <v>3178</v>
      </c>
      <c r="L1" s="1276" t="s">
        <v>97</v>
      </c>
    </row>
    <row r="2" spans="1:12" ht="41.25" customHeight="1">
      <c r="A2" s="1638" t="s">
        <v>1529</v>
      </c>
      <c r="B2" s="1638"/>
      <c r="C2" s="1550" t="s">
        <v>1457</v>
      </c>
      <c r="D2" s="1551"/>
      <c r="E2" s="1551"/>
      <c r="F2" s="1551"/>
      <c r="G2" s="1551"/>
      <c r="H2" s="1551"/>
      <c r="I2" s="1552"/>
      <c r="J2" s="240" t="s">
        <v>707</v>
      </c>
      <c r="K2" s="1277" t="s">
        <v>1384</v>
      </c>
      <c r="L2" s="244"/>
    </row>
    <row r="3" spans="1:12">
      <c r="A3" s="1315" t="s">
        <v>709</v>
      </c>
      <c r="B3" s="1315" t="s">
        <v>710</v>
      </c>
      <c r="C3" s="125" t="s">
        <v>711</v>
      </c>
      <c r="D3" s="125" t="s">
        <v>712</v>
      </c>
      <c r="E3" s="125" t="s">
        <v>713</v>
      </c>
      <c r="F3" s="125" t="s">
        <v>714</v>
      </c>
      <c r="G3" s="126" t="s">
        <v>715</v>
      </c>
      <c r="H3" s="125" t="s">
        <v>716</v>
      </c>
      <c r="I3" s="125" t="s">
        <v>717</v>
      </c>
      <c r="J3" s="125" t="s">
        <v>718</v>
      </c>
      <c r="K3" s="168" t="s">
        <v>719</v>
      </c>
      <c r="L3" s="53" t="s">
        <v>720</v>
      </c>
    </row>
    <row r="4" spans="1:12" ht="28.8">
      <c r="A4" s="1365" t="s">
        <v>3886</v>
      </c>
      <c r="B4" s="1366" t="s">
        <v>722</v>
      </c>
      <c r="C4" s="158" t="s">
        <v>48</v>
      </c>
      <c r="D4" s="158" t="s">
        <v>48</v>
      </c>
      <c r="E4" s="158" t="s">
        <v>48</v>
      </c>
      <c r="F4" s="158" t="s">
        <v>48</v>
      </c>
      <c r="G4" s="158" t="s">
        <v>48</v>
      </c>
      <c r="H4" s="158">
        <v>216</v>
      </c>
      <c r="I4" s="158" t="s">
        <v>723</v>
      </c>
      <c r="J4" s="1367" t="s">
        <v>729</v>
      </c>
      <c r="K4" s="1675">
        <v>1</v>
      </c>
      <c r="L4" s="1677" t="s">
        <v>3887</v>
      </c>
    </row>
    <row r="5" spans="1:12" ht="28.8">
      <c r="A5" s="959" t="s">
        <v>3888</v>
      </c>
      <c r="B5" s="1368" t="s">
        <v>3889</v>
      </c>
      <c r="C5" s="1369" t="s">
        <v>48</v>
      </c>
      <c r="D5" s="1369">
        <v>0</v>
      </c>
      <c r="E5" s="1369">
        <v>255</v>
      </c>
      <c r="F5" s="1369" t="s">
        <v>3890</v>
      </c>
      <c r="G5" s="1369">
        <v>255</v>
      </c>
      <c r="H5" s="1370">
        <v>8</v>
      </c>
      <c r="I5" s="1370" t="s">
        <v>743</v>
      </c>
      <c r="J5" s="1370" t="s">
        <v>729</v>
      </c>
      <c r="K5" s="1676"/>
      <c r="L5" s="1678"/>
    </row>
    <row r="6" spans="1:12" ht="30.75" customHeight="1">
      <c r="A6" s="959" t="s">
        <v>3891</v>
      </c>
      <c r="B6" s="1371" t="s">
        <v>3892</v>
      </c>
      <c r="C6" s="158" t="s">
        <v>48</v>
      </c>
      <c r="D6" s="158" t="s">
        <v>48</v>
      </c>
      <c r="E6" s="158" t="s">
        <v>48</v>
      </c>
      <c r="F6" s="158" t="s">
        <v>48</v>
      </c>
      <c r="G6" s="158" t="s">
        <v>48</v>
      </c>
      <c r="H6" s="1370">
        <v>16</v>
      </c>
      <c r="I6" s="1372" t="s">
        <v>1544</v>
      </c>
      <c r="J6" s="1369" t="s">
        <v>729</v>
      </c>
      <c r="K6" s="1670">
        <v>15</v>
      </c>
      <c r="L6" s="1672" t="s">
        <v>3893</v>
      </c>
    </row>
    <row r="7" spans="1:12" ht="28.8">
      <c r="A7" s="959" t="s">
        <v>3894</v>
      </c>
      <c r="B7" s="1368" t="s">
        <v>3895</v>
      </c>
      <c r="C7" s="1370" t="s">
        <v>48</v>
      </c>
      <c r="D7" s="1370">
        <v>0</v>
      </c>
      <c r="E7" s="81" t="s">
        <v>920</v>
      </c>
      <c r="F7" s="1370" t="s">
        <v>1187</v>
      </c>
      <c r="G7" s="81" t="s">
        <v>920</v>
      </c>
      <c r="H7" s="1370">
        <v>32</v>
      </c>
      <c r="I7" s="1370" t="s">
        <v>922</v>
      </c>
      <c r="J7" s="1370" t="s">
        <v>729</v>
      </c>
      <c r="K7" s="1671"/>
      <c r="L7" s="1673"/>
    </row>
    <row r="8" spans="1:12" ht="28.8">
      <c r="A8" s="959" t="s">
        <v>3896</v>
      </c>
      <c r="B8" s="1371" t="s">
        <v>3897</v>
      </c>
      <c r="C8" s="1370" t="s">
        <v>48</v>
      </c>
      <c r="D8" s="1370">
        <v>0</v>
      </c>
      <c r="E8" s="81" t="s">
        <v>920</v>
      </c>
      <c r="F8" s="1370" t="s">
        <v>1187</v>
      </c>
      <c r="G8" s="81" t="s">
        <v>920</v>
      </c>
      <c r="H8" s="1370">
        <v>32</v>
      </c>
      <c r="I8" s="1370" t="s">
        <v>922</v>
      </c>
      <c r="J8" s="1370" t="s">
        <v>729</v>
      </c>
      <c r="K8" s="1671"/>
      <c r="L8" s="1673"/>
    </row>
    <row r="9" spans="1:12" ht="28.8">
      <c r="A9" s="959" t="s">
        <v>3898</v>
      </c>
      <c r="B9" s="1371" t="s">
        <v>3899</v>
      </c>
      <c r="C9" s="1370" t="s">
        <v>919</v>
      </c>
      <c r="D9" s="1370">
        <v>0</v>
      </c>
      <c r="E9" s="1369">
        <v>65535</v>
      </c>
      <c r="F9" s="1370" t="s">
        <v>3900</v>
      </c>
      <c r="G9" s="1369">
        <v>65535</v>
      </c>
      <c r="H9" s="1370">
        <v>16</v>
      </c>
      <c r="I9" s="1370" t="s">
        <v>991</v>
      </c>
      <c r="J9" s="1370" t="s">
        <v>729</v>
      </c>
      <c r="K9" s="1671"/>
      <c r="L9" s="1673"/>
    </row>
    <row r="10" spans="1:12" ht="28.8">
      <c r="A10" s="959" t="s">
        <v>3901</v>
      </c>
      <c r="B10" s="1371" t="s">
        <v>3902</v>
      </c>
      <c r="C10" s="1369" t="s">
        <v>936</v>
      </c>
      <c r="D10" s="81">
        <v>-0.17</v>
      </c>
      <c r="E10" s="81" t="s">
        <v>920</v>
      </c>
      <c r="F10" s="1369" t="s">
        <v>1198</v>
      </c>
      <c r="G10" s="81" t="s">
        <v>920</v>
      </c>
      <c r="H10" s="1370">
        <v>32</v>
      </c>
      <c r="I10" s="1370" t="s">
        <v>922</v>
      </c>
      <c r="J10" s="1370" t="s">
        <v>729</v>
      </c>
      <c r="K10" s="1671"/>
      <c r="L10" s="1673"/>
    </row>
    <row r="11" spans="1:12" ht="28.8">
      <c r="A11" s="959" t="s">
        <v>3903</v>
      </c>
      <c r="B11" s="1371" t="s">
        <v>3904</v>
      </c>
      <c r="C11" s="1369" t="s">
        <v>936</v>
      </c>
      <c r="D11" s="81">
        <v>-0.7</v>
      </c>
      <c r="E11" s="81" t="s">
        <v>920</v>
      </c>
      <c r="F11" s="1369" t="s">
        <v>3905</v>
      </c>
      <c r="G11" s="1369" t="s">
        <v>920</v>
      </c>
      <c r="H11" s="1370">
        <v>32</v>
      </c>
      <c r="I11" s="1370" t="s">
        <v>922</v>
      </c>
      <c r="J11" s="1370" t="s">
        <v>729</v>
      </c>
      <c r="K11" s="1671"/>
      <c r="L11" s="1673"/>
    </row>
    <row r="12" spans="1:12" ht="28.8">
      <c r="A12" s="959" t="s">
        <v>3906</v>
      </c>
      <c r="B12" s="1371" t="s">
        <v>3907</v>
      </c>
      <c r="C12" s="1369" t="s">
        <v>936</v>
      </c>
      <c r="D12" s="81">
        <v>-0.17</v>
      </c>
      <c r="E12" s="81" t="s">
        <v>920</v>
      </c>
      <c r="F12" s="1369" t="s">
        <v>1198</v>
      </c>
      <c r="G12" s="81" t="s">
        <v>920</v>
      </c>
      <c r="H12" s="1370">
        <v>32</v>
      </c>
      <c r="I12" s="1370" t="s">
        <v>922</v>
      </c>
      <c r="J12" s="1370" t="s">
        <v>729</v>
      </c>
      <c r="K12" s="1671"/>
      <c r="L12" s="1673"/>
    </row>
    <row r="13" spans="1:12" ht="28.8">
      <c r="A13" s="959" t="s">
        <v>3908</v>
      </c>
      <c r="B13" s="1371" t="s">
        <v>3909</v>
      </c>
      <c r="C13" s="1369" t="s">
        <v>936</v>
      </c>
      <c r="D13" s="81">
        <v>-0.7</v>
      </c>
      <c r="E13" s="81" t="s">
        <v>920</v>
      </c>
      <c r="F13" s="1369" t="s">
        <v>3905</v>
      </c>
      <c r="G13" s="1369" t="s">
        <v>920</v>
      </c>
      <c r="H13" s="1370">
        <v>32</v>
      </c>
      <c r="I13" s="1370" t="s">
        <v>922</v>
      </c>
      <c r="J13" s="1370" t="s">
        <v>729</v>
      </c>
      <c r="K13" s="1671"/>
      <c r="L13" s="1673"/>
    </row>
    <row r="14" spans="1:12" ht="28.8">
      <c r="A14" s="959" t="s">
        <v>3910</v>
      </c>
      <c r="B14" s="1371" t="s">
        <v>3911</v>
      </c>
      <c r="C14" s="1369" t="s">
        <v>936</v>
      </c>
      <c r="D14" s="81">
        <v>-0.17</v>
      </c>
      <c r="E14" s="81" t="s">
        <v>920</v>
      </c>
      <c r="F14" s="1369" t="s">
        <v>1198</v>
      </c>
      <c r="G14" s="81" t="s">
        <v>920</v>
      </c>
      <c r="H14" s="1370">
        <v>32</v>
      </c>
      <c r="I14" s="1370" t="s">
        <v>922</v>
      </c>
      <c r="J14" s="1370" t="s">
        <v>729</v>
      </c>
      <c r="K14" s="1671"/>
      <c r="L14" s="1673"/>
    </row>
    <row r="15" spans="1:12" ht="28.8">
      <c r="A15" s="959" t="s">
        <v>3912</v>
      </c>
      <c r="B15" s="1371" t="s">
        <v>3913</v>
      </c>
      <c r="C15" s="1370" t="s">
        <v>48</v>
      </c>
      <c r="D15" s="1370">
        <v>0</v>
      </c>
      <c r="E15" s="1370">
        <v>1</v>
      </c>
      <c r="F15" s="1370" t="s">
        <v>1055</v>
      </c>
      <c r="G15" s="1369">
        <v>0</v>
      </c>
      <c r="H15" s="1370">
        <v>8</v>
      </c>
      <c r="I15" s="1370" t="s">
        <v>1056</v>
      </c>
      <c r="J15" s="1370" t="s">
        <v>729</v>
      </c>
      <c r="K15" s="1671"/>
      <c r="L15" s="1673"/>
    </row>
    <row r="16" spans="1:12" ht="28.8">
      <c r="A16" s="1319" t="s">
        <v>3914</v>
      </c>
      <c r="B16" s="1371" t="s">
        <v>3915</v>
      </c>
      <c r="C16" s="1369" t="s">
        <v>936</v>
      </c>
      <c r="D16" s="81">
        <v>-0.7</v>
      </c>
      <c r="E16" s="81" t="s">
        <v>920</v>
      </c>
      <c r="F16" s="1369" t="s">
        <v>3905</v>
      </c>
      <c r="G16" s="81" t="s">
        <v>920</v>
      </c>
      <c r="H16" s="1370">
        <v>32</v>
      </c>
      <c r="I16" s="1370" t="s">
        <v>922</v>
      </c>
      <c r="J16" s="1370" t="s">
        <v>729</v>
      </c>
      <c r="K16" s="1671"/>
      <c r="L16" s="1673"/>
    </row>
  </sheetData>
  <autoFilter ref="A3:L16" xr:uid="{B258BBE9-5D3A-4154-9A4F-96CEAA01CBAA}"/>
  <mergeCells count="7">
    <mergeCell ref="K6:K16"/>
    <mergeCell ref="L6:L16"/>
    <mergeCell ref="C1:D1"/>
    <mergeCell ref="A2:B2"/>
    <mergeCell ref="K4:K5"/>
    <mergeCell ref="L4:L5"/>
    <mergeCell ref="C2:I2"/>
  </mergeCells>
  <conditionalFormatting sqref="A16:B16 A15:J15 K4 A5:B6 A10:B14 H10:J14 H16:J16 A9:J9 H6 K6 H5:J5 A7:D8 F7:F8 H7:J8">
    <cfRule type="expression" dxfId="293" priority="45">
      <formula>MOD(ROW(), 2)=0</formula>
    </cfRule>
  </conditionalFormatting>
  <conditionalFormatting sqref="A4:J4">
    <cfRule type="expression" dxfId="292" priority="40">
      <formula>MOD(ROW(), 2)=0</formula>
    </cfRule>
  </conditionalFormatting>
  <conditionalFormatting sqref="C11">
    <cfRule type="expression" dxfId="291" priority="39">
      <formula>MOD(ROW(), 2)=0</formula>
    </cfRule>
  </conditionalFormatting>
  <conditionalFormatting sqref="D11">
    <cfRule type="expression" dxfId="290" priority="38">
      <formula>MOD(ROW(), 2)=0</formula>
    </cfRule>
  </conditionalFormatting>
  <conditionalFormatting sqref="C10">
    <cfRule type="expression" dxfId="289" priority="37">
      <formula>MOD(ROW(), 2)=0</formula>
    </cfRule>
  </conditionalFormatting>
  <conditionalFormatting sqref="D10">
    <cfRule type="expression" dxfId="288" priority="36">
      <formula>MOD(ROW(), 2)=0</formula>
    </cfRule>
  </conditionalFormatting>
  <conditionalFormatting sqref="C12">
    <cfRule type="expression" dxfId="287" priority="35">
      <formula>MOD(ROW(), 2)=0</formula>
    </cfRule>
  </conditionalFormatting>
  <conditionalFormatting sqref="C16">
    <cfRule type="expression" dxfId="286" priority="29">
      <formula>MOD(ROW(), 2)=0</formula>
    </cfRule>
  </conditionalFormatting>
  <conditionalFormatting sqref="C13">
    <cfRule type="expression" dxfId="285" priority="33">
      <formula>MOD(ROW(), 2)=0</formula>
    </cfRule>
  </conditionalFormatting>
  <conditionalFormatting sqref="D16">
    <cfRule type="expression" dxfId="284" priority="25">
      <formula>MOD(ROW(), 2)=0</formula>
    </cfRule>
  </conditionalFormatting>
  <conditionalFormatting sqref="C14">
    <cfRule type="expression" dxfId="283" priority="31">
      <formula>MOD(ROW(), 2)=0</formula>
    </cfRule>
  </conditionalFormatting>
  <conditionalFormatting sqref="E11">
    <cfRule type="expression" dxfId="282" priority="22">
      <formula>MOD(ROW(), 2)=0</formula>
    </cfRule>
  </conditionalFormatting>
  <conditionalFormatting sqref="D14">
    <cfRule type="expression" dxfId="281" priority="27">
      <formula>MOD(ROW(), 2)=0</formula>
    </cfRule>
  </conditionalFormatting>
  <conditionalFormatting sqref="D13">
    <cfRule type="expression" dxfId="280" priority="26">
      <formula>MOD(ROW(), 2)=0</formula>
    </cfRule>
  </conditionalFormatting>
  <conditionalFormatting sqref="D12">
    <cfRule type="expression" dxfId="279" priority="24">
      <formula>MOD(ROW(), 2)=0</formula>
    </cfRule>
  </conditionalFormatting>
  <conditionalFormatting sqref="F11:G11">
    <cfRule type="expression" dxfId="278" priority="23">
      <formula>MOD(ROW(), 2)=0</formula>
    </cfRule>
  </conditionalFormatting>
  <conditionalFormatting sqref="F13:G13">
    <cfRule type="expression" dxfId="277" priority="21">
      <formula>MOD(ROW(), 2)=0</formula>
    </cfRule>
  </conditionalFormatting>
  <conditionalFormatting sqref="E13">
    <cfRule type="expression" dxfId="276" priority="20">
      <formula>MOD(ROW(), 2)=0</formula>
    </cfRule>
  </conditionalFormatting>
  <conditionalFormatting sqref="F10">
    <cfRule type="expression" dxfId="275" priority="19">
      <formula>MOD(ROW(), 2)=0</formula>
    </cfRule>
  </conditionalFormatting>
  <conditionalFormatting sqref="E10">
    <cfRule type="expression" dxfId="274" priority="18">
      <formula>MOD(ROW(), 2)=0</formula>
    </cfRule>
  </conditionalFormatting>
  <conditionalFormatting sqref="G10">
    <cfRule type="expression" dxfId="273" priority="17">
      <formula>MOD(ROW(), 2)=0</formula>
    </cfRule>
  </conditionalFormatting>
  <conditionalFormatting sqref="F12">
    <cfRule type="expression" dxfId="272" priority="16">
      <formula>MOD(ROW(), 2)=0</formula>
    </cfRule>
  </conditionalFormatting>
  <conditionalFormatting sqref="E12">
    <cfRule type="expression" dxfId="271" priority="15">
      <formula>MOD(ROW(), 2)=0</formula>
    </cfRule>
  </conditionalFormatting>
  <conditionalFormatting sqref="G12">
    <cfRule type="expression" dxfId="270" priority="14">
      <formula>MOD(ROW(), 2)=0</formula>
    </cfRule>
  </conditionalFormatting>
  <conditionalFormatting sqref="F14">
    <cfRule type="expression" dxfId="269" priority="13">
      <formula>MOD(ROW(), 2)=0</formula>
    </cfRule>
  </conditionalFormatting>
  <conditionalFormatting sqref="E14">
    <cfRule type="expression" dxfId="268" priority="12">
      <formula>MOD(ROW(), 2)=0</formula>
    </cfRule>
  </conditionalFormatting>
  <conditionalFormatting sqref="G14">
    <cfRule type="expression" dxfId="267" priority="11">
      <formula>MOD(ROW(), 2)=0</formula>
    </cfRule>
  </conditionalFormatting>
  <conditionalFormatting sqref="E16">
    <cfRule type="expression" dxfId="266" priority="10">
      <formula>MOD(ROW(), 2)=0</formula>
    </cfRule>
  </conditionalFormatting>
  <conditionalFormatting sqref="G16">
    <cfRule type="expression" dxfId="265" priority="9">
      <formula>MOD(ROW(), 2)=0</formula>
    </cfRule>
  </conditionalFormatting>
  <conditionalFormatting sqref="F16">
    <cfRule type="expression" dxfId="264" priority="8">
      <formula>MOD(ROW(), 2)=0</formula>
    </cfRule>
  </conditionalFormatting>
  <conditionalFormatting sqref="C6:G6">
    <cfRule type="expression" dxfId="263" priority="7">
      <formula>MOD(ROW(), 2)=0</formula>
    </cfRule>
  </conditionalFormatting>
  <conditionalFormatting sqref="I6:J6">
    <cfRule type="expression" dxfId="262" priority="6">
      <formula>MOD(ROW(), 2)=0</formula>
    </cfRule>
  </conditionalFormatting>
  <conditionalFormatting sqref="C5:G5">
    <cfRule type="expression" dxfId="261" priority="5">
      <formula>MOD(ROW(), 2)=0</formula>
    </cfRule>
  </conditionalFormatting>
  <conditionalFormatting sqref="E7">
    <cfRule type="expression" dxfId="260" priority="4">
      <formula>MOD(ROW(), 2)=0</formula>
    </cfRule>
  </conditionalFormatting>
  <conditionalFormatting sqref="E8">
    <cfRule type="expression" dxfId="259" priority="3">
      <formula>MOD(ROW(), 2)=0</formula>
    </cfRule>
  </conditionalFormatting>
  <conditionalFormatting sqref="G7">
    <cfRule type="expression" dxfId="258" priority="2">
      <formula>MOD(ROW(), 2)=0</formula>
    </cfRule>
  </conditionalFormatting>
  <conditionalFormatting sqref="G8">
    <cfRule type="expression" dxfId="257" priority="1">
      <formula>MOD(ROW(), 2)=0</formula>
    </cfRule>
  </conditionalFormatting>
  <hyperlinks>
    <hyperlink ref="L1" location="'AVI_LSR_Debug'!A1" display="AVI_LSR_Debug" xr:uid="{42011620-AA74-4BA0-AA10-EF93312162B4}"/>
    <hyperlink ref="I1" location="'Revision Map'!A1" display="INDEX" xr:uid="{BA253C48-58A3-439E-BAE9-493FF2205E9E}"/>
    <hyperlink ref="J1" location="'Cross-FCN_Definitions'!A1" display="Cross-FCN_Definitions" xr:uid="{9C9748CE-85FA-4116-BECC-D99570920A07}"/>
    <hyperlink ref="K1" location="Light_Scene_Definitions!A1" display="Light_Scene_Definitions" xr:uid="{D71D2DFC-1565-4F3C-BD6D-31AD0A187E80}"/>
  </hyperlinks>
  <pageMargins left="0.7" right="0.7" top="0.75" bottom="0.75" header="0.3" footer="0.3"/>
  <headerFooter>
    <oddFooter>&amp;C_x000D_&amp;1#&amp;"Calibri"&amp;11&amp;KFF0000 Internal</oddFoot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701E8-F484-4258-B568-156F731CA32B}">
  <sheetPr codeName="Sheet65"/>
  <dimension ref="A1:E42"/>
  <sheetViews>
    <sheetView workbookViewId="0">
      <pane ySplit="1" topLeftCell="A31" activePane="bottomLeft" state="frozen"/>
      <selection activeCell="C22" activeCellId="1" sqref="A1:AS1 C22"/>
      <selection pane="bottomLeft" activeCell="B42" sqref="B42"/>
    </sheetView>
  </sheetViews>
  <sheetFormatPr defaultColWidth="9.15625" defaultRowHeight="14.4"/>
  <cols>
    <col min="1" max="1" width="10.83984375" style="1010" bestFit="1" customWidth="1"/>
    <col min="2" max="2" width="15.68359375" style="51" customWidth="1"/>
    <col min="3" max="3" width="44" customWidth="1"/>
    <col min="4" max="4" width="17" customWidth="1"/>
    <col min="5" max="5" width="10.83984375" bestFit="1" customWidth="1"/>
  </cols>
  <sheetData>
    <row r="1" spans="1:5">
      <c r="A1" s="1010" t="s">
        <v>644</v>
      </c>
      <c r="B1" s="51" t="s">
        <v>645</v>
      </c>
      <c r="C1" t="s">
        <v>646</v>
      </c>
      <c r="D1" t="s">
        <v>647</v>
      </c>
      <c r="E1" t="s">
        <v>793</v>
      </c>
    </row>
    <row r="2" spans="1:5" ht="43.2">
      <c r="A2" s="1010" t="s">
        <v>655</v>
      </c>
      <c r="B2" s="51">
        <v>44336</v>
      </c>
      <c r="C2" s="576" t="s">
        <v>3916</v>
      </c>
      <c r="D2" s="5" t="s">
        <v>796</v>
      </c>
      <c r="E2" s="5" t="s">
        <v>655</v>
      </c>
    </row>
    <row r="3" spans="1:5" ht="115.2">
      <c r="A3" s="1010" t="s">
        <v>655</v>
      </c>
      <c r="B3" s="51">
        <v>44336</v>
      </c>
      <c r="C3" s="576" t="s">
        <v>3917</v>
      </c>
      <c r="D3" s="5" t="s">
        <v>796</v>
      </c>
      <c r="E3" s="5" t="s">
        <v>655</v>
      </c>
    </row>
    <row r="4" spans="1:5" ht="28.8">
      <c r="A4" s="1010" t="s">
        <v>655</v>
      </c>
      <c r="B4" s="51">
        <v>44337</v>
      </c>
      <c r="C4" s="576" t="s">
        <v>3918</v>
      </c>
      <c r="D4" s="5" t="s">
        <v>796</v>
      </c>
      <c r="E4" s="5" t="s">
        <v>655</v>
      </c>
    </row>
    <row r="5" spans="1:5" ht="43.2">
      <c r="A5" s="1010" t="s">
        <v>655</v>
      </c>
      <c r="B5" s="51">
        <v>44340</v>
      </c>
      <c r="C5" s="576" t="s">
        <v>3919</v>
      </c>
      <c r="D5" s="5" t="s">
        <v>796</v>
      </c>
      <c r="E5" s="5" t="s">
        <v>655</v>
      </c>
    </row>
    <row r="6" spans="1:5">
      <c r="A6" s="1010">
        <v>1</v>
      </c>
      <c r="B6" s="51">
        <v>44340</v>
      </c>
      <c r="C6" s="5"/>
      <c r="D6" s="5" t="s">
        <v>796</v>
      </c>
      <c r="E6" s="5" t="s">
        <v>651</v>
      </c>
    </row>
    <row r="7" spans="1:5">
      <c r="A7" s="1010">
        <v>1</v>
      </c>
      <c r="B7" s="51">
        <v>44341</v>
      </c>
      <c r="C7" s="5"/>
      <c r="D7" s="5" t="s">
        <v>654</v>
      </c>
      <c r="E7" s="5" t="s">
        <v>661</v>
      </c>
    </row>
    <row r="8" spans="1:5">
      <c r="A8" s="1010">
        <v>1</v>
      </c>
      <c r="B8" s="51">
        <v>44452</v>
      </c>
      <c r="C8" s="5" t="s">
        <v>1345</v>
      </c>
      <c r="D8" s="5" t="s">
        <v>654</v>
      </c>
      <c r="E8" s="5" t="s">
        <v>661</v>
      </c>
    </row>
    <row r="9" spans="1:5" ht="72">
      <c r="A9" s="1010">
        <v>1.1000000000000001</v>
      </c>
      <c r="B9" s="51">
        <v>44690</v>
      </c>
      <c r="C9" s="576" t="s">
        <v>3920</v>
      </c>
      <c r="D9" s="5" t="s">
        <v>658</v>
      </c>
      <c r="E9" s="5" t="s">
        <v>655</v>
      </c>
    </row>
    <row r="10" spans="1:5" ht="100.8">
      <c r="A10" s="1010">
        <v>1.2</v>
      </c>
      <c r="B10" s="51">
        <v>44694</v>
      </c>
      <c r="C10" s="576" t="s">
        <v>3921</v>
      </c>
      <c r="D10" s="5" t="s">
        <v>658</v>
      </c>
      <c r="E10" s="5" t="s">
        <v>655</v>
      </c>
    </row>
    <row r="11" spans="1:5">
      <c r="A11" s="1010">
        <v>1.2</v>
      </c>
      <c r="B11" s="51">
        <v>44698</v>
      </c>
      <c r="C11" s="5" t="s">
        <v>999</v>
      </c>
      <c r="D11" s="5" t="s">
        <v>3176</v>
      </c>
      <c r="E11" s="5" t="s">
        <v>655</v>
      </c>
    </row>
    <row r="12" spans="1:5" ht="28.8">
      <c r="A12" s="1010">
        <v>1.2</v>
      </c>
      <c r="B12" s="51">
        <v>44698</v>
      </c>
      <c r="C12" s="576" t="s">
        <v>3922</v>
      </c>
      <c r="D12" s="5" t="s">
        <v>658</v>
      </c>
      <c r="E12" s="5" t="s">
        <v>655</v>
      </c>
    </row>
    <row r="13" spans="1:5" ht="28.8">
      <c r="A13" s="1010">
        <v>1.3</v>
      </c>
      <c r="B13" s="51">
        <v>44705</v>
      </c>
      <c r="C13" s="576" t="s">
        <v>3923</v>
      </c>
      <c r="D13" s="5" t="s">
        <v>658</v>
      </c>
      <c r="E13" s="5" t="s">
        <v>655</v>
      </c>
    </row>
    <row r="14" spans="1:5">
      <c r="A14" s="1010">
        <v>1.4</v>
      </c>
      <c r="B14" s="51">
        <v>44706</v>
      </c>
      <c r="C14" s="5" t="s">
        <v>1357</v>
      </c>
      <c r="D14" s="5" t="s">
        <v>658</v>
      </c>
      <c r="E14" s="5" t="s">
        <v>655</v>
      </c>
    </row>
    <row r="15" spans="1:5">
      <c r="A15" s="1010">
        <v>1.4</v>
      </c>
      <c r="B15" s="51">
        <v>44711</v>
      </c>
      <c r="C15" s="5" t="s">
        <v>3205</v>
      </c>
      <c r="D15" s="5" t="s">
        <v>654</v>
      </c>
      <c r="E15" s="5" t="s">
        <v>655</v>
      </c>
    </row>
    <row r="16" spans="1:5" ht="28.8">
      <c r="A16" s="1010">
        <v>2</v>
      </c>
      <c r="B16" s="51">
        <v>44711</v>
      </c>
      <c r="C16" s="576" t="s">
        <v>3206</v>
      </c>
      <c r="D16" s="5" t="s">
        <v>658</v>
      </c>
      <c r="E16" s="5" t="s">
        <v>651</v>
      </c>
    </row>
    <row r="17" spans="1:5">
      <c r="A17" s="1010">
        <v>2</v>
      </c>
      <c r="B17" s="51">
        <v>44719</v>
      </c>
      <c r="C17" s="5" t="s">
        <v>660</v>
      </c>
      <c r="D17" s="5" t="s">
        <v>654</v>
      </c>
      <c r="E17" s="5" t="s">
        <v>661</v>
      </c>
    </row>
    <row r="18" spans="1:5" ht="28.8">
      <c r="A18" s="1010">
        <v>2</v>
      </c>
      <c r="B18" s="51">
        <v>44741</v>
      </c>
      <c r="C18" s="576" t="s">
        <v>3207</v>
      </c>
      <c r="D18" s="5" t="s">
        <v>658</v>
      </c>
      <c r="E18" s="5" t="s">
        <v>651</v>
      </c>
    </row>
    <row r="19" spans="1:5">
      <c r="A19" s="1010">
        <v>2</v>
      </c>
      <c r="B19" s="51">
        <v>44742</v>
      </c>
      <c r="C19" s="5" t="s">
        <v>667</v>
      </c>
      <c r="D19" s="5" t="s">
        <v>654</v>
      </c>
      <c r="E19" s="5" t="s">
        <v>661</v>
      </c>
    </row>
    <row r="20" spans="1:5" ht="28.8">
      <c r="A20" s="1010">
        <v>2.1</v>
      </c>
      <c r="B20" s="51">
        <v>44804</v>
      </c>
      <c r="C20" s="576" t="s">
        <v>3208</v>
      </c>
      <c r="D20" s="5" t="s">
        <v>658</v>
      </c>
      <c r="E20" s="5" t="s">
        <v>655</v>
      </c>
    </row>
    <row r="21" spans="1:5" ht="43.2">
      <c r="A21" s="1010">
        <v>2.2000000000000002</v>
      </c>
      <c r="B21" s="191">
        <v>44895</v>
      </c>
      <c r="C21" s="594" t="s">
        <v>1363</v>
      </c>
      <c r="D21" s="595" t="s">
        <v>683</v>
      </c>
      <c r="E21" s="596" t="s">
        <v>655</v>
      </c>
    </row>
    <row r="22" spans="1:5">
      <c r="A22" s="1010">
        <v>2.2999999999999998</v>
      </c>
      <c r="B22" s="191">
        <v>44897</v>
      </c>
      <c r="C22" s="576" t="s">
        <v>3924</v>
      </c>
      <c r="D22" s="5" t="s">
        <v>676</v>
      </c>
      <c r="E22" s="5" t="s">
        <v>655</v>
      </c>
    </row>
    <row r="23" spans="1:5" ht="28.8">
      <c r="A23" s="1010">
        <v>2.4</v>
      </c>
      <c r="B23" s="51">
        <v>44900</v>
      </c>
      <c r="C23" s="576" t="s">
        <v>1693</v>
      </c>
      <c r="D23" s="5" t="s">
        <v>676</v>
      </c>
      <c r="E23" s="5" t="s">
        <v>655</v>
      </c>
    </row>
    <row r="24" spans="1:5">
      <c r="A24" s="1010">
        <v>2.4</v>
      </c>
      <c r="B24" s="51">
        <v>44902</v>
      </c>
      <c r="C24" s="5" t="s">
        <v>3210</v>
      </c>
      <c r="D24" s="5" t="s">
        <v>678</v>
      </c>
      <c r="E24" s="5" t="s">
        <v>655</v>
      </c>
    </row>
    <row r="25" spans="1:5">
      <c r="A25" s="1010">
        <v>2.4</v>
      </c>
      <c r="B25" s="51">
        <v>44937</v>
      </c>
      <c r="C25" s="624" t="s">
        <v>677</v>
      </c>
      <c r="D25" s="5" t="s">
        <v>678</v>
      </c>
      <c r="E25" s="5" t="s">
        <v>655</v>
      </c>
    </row>
    <row r="26" spans="1:5">
      <c r="A26" s="1012">
        <v>2.5</v>
      </c>
      <c r="B26" s="191">
        <v>44945</v>
      </c>
      <c r="C26" s="594" t="s">
        <v>1373</v>
      </c>
      <c r="D26" s="595" t="s">
        <v>1001</v>
      </c>
      <c r="E26" s="596" t="s">
        <v>655</v>
      </c>
    </row>
    <row r="27" spans="1:5">
      <c r="A27" s="1010">
        <v>2.5</v>
      </c>
      <c r="B27" s="51">
        <v>44953</v>
      </c>
      <c r="C27" s="5" t="s">
        <v>1378</v>
      </c>
      <c r="D27" s="5" t="s">
        <v>658</v>
      </c>
      <c r="E27" s="5" t="s">
        <v>655</v>
      </c>
    </row>
    <row r="28" spans="1:5" ht="28.8">
      <c r="A28" s="1010">
        <v>3</v>
      </c>
      <c r="B28" s="51">
        <v>44957</v>
      </c>
      <c r="C28" s="602" t="s">
        <v>3213</v>
      </c>
      <c r="D28" s="595" t="s">
        <v>678</v>
      </c>
      <c r="E28" s="5" t="s">
        <v>651</v>
      </c>
    </row>
    <row r="29" spans="1:5">
      <c r="A29" s="1010">
        <v>3</v>
      </c>
      <c r="B29" s="51">
        <v>44957</v>
      </c>
      <c r="C29" s="5" t="s">
        <v>687</v>
      </c>
      <c r="D29" s="5" t="s">
        <v>676</v>
      </c>
      <c r="E29" s="5" t="s">
        <v>661</v>
      </c>
    </row>
    <row r="30" spans="1:5">
      <c r="A30" s="1010">
        <v>3</v>
      </c>
      <c r="B30" s="51">
        <v>44970</v>
      </c>
      <c r="C30" s="576" t="s">
        <v>691</v>
      </c>
      <c r="D30" s="5" t="s">
        <v>676</v>
      </c>
      <c r="E30" s="5" t="s">
        <v>661</v>
      </c>
    </row>
    <row r="31" spans="1:5" ht="28.8">
      <c r="A31" s="1010">
        <v>4</v>
      </c>
      <c r="B31" s="51">
        <v>44994</v>
      </c>
      <c r="C31" s="602" t="s">
        <v>3214</v>
      </c>
      <c r="D31" s="595" t="s">
        <v>3176</v>
      </c>
      <c r="E31" s="5" t="s">
        <v>651</v>
      </c>
    </row>
    <row r="32" spans="1:5">
      <c r="A32" s="1010">
        <v>4</v>
      </c>
      <c r="B32" s="191">
        <v>44998</v>
      </c>
      <c r="C32" s="576" t="s">
        <v>692</v>
      </c>
      <c r="D32" s="5" t="s">
        <v>678</v>
      </c>
      <c r="E32" s="5" t="s">
        <v>661</v>
      </c>
    </row>
    <row r="33" spans="1:5">
      <c r="A33" s="1010">
        <v>4.0999999999999996</v>
      </c>
      <c r="B33" s="191">
        <v>45072</v>
      </c>
      <c r="C33" s="5" t="s">
        <v>818</v>
      </c>
      <c r="D33" s="5" t="s">
        <v>678</v>
      </c>
      <c r="E33" s="5" t="s">
        <v>655</v>
      </c>
    </row>
    <row r="34" spans="1:5">
      <c r="A34" s="1010">
        <v>4.0999999999999996</v>
      </c>
      <c r="B34" s="191">
        <v>45072</v>
      </c>
      <c r="C34" s="5" t="s">
        <v>3925</v>
      </c>
      <c r="D34" s="5" t="s">
        <v>697</v>
      </c>
      <c r="E34" s="5" t="s">
        <v>655</v>
      </c>
    </row>
    <row r="35" spans="1:5">
      <c r="A35" s="1010" t="s">
        <v>1364</v>
      </c>
      <c r="B35" s="191">
        <v>45077</v>
      </c>
      <c r="C35" s="5" t="s">
        <v>3926</v>
      </c>
      <c r="D35" s="5" t="s">
        <v>678</v>
      </c>
      <c r="E35" s="5" t="s">
        <v>655</v>
      </c>
    </row>
    <row r="36" spans="1:5">
      <c r="A36" s="1010" t="s">
        <v>1364</v>
      </c>
      <c r="B36" s="191">
        <v>45077</v>
      </c>
      <c r="C36" s="5" t="s">
        <v>3925</v>
      </c>
      <c r="D36" s="5" t="s">
        <v>697</v>
      </c>
      <c r="E36" s="5" t="s">
        <v>655</v>
      </c>
    </row>
    <row r="37" spans="1:5" ht="28.8">
      <c r="A37" s="1010" t="s">
        <v>690</v>
      </c>
      <c r="B37" s="191">
        <v>45078</v>
      </c>
      <c r="C37" s="602" t="s">
        <v>3215</v>
      </c>
      <c r="D37" s="5" t="s">
        <v>678</v>
      </c>
      <c r="E37" s="5" t="s">
        <v>651</v>
      </c>
    </row>
    <row r="38" spans="1:5">
      <c r="A38" s="1010" t="s">
        <v>690</v>
      </c>
      <c r="B38" s="191">
        <v>45078</v>
      </c>
      <c r="C38" s="5" t="s">
        <v>699</v>
      </c>
      <c r="D38" s="5" t="s">
        <v>678</v>
      </c>
      <c r="E38" s="5" t="s">
        <v>661</v>
      </c>
    </row>
    <row r="39" spans="1:5">
      <c r="A39" s="1010" t="s">
        <v>693</v>
      </c>
      <c r="B39" s="188">
        <v>45097</v>
      </c>
      <c r="C39" s="585" t="s">
        <v>818</v>
      </c>
      <c r="D39" s="585" t="s">
        <v>678</v>
      </c>
      <c r="E39" s="586" t="s">
        <v>655</v>
      </c>
    </row>
    <row r="40" spans="1:5" ht="28.8">
      <c r="A40" s="1010" t="s">
        <v>698</v>
      </c>
      <c r="B40" s="188">
        <v>45097</v>
      </c>
      <c r="C40" s="602" t="s">
        <v>3215</v>
      </c>
      <c r="D40" s="585" t="s">
        <v>678</v>
      </c>
      <c r="E40" s="586" t="s">
        <v>651</v>
      </c>
    </row>
    <row r="41" spans="1:5">
      <c r="A41" s="1010" t="s">
        <v>698</v>
      </c>
      <c r="B41" s="191">
        <v>45097</v>
      </c>
      <c r="C41" s="595" t="s">
        <v>700</v>
      </c>
      <c r="D41" s="595" t="s">
        <v>678</v>
      </c>
      <c r="E41" s="596" t="s">
        <v>661</v>
      </c>
    </row>
    <row r="42" spans="1:5">
      <c r="A42" s="1010" t="s">
        <v>698</v>
      </c>
      <c r="B42" s="1065">
        <v>45205</v>
      </c>
      <c r="C42" s="595" t="s">
        <v>701</v>
      </c>
      <c r="D42" s="595" t="s">
        <v>678</v>
      </c>
      <c r="E42" s="596" t="s">
        <v>661</v>
      </c>
    </row>
  </sheetData>
  <pageMargins left="0.7" right="0.7" top="0.75" bottom="0.75" header="0.3" footer="0.3"/>
  <pageSetup paperSize="9" orientation="portrait" r:id="rId1"/>
  <headerFooter>
    <oddFooter>&amp;C_x000D_&amp;1#&amp;"Calibri"&amp;11&amp;KFF0000 Internal</oddFooter>
  </headerFooter>
  <tableParts count="1">
    <tablePart r:id="rId2"/>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6AE29-9345-439E-A02C-4A0E6B837E5C}">
  <sheetPr codeName="Sheet88"/>
  <dimension ref="A1:L6"/>
  <sheetViews>
    <sheetView workbookViewId="0">
      <selection activeCell="C2" sqref="C2:I2"/>
    </sheetView>
  </sheetViews>
  <sheetFormatPr defaultColWidth="9.15625" defaultRowHeight="14.4"/>
  <cols>
    <col min="1" max="1" width="35.578125" customWidth="1"/>
    <col min="2" max="2" width="35.83984375" customWidth="1"/>
    <col min="6" max="6" width="15.578125" customWidth="1"/>
    <col min="9" max="9" width="23" customWidth="1"/>
    <col min="10" max="10" width="17.41796875" customWidth="1"/>
    <col min="11" max="11" width="21.68359375" customWidth="1"/>
    <col min="12" max="12" width="28.15625" customWidth="1"/>
  </cols>
  <sheetData>
    <row r="1" spans="1:12">
      <c r="A1" s="336" t="s">
        <v>104</v>
      </c>
      <c r="B1" s="339" t="s">
        <v>97</v>
      </c>
      <c r="C1" s="1564" t="s">
        <v>106</v>
      </c>
      <c r="D1" s="1565"/>
      <c r="E1" s="337">
        <v>4</v>
      </c>
      <c r="F1" s="1308" t="s">
        <v>702</v>
      </c>
      <c r="G1" s="1309">
        <v>1312</v>
      </c>
      <c r="H1" s="1308"/>
      <c r="I1" s="1308"/>
      <c r="J1" s="1310" t="s">
        <v>69</v>
      </c>
      <c r="K1" s="1310" t="s">
        <v>703</v>
      </c>
      <c r="L1" s="1276" t="s">
        <v>87</v>
      </c>
    </row>
    <row r="2" spans="1:12" ht="186" customHeight="1">
      <c r="A2" s="1566" t="s">
        <v>1615</v>
      </c>
      <c r="B2" s="1567"/>
      <c r="C2" s="1550" t="s">
        <v>1457</v>
      </c>
      <c r="D2" s="1551"/>
      <c r="E2" s="1551"/>
      <c r="F2" s="1551"/>
      <c r="G2" s="1551"/>
      <c r="H2" s="1551"/>
      <c r="I2" s="1552"/>
      <c r="J2" s="240" t="s">
        <v>707</v>
      </c>
      <c r="K2" s="1311" t="s">
        <v>1384</v>
      </c>
      <c r="L2" s="18"/>
    </row>
    <row r="3" spans="1:12">
      <c r="A3" s="1312" t="s">
        <v>709</v>
      </c>
      <c r="B3" s="1313" t="s">
        <v>710</v>
      </c>
      <c r="C3" s="80" t="s">
        <v>711</v>
      </c>
      <c r="D3" s="80" t="s">
        <v>712</v>
      </c>
      <c r="E3" s="80" t="s">
        <v>713</v>
      </c>
      <c r="F3" s="80" t="s">
        <v>714</v>
      </c>
      <c r="G3" s="344" t="s">
        <v>715</v>
      </c>
      <c r="H3" s="80" t="s">
        <v>716</v>
      </c>
      <c r="I3" s="80" t="s">
        <v>717</v>
      </c>
      <c r="J3" s="80" t="s">
        <v>718</v>
      </c>
      <c r="K3" s="357" t="s">
        <v>719</v>
      </c>
      <c r="L3" s="80" t="s">
        <v>720</v>
      </c>
    </row>
    <row r="4" spans="1:12" ht="28.8">
      <c r="A4" s="1001" t="s">
        <v>3927</v>
      </c>
      <c r="B4" s="1001" t="s">
        <v>722</v>
      </c>
      <c r="C4" s="418" t="s">
        <v>48</v>
      </c>
      <c r="D4" s="418" t="s">
        <v>48</v>
      </c>
      <c r="E4" s="418" t="s">
        <v>48</v>
      </c>
      <c r="F4" s="418" t="s">
        <v>48</v>
      </c>
      <c r="G4" s="418" t="s">
        <v>48</v>
      </c>
      <c r="H4" s="418">
        <v>216</v>
      </c>
      <c r="I4" s="418" t="s">
        <v>723</v>
      </c>
      <c r="J4" s="345" t="s">
        <v>724</v>
      </c>
      <c r="K4" s="1568">
        <v>1</v>
      </c>
      <c r="L4" s="1570" t="s">
        <v>3928</v>
      </c>
    </row>
    <row r="5" spans="1:12" ht="28.8">
      <c r="A5" s="360" t="s">
        <v>3929</v>
      </c>
      <c r="B5" s="359" t="s">
        <v>3930</v>
      </c>
      <c r="C5" s="345" t="s">
        <v>48</v>
      </c>
      <c r="D5" s="345">
        <v>0</v>
      </c>
      <c r="E5" s="345">
        <v>65535</v>
      </c>
      <c r="F5" s="345" t="s">
        <v>1620</v>
      </c>
      <c r="G5" s="345">
        <v>65535</v>
      </c>
      <c r="H5" s="346">
        <v>16</v>
      </c>
      <c r="I5" s="347" t="s">
        <v>991</v>
      </c>
      <c r="J5" s="348" t="s">
        <v>729</v>
      </c>
      <c r="K5" s="1569"/>
      <c r="L5" s="1571"/>
    </row>
    <row r="6" spans="1:12" ht="28.8">
      <c r="A6" s="358" t="s">
        <v>3931</v>
      </c>
      <c r="B6" s="359" t="s">
        <v>1622</v>
      </c>
      <c r="C6" s="345" t="s">
        <v>48</v>
      </c>
      <c r="D6" s="345" t="s">
        <v>48</v>
      </c>
      <c r="E6" s="345" t="s">
        <v>48</v>
      </c>
      <c r="F6" s="345" t="s">
        <v>48</v>
      </c>
      <c r="G6" s="345" t="s">
        <v>48</v>
      </c>
      <c r="H6" s="345">
        <v>72</v>
      </c>
      <c r="I6" s="345" t="s">
        <v>1623</v>
      </c>
      <c r="J6" s="348" t="s">
        <v>729</v>
      </c>
      <c r="K6" s="353">
        <v>15</v>
      </c>
      <c r="L6" s="354" t="s">
        <v>3932</v>
      </c>
    </row>
  </sheetData>
  <mergeCells count="5">
    <mergeCell ref="C1:D1"/>
    <mergeCell ref="A2:B2"/>
    <mergeCell ref="C2:I2"/>
    <mergeCell ref="K4:K5"/>
    <mergeCell ref="L4:L5"/>
  </mergeCells>
  <conditionalFormatting sqref="B6:H6 C5:J5 J6">
    <cfRule type="expression" dxfId="250" priority="4">
      <formula>MOD(ROW(), 2)=0</formula>
    </cfRule>
  </conditionalFormatting>
  <conditionalFormatting sqref="K4">
    <cfRule type="expression" dxfId="249" priority="3">
      <formula>MOD(ROW(), 2)=0</formula>
    </cfRule>
  </conditionalFormatting>
  <conditionalFormatting sqref="J4">
    <cfRule type="expression" dxfId="248" priority="2">
      <formula>MOD(ROW(), 2)=0</formula>
    </cfRule>
  </conditionalFormatting>
  <conditionalFormatting sqref="I6">
    <cfRule type="expression" dxfId="247" priority="1">
      <formula>MOD(ROW(), 2)=0</formula>
    </cfRule>
  </conditionalFormatting>
  <hyperlinks>
    <hyperlink ref="J1" location="'Revision Map'!A1" display="INDEX" xr:uid="{C2CF7B4A-8C03-4DBB-9D34-8B9075628DC7}"/>
    <hyperlink ref="K1" location="'Cross-FCN_Definitions'!A1" display="Cross-FCN_Definitions" xr:uid="{1F7C20B7-5929-40CD-A21A-8CC6255C0129}"/>
    <hyperlink ref="L1" location="'AVI_Light_Scene_Reflectors'!A1" display="AVI_Light_Scene_Reflectors" xr:uid="{22102981-1456-4F75-8F5C-1D618485F7BB}"/>
  </hyperlinks>
  <pageMargins left="0.7" right="0.7" top="0.75" bottom="0.75" header="0.3" footer="0.3"/>
  <headerFooter>
    <oddFooter>&amp;C_x000D_&amp;1#&amp;"Calibri"&amp;11&amp;KFF0000 Internal</oddFooter>
  </headerFooter>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AEA95-6851-444D-8192-9D9E795E3990}">
  <sheetPr codeName="Sheet89"/>
  <dimension ref="A1:E22"/>
  <sheetViews>
    <sheetView topLeftCell="A16" workbookViewId="0">
      <selection activeCell="B22" sqref="B22"/>
    </sheetView>
  </sheetViews>
  <sheetFormatPr defaultColWidth="9.15625" defaultRowHeight="14.4"/>
  <cols>
    <col min="1" max="1" width="11" style="1014" bestFit="1" customWidth="1"/>
    <col min="2" max="2" width="15.578125" customWidth="1"/>
    <col min="3" max="3" width="50.41796875" customWidth="1"/>
    <col min="4" max="4" width="17.578125" bestFit="1" customWidth="1"/>
    <col min="5" max="5" width="11.578125" bestFit="1" customWidth="1"/>
  </cols>
  <sheetData>
    <row r="1" spans="1:5">
      <c r="A1" s="670" t="s">
        <v>644</v>
      </c>
      <c r="B1" s="642" t="s">
        <v>645</v>
      </c>
      <c r="C1" s="643" t="s">
        <v>646</v>
      </c>
      <c r="D1" s="643" t="s">
        <v>647</v>
      </c>
      <c r="E1" s="644" t="s">
        <v>793</v>
      </c>
    </row>
    <row r="2" spans="1:5">
      <c r="A2" s="628">
        <v>0.1</v>
      </c>
      <c r="B2" s="356">
        <v>44944</v>
      </c>
      <c r="C2" s="589" t="s">
        <v>3933</v>
      </c>
      <c r="D2" s="590" t="s">
        <v>678</v>
      </c>
      <c r="E2" s="591" t="s">
        <v>655</v>
      </c>
    </row>
    <row r="3" spans="1:5">
      <c r="A3" s="629">
        <v>0.2</v>
      </c>
      <c r="B3" s="188">
        <v>44945</v>
      </c>
      <c r="C3" s="584" t="s">
        <v>1373</v>
      </c>
      <c r="D3" s="585" t="s">
        <v>1001</v>
      </c>
      <c r="E3" s="586" t="s">
        <v>655</v>
      </c>
    </row>
    <row r="4" spans="1:5">
      <c r="A4" s="1026">
        <v>0.2</v>
      </c>
      <c r="B4" s="356">
        <v>44950</v>
      </c>
      <c r="C4" s="625" t="s">
        <v>1626</v>
      </c>
      <c r="D4" s="616" t="s">
        <v>1627</v>
      </c>
      <c r="E4" s="626" t="s">
        <v>655</v>
      </c>
    </row>
    <row r="5" spans="1:5" ht="100.8">
      <c r="A5" s="1010">
        <v>0.3</v>
      </c>
      <c r="B5" s="51">
        <v>44953</v>
      </c>
      <c r="C5" s="576" t="s">
        <v>3934</v>
      </c>
      <c r="D5" s="585" t="s">
        <v>678</v>
      </c>
      <c r="E5" s="586" t="s">
        <v>655</v>
      </c>
    </row>
    <row r="6" spans="1:5">
      <c r="A6" s="1011">
        <v>0.3</v>
      </c>
      <c r="B6" s="515">
        <v>44953</v>
      </c>
      <c r="C6" s="419" t="s">
        <v>3711</v>
      </c>
      <c r="D6" s="419" t="s">
        <v>658</v>
      </c>
      <c r="E6" s="419" t="s">
        <v>655</v>
      </c>
    </row>
    <row r="7" spans="1:5">
      <c r="A7" s="1010">
        <v>1</v>
      </c>
      <c r="B7" s="188">
        <v>44957</v>
      </c>
      <c r="C7" s="602" t="s">
        <v>3653</v>
      </c>
      <c r="D7" s="585" t="s">
        <v>678</v>
      </c>
      <c r="E7" s="586" t="s">
        <v>651</v>
      </c>
    </row>
    <row r="8" spans="1:5">
      <c r="A8" s="1010">
        <v>1</v>
      </c>
      <c r="B8" s="51">
        <v>44957</v>
      </c>
      <c r="C8" s="5" t="s">
        <v>687</v>
      </c>
      <c r="D8" s="5" t="s">
        <v>676</v>
      </c>
      <c r="E8" s="5" t="s">
        <v>661</v>
      </c>
    </row>
    <row r="9" spans="1:5">
      <c r="A9" s="1010">
        <v>1</v>
      </c>
      <c r="B9" s="51">
        <v>44970</v>
      </c>
      <c r="C9" s="2" t="s">
        <v>691</v>
      </c>
      <c r="D9" s="5" t="s">
        <v>676</v>
      </c>
      <c r="E9" s="5" t="s">
        <v>661</v>
      </c>
    </row>
    <row r="10" spans="1:5" ht="100.8">
      <c r="A10" s="1010">
        <v>1.1000000000000001</v>
      </c>
      <c r="B10" s="51">
        <v>44987</v>
      </c>
      <c r="C10" s="2" t="s">
        <v>1630</v>
      </c>
      <c r="D10" t="s">
        <v>3176</v>
      </c>
      <c r="E10" t="s">
        <v>655</v>
      </c>
    </row>
    <row r="11" spans="1:5" ht="28.8">
      <c r="A11" s="1010">
        <v>1.2</v>
      </c>
      <c r="B11" s="51">
        <v>44993</v>
      </c>
      <c r="C11" s="2" t="s">
        <v>3935</v>
      </c>
      <c r="D11" t="s">
        <v>3176</v>
      </c>
      <c r="E11" t="s">
        <v>655</v>
      </c>
    </row>
    <row r="12" spans="1:5">
      <c r="A12" s="1010">
        <v>1.2</v>
      </c>
      <c r="B12" s="51">
        <v>44993</v>
      </c>
      <c r="C12" t="s">
        <v>3711</v>
      </c>
      <c r="D12" t="s">
        <v>658</v>
      </c>
      <c r="E12" t="s">
        <v>655</v>
      </c>
    </row>
    <row r="13" spans="1:5">
      <c r="A13" s="1012">
        <v>2</v>
      </c>
      <c r="B13" s="191">
        <v>44993</v>
      </c>
      <c r="C13" s="594" t="s">
        <v>1610</v>
      </c>
      <c r="D13" s="595" t="s">
        <v>3176</v>
      </c>
      <c r="E13" s="596" t="s">
        <v>651</v>
      </c>
    </row>
    <row r="14" spans="1:5">
      <c r="A14" s="1014">
        <v>2</v>
      </c>
      <c r="B14" s="191">
        <v>44998</v>
      </c>
      <c r="C14" s="2" t="s">
        <v>692</v>
      </c>
      <c r="D14" s="5" t="s">
        <v>678</v>
      </c>
      <c r="E14" s="5" t="s">
        <v>661</v>
      </c>
    </row>
    <row r="15" spans="1:5" ht="28.8">
      <c r="A15" s="1010">
        <v>2.1</v>
      </c>
      <c r="B15" s="191">
        <v>45077</v>
      </c>
      <c r="C15" s="2" t="s">
        <v>1633</v>
      </c>
      <c r="D15" t="s">
        <v>3176</v>
      </c>
      <c r="E15" t="s">
        <v>655</v>
      </c>
    </row>
    <row r="16" spans="1:5">
      <c r="A16" s="1035" t="s">
        <v>663</v>
      </c>
      <c r="B16" s="191">
        <v>45078</v>
      </c>
      <c r="C16" s="1034" t="s">
        <v>3711</v>
      </c>
      <c r="D16" s="1034" t="s">
        <v>658</v>
      </c>
      <c r="E16" s="1034" t="s">
        <v>655</v>
      </c>
    </row>
    <row r="17" spans="1:5">
      <c r="A17" s="1014" t="s">
        <v>666</v>
      </c>
      <c r="B17" s="191">
        <v>45078</v>
      </c>
      <c r="C17" s="594" t="s">
        <v>1614</v>
      </c>
      <c r="D17" s="5" t="s">
        <v>678</v>
      </c>
      <c r="E17" s="596" t="s">
        <v>651</v>
      </c>
    </row>
    <row r="18" spans="1:5">
      <c r="A18" s="1010" t="s">
        <v>666</v>
      </c>
      <c r="B18" s="191">
        <v>45078</v>
      </c>
      <c r="C18" s="5" t="s">
        <v>699</v>
      </c>
      <c r="D18" s="5" t="s">
        <v>678</v>
      </c>
      <c r="E18" s="5" t="s">
        <v>661</v>
      </c>
    </row>
    <row r="19" spans="1:5">
      <c r="A19" s="1014" t="s">
        <v>668</v>
      </c>
      <c r="B19" s="188">
        <v>45097</v>
      </c>
      <c r="C19" s="585" t="s">
        <v>818</v>
      </c>
      <c r="D19" s="585" t="s">
        <v>678</v>
      </c>
      <c r="E19" s="586" t="s">
        <v>655</v>
      </c>
    </row>
    <row r="20" spans="1:5">
      <c r="A20" s="1014" t="s">
        <v>686</v>
      </c>
      <c r="B20" s="188">
        <v>45097</v>
      </c>
      <c r="C20" s="594" t="s">
        <v>1614</v>
      </c>
      <c r="D20" s="585" t="s">
        <v>678</v>
      </c>
      <c r="E20" s="586" t="s">
        <v>651</v>
      </c>
    </row>
    <row r="21" spans="1:5">
      <c r="A21" s="1014" t="s">
        <v>686</v>
      </c>
      <c r="B21" s="191">
        <v>45097</v>
      </c>
      <c r="C21" s="595" t="s">
        <v>700</v>
      </c>
      <c r="D21" s="595" t="s">
        <v>678</v>
      </c>
      <c r="E21" s="596" t="s">
        <v>661</v>
      </c>
    </row>
    <row r="22" spans="1:5">
      <c r="A22" s="1014" t="s">
        <v>686</v>
      </c>
      <c r="B22" s="1065">
        <v>45205</v>
      </c>
      <c r="C22" s="595" t="s">
        <v>701</v>
      </c>
      <c r="D22" s="595" t="s">
        <v>678</v>
      </c>
      <c r="E22" s="596" t="s">
        <v>661</v>
      </c>
    </row>
  </sheetData>
  <pageMargins left="0.7" right="0.7" top="0.75" bottom="0.75" header="0.3" footer="0.3"/>
  <headerFooter>
    <oddFooter>&amp;C_x000D_&amp;1#&amp;"Calibri"&amp;11&amp;KFF0000 Internal</oddFooter>
  </headerFooter>
  <tableParts count="1">
    <tablePart r:id="rId1"/>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93E3C-8017-4985-8CCE-4274B039DF7D}">
  <sheetPr codeName="Sheet62"/>
  <dimension ref="A1:L36"/>
  <sheetViews>
    <sheetView zoomScale="90" zoomScaleNormal="90" workbookViewId="0">
      <pane ySplit="3" topLeftCell="A16" activePane="bottomLeft" state="frozen"/>
      <selection activeCell="J3" sqref="J3"/>
      <selection pane="bottomLeft" activeCell="A11" sqref="A11"/>
    </sheetView>
  </sheetViews>
  <sheetFormatPr defaultColWidth="9.15625" defaultRowHeight="14.4"/>
  <cols>
    <col min="1" max="1" width="37" customWidth="1"/>
    <col min="2" max="2" width="63.68359375" customWidth="1"/>
    <col min="3" max="3" width="8.26171875" bestFit="1" customWidth="1"/>
    <col min="4" max="4" width="7.68359375" customWidth="1"/>
    <col min="5" max="5" width="9.41796875" customWidth="1"/>
    <col min="6" max="6" width="36.83984375" customWidth="1"/>
    <col min="7" max="7" width="12.26171875" customWidth="1"/>
    <col min="8" max="8" width="12" customWidth="1"/>
    <col min="9" max="9" width="27.15625" customWidth="1"/>
    <col min="10" max="10" width="21.15625" customWidth="1"/>
    <col min="11" max="11" width="23" bestFit="1" customWidth="1"/>
    <col min="12" max="12" width="15.41796875" customWidth="1"/>
    <col min="13" max="13" width="23.68359375" customWidth="1"/>
  </cols>
  <sheetData>
    <row r="1" spans="1:12">
      <c r="A1" s="79" t="s">
        <v>104</v>
      </c>
      <c r="B1" s="79" t="s">
        <v>86</v>
      </c>
      <c r="C1" s="1682" t="s">
        <v>106</v>
      </c>
      <c r="D1" s="1683"/>
      <c r="E1" s="1040">
        <v>7</v>
      </c>
      <c r="F1" s="1274" t="s">
        <v>702</v>
      </c>
      <c r="G1" s="1362">
        <v>9464</v>
      </c>
      <c r="H1" s="1274"/>
      <c r="I1" s="1314" t="s">
        <v>69</v>
      </c>
      <c r="J1" s="1314" t="s">
        <v>703</v>
      </c>
      <c r="K1" s="1364" t="s">
        <v>3178</v>
      </c>
      <c r="L1" s="1276" t="s">
        <v>98</v>
      </c>
    </row>
    <row r="2" spans="1:12" ht="9.75" customHeight="1">
      <c r="A2" s="1684" t="s">
        <v>1529</v>
      </c>
      <c r="B2" s="1684"/>
      <c r="C2" s="1550" t="s">
        <v>1457</v>
      </c>
      <c r="D2" s="1551"/>
      <c r="E2" s="1551"/>
      <c r="F2" s="1551"/>
      <c r="G2" s="1551"/>
      <c r="H2" s="1551"/>
      <c r="I2" s="1552"/>
      <c r="J2" s="240" t="s">
        <v>707</v>
      </c>
      <c r="K2" s="1277" t="s">
        <v>1384</v>
      </c>
      <c r="L2" s="18"/>
    </row>
    <row r="3" spans="1:12" ht="20.25" customHeight="1">
      <c r="A3" s="1373" t="s">
        <v>709</v>
      </c>
      <c r="B3" s="1374" t="s">
        <v>710</v>
      </c>
      <c r="C3" s="127" t="s">
        <v>711</v>
      </c>
      <c r="D3" s="127" t="s">
        <v>712</v>
      </c>
      <c r="E3" s="127" t="s">
        <v>713</v>
      </c>
      <c r="F3" s="127" t="s">
        <v>714</v>
      </c>
      <c r="G3" s="128" t="s">
        <v>715</v>
      </c>
      <c r="H3" s="127" t="s">
        <v>716</v>
      </c>
      <c r="I3" s="127" t="s">
        <v>717</v>
      </c>
      <c r="J3" s="727" t="s">
        <v>718</v>
      </c>
      <c r="K3" s="168" t="s">
        <v>719</v>
      </c>
      <c r="L3" s="80" t="s">
        <v>720</v>
      </c>
    </row>
    <row r="4" spans="1:12">
      <c r="A4" s="1375" t="s">
        <v>3936</v>
      </c>
      <c r="B4" s="1376" t="s">
        <v>722</v>
      </c>
      <c r="C4" s="146" t="s">
        <v>48</v>
      </c>
      <c r="D4" s="146" t="s">
        <v>48</v>
      </c>
      <c r="E4" s="146" t="s">
        <v>48</v>
      </c>
      <c r="F4" s="146" t="s">
        <v>48</v>
      </c>
      <c r="G4" s="146" t="s">
        <v>48</v>
      </c>
      <c r="H4" s="146">
        <v>216</v>
      </c>
      <c r="I4" s="728" t="s">
        <v>723</v>
      </c>
      <c r="J4" s="1377" t="s">
        <v>729</v>
      </c>
      <c r="K4" s="1685">
        <v>1</v>
      </c>
      <c r="L4" s="1687" t="s">
        <v>3937</v>
      </c>
    </row>
    <row r="5" spans="1:12" ht="57.6">
      <c r="A5" s="729" t="s">
        <v>3938</v>
      </c>
      <c r="B5" s="1368" t="s">
        <v>3939</v>
      </c>
      <c r="C5" s="1369" t="s">
        <v>48</v>
      </c>
      <c r="D5" s="1369" t="s">
        <v>48</v>
      </c>
      <c r="E5" s="1369" t="s">
        <v>48</v>
      </c>
      <c r="F5" s="1369" t="s">
        <v>48</v>
      </c>
      <c r="G5" s="1369" t="s">
        <v>48</v>
      </c>
      <c r="H5" s="1369">
        <v>8</v>
      </c>
      <c r="I5" s="1378" t="s">
        <v>3184</v>
      </c>
      <c r="J5" s="1378" t="s">
        <v>729</v>
      </c>
      <c r="K5" s="1686"/>
      <c r="L5" s="1688"/>
    </row>
    <row r="6" spans="1:12">
      <c r="A6" s="729" t="s">
        <v>3940</v>
      </c>
      <c r="B6" s="1368" t="s">
        <v>3941</v>
      </c>
      <c r="C6" s="146" t="s">
        <v>48</v>
      </c>
      <c r="D6" s="146" t="s">
        <v>48</v>
      </c>
      <c r="E6" s="146" t="s">
        <v>48</v>
      </c>
      <c r="F6" s="146" t="s">
        <v>48</v>
      </c>
      <c r="G6" s="146" t="s">
        <v>48</v>
      </c>
      <c r="H6" s="146">
        <v>8</v>
      </c>
      <c r="I6" s="1378" t="s">
        <v>3187</v>
      </c>
      <c r="J6" s="1378" t="s">
        <v>729</v>
      </c>
      <c r="K6" s="1686"/>
      <c r="L6" s="1688"/>
    </row>
    <row r="7" spans="1:12" ht="28.8">
      <c r="A7" s="729" t="s">
        <v>3942</v>
      </c>
      <c r="B7" s="1368" t="s">
        <v>3189</v>
      </c>
      <c r="C7" s="1369" t="s">
        <v>48</v>
      </c>
      <c r="D7" s="1369" t="s">
        <v>48</v>
      </c>
      <c r="E7" s="1369" t="s">
        <v>48</v>
      </c>
      <c r="F7" s="1369" t="s">
        <v>48</v>
      </c>
      <c r="G7" s="1369" t="s">
        <v>48</v>
      </c>
      <c r="H7" s="1369">
        <v>8</v>
      </c>
      <c r="I7" s="1378" t="s">
        <v>3190</v>
      </c>
      <c r="J7" s="1378" t="s">
        <v>729</v>
      </c>
      <c r="K7" s="1686"/>
      <c r="L7" s="1688"/>
    </row>
    <row r="8" spans="1:12">
      <c r="A8" s="729" t="s">
        <v>3943</v>
      </c>
      <c r="B8" s="1368" t="s">
        <v>3194</v>
      </c>
      <c r="C8" s="146" t="s">
        <v>48</v>
      </c>
      <c r="D8" s="146" t="s">
        <v>48</v>
      </c>
      <c r="E8" s="146" t="s">
        <v>48</v>
      </c>
      <c r="F8" s="146" t="s">
        <v>48</v>
      </c>
      <c r="G8" s="146" t="s">
        <v>48</v>
      </c>
      <c r="H8" s="146">
        <v>168</v>
      </c>
      <c r="I8" s="1378" t="s">
        <v>3195</v>
      </c>
      <c r="J8" s="1378" t="s">
        <v>729</v>
      </c>
      <c r="K8" s="1686"/>
      <c r="L8" s="1688"/>
    </row>
    <row r="9" spans="1:12" ht="28.8">
      <c r="A9" s="729" t="s">
        <v>3944</v>
      </c>
      <c r="B9" s="1368" t="s">
        <v>3945</v>
      </c>
      <c r="C9" s="1369" t="s">
        <v>48</v>
      </c>
      <c r="D9" s="1369">
        <v>0</v>
      </c>
      <c r="E9" s="1369">
        <v>1</v>
      </c>
      <c r="F9" s="1369" t="s">
        <v>1055</v>
      </c>
      <c r="G9" s="1369">
        <v>0</v>
      </c>
      <c r="H9" s="1369">
        <v>8</v>
      </c>
      <c r="I9" s="1369" t="s">
        <v>1056</v>
      </c>
      <c r="J9" s="1372" t="s">
        <v>729</v>
      </c>
      <c r="K9" s="1686"/>
      <c r="L9" s="1688"/>
    </row>
    <row r="10" spans="1:12" ht="28.8">
      <c r="A10" s="729" t="s">
        <v>3946</v>
      </c>
      <c r="B10" s="1368" t="s">
        <v>3947</v>
      </c>
      <c r="C10" s="1369" t="s">
        <v>48</v>
      </c>
      <c r="D10" s="1369">
        <v>0</v>
      </c>
      <c r="E10" s="1369">
        <v>255</v>
      </c>
      <c r="F10" s="1369" t="s">
        <v>3890</v>
      </c>
      <c r="G10" s="1369">
        <v>255</v>
      </c>
      <c r="H10" s="1369">
        <v>8</v>
      </c>
      <c r="I10" s="1378" t="s">
        <v>743</v>
      </c>
      <c r="J10" s="1378" t="s">
        <v>729</v>
      </c>
      <c r="K10" s="1686"/>
      <c r="L10" s="1688"/>
    </row>
    <row r="11" spans="1:12">
      <c r="A11" s="729" t="s">
        <v>3948</v>
      </c>
      <c r="B11" s="1379" t="s">
        <v>3197</v>
      </c>
      <c r="C11" s="146" t="s">
        <v>48</v>
      </c>
      <c r="D11" s="146" t="s">
        <v>48</v>
      </c>
      <c r="E11" s="146" t="s">
        <v>48</v>
      </c>
      <c r="F11" s="146" t="s">
        <v>48</v>
      </c>
      <c r="G11" s="146" t="s">
        <v>48</v>
      </c>
      <c r="H11" s="146">
        <v>32</v>
      </c>
      <c r="I11" s="1378" t="s">
        <v>3198</v>
      </c>
      <c r="J11" s="1378" t="s">
        <v>729</v>
      </c>
      <c r="K11" s="1686"/>
      <c r="L11" s="1688"/>
    </row>
    <row r="12" spans="1:12" ht="28.8">
      <c r="A12" s="1380" t="s">
        <v>3949</v>
      </c>
      <c r="B12" s="1381" t="s">
        <v>1401</v>
      </c>
      <c r="C12" s="1369" t="s">
        <v>48</v>
      </c>
      <c r="D12" s="1369" t="s">
        <v>48</v>
      </c>
      <c r="E12" s="1369" t="s">
        <v>48</v>
      </c>
      <c r="F12" s="1369" t="s">
        <v>48</v>
      </c>
      <c r="G12" s="1369" t="s">
        <v>48</v>
      </c>
      <c r="H12" s="1369">
        <v>8</v>
      </c>
      <c r="I12" s="1382" t="s">
        <v>1402</v>
      </c>
      <c r="J12" s="1383" t="s">
        <v>729</v>
      </c>
      <c r="K12" s="1686"/>
      <c r="L12" s="1688"/>
    </row>
    <row r="13" spans="1:12" ht="30.75" customHeight="1">
      <c r="A13" s="729" t="s">
        <v>3950</v>
      </c>
      <c r="B13" s="1368" t="s">
        <v>3892</v>
      </c>
      <c r="C13" s="146" t="s">
        <v>48</v>
      </c>
      <c r="D13" s="146" t="s">
        <v>48</v>
      </c>
      <c r="E13" s="146" t="s">
        <v>48</v>
      </c>
      <c r="F13" s="146" t="s">
        <v>48</v>
      </c>
      <c r="G13" s="146" t="s">
        <v>48</v>
      </c>
      <c r="H13" s="1369">
        <v>16</v>
      </c>
      <c r="I13" s="1372" t="s">
        <v>1544</v>
      </c>
      <c r="J13" s="1372" t="s">
        <v>729</v>
      </c>
      <c r="K13" s="1679">
        <v>15</v>
      </c>
      <c r="L13" s="1635" t="s">
        <v>3951</v>
      </c>
    </row>
    <row r="14" spans="1:12" ht="164.25" customHeight="1">
      <c r="A14" s="729" t="s">
        <v>3952</v>
      </c>
      <c r="B14" s="1368" t="s">
        <v>3953</v>
      </c>
      <c r="C14" s="1369" t="s">
        <v>48</v>
      </c>
      <c r="D14" s="1369">
        <v>1</v>
      </c>
      <c r="E14" s="1369">
        <v>255</v>
      </c>
      <c r="F14" s="1369" t="s">
        <v>3954</v>
      </c>
      <c r="G14" s="1369">
        <v>255</v>
      </c>
      <c r="H14" s="1369">
        <v>8</v>
      </c>
      <c r="I14" s="1372" t="s">
        <v>743</v>
      </c>
      <c r="J14" s="1372" t="s">
        <v>729</v>
      </c>
      <c r="K14" s="1680"/>
      <c r="L14" s="1681"/>
    </row>
    <row r="15" spans="1:12">
      <c r="A15" s="729" t="s">
        <v>3955</v>
      </c>
      <c r="B15" s="1384" t="s">
        <v>3956</v>
      </c>
      <c r="C15" s="146" t="s">
        <v>48</v>
      </c>
      <c r="D15" s="146" t="s">
        <v>48</v>
      </c>
      <c r="E15" s="146" t="s">
        <v>48</v>
      </c>
      <c r="F15" s="146" t="s">
        <v>48</v>
      </c>
      <c r="G15" s="146" t="s">
        <v>48</v>
      </c>
      <c r="H15" s="146">
        <v>64</v>
      </c>
      <c r="I15" s="1385" t="s">
        <v>3957</v>
      </c>
      <c r="J15" s="1385" t="s">
        <v>729</v>
      </c>
      <c r="K15" s="1680"/>
      <c r="L15" s="1681"/>
    </row>
    <row r="16" spans="1:12" ht="129.6">
      <c r="A16" s="729" t="s">
        <v>3958</v>
      </c>
      <c r="B16" s="1368" t="s">
        <v>3959</v>
      </c>
      <c r="C16" s="1369" t="s">
        <v>48</v>
      </c>
      <c r="D16" s="1369">
        <v>1</v>
      </c>
      <c r="E16" s="1369">
        <v>255</v>
      </c>
      <c r="F16" s="1369" t="s">
        <v>3960</v>
      </c>
      <c r="G16" s="1369">
        <v>255</v>
      </c>
      <c r="H16" s="1369">
        <v>8</v>
      </c>
      <c r="I16" s="1372" t="s">
        <v>743</v>
      </c>
      <c r="J16" s="1372" t="s">
        <v>729</v>
      </c>
      <c r="K16" s="1680"/>
      <c r="L16" s="1681"/>
    </row>
    <row r="17" spans="1:12" ht="57.6">
      <c r="A17" s="729" t="s">
        <v>3961</v>
      </c>
      <c r="B17" s="1368" t="s">
        <v>3962</v>
      </c>
      <c r="C17" s="1369" t="s">
        <v>3963</v>
      </c>
      <c r="D17" s="1386">
        <v>-5</v>
      </c>
      <c r="E17" s="1386">
        <v>127</v>
      </c>
      <c r="F17" s="1369" t="s">
        <v>3964</v>
      </c>
      <c r="G17" s="1369">
        <v>127</v>
      </c>
      <c r="H17" s="1369">
        <v>8</v>
      </c>
      <c r="I17" s="1372" t="s">
        <v>3632</v>
      </c>
      <c r="J17" s="1372" t="s">
        <v>729</v>
      </c>
      <c r="K17" s="1680"/>
      <c r="L17" s="1681"/>
    </row>
    <row r="18" spans="1:12">
      <c r="A18" s="729" t="s">
        <v>3965</v>
      </c>
      <c r="B18" s="1368" t="s">
        <v>3966</v>
      </c>
      <c r="C18" s="1369" t="s">
        <v>48</v>
      </c>
      <c r="D18" s="1369" t="s">
        <v>48</v>
      </c>
      <c r="E18" s="1369" t="s">
        <v>48</v>
      </c>
      <c r="F18" s="1369" t="s">
        <v>48</v>
      </c>
      <c r="G18" s="1369" t="s">
        <v>48</v>
      </c>
      <c r="H18" s="1369">
        <v>32</v>
      </c>
      <c r="I18" s="1372" t="s">
        <v>1583</v>
      </c>
      <c r="J18" s="1372" t="s">
        <v>729</v>
      </c>
      <c r="K18" s="1680"/>
      <c r="L18" s="1681"/>
    </row>
    <row r="19" spans="1:12" ht="28.8">
      <c r="A19" s="729" t="s">
        <v>3967</v>
      </c>
      <c r="B19" s="1368" t="s">
        <v>3968</v>
      </c>
      <c r="C19" s="1369" t="s">
        <v>48</v>
      </c>
      <c r="D19" s="1369">
        <v>0</v>
      </c>
      <c r="E19" s="1369">
        <v>1</v>
      </c>
      <c r="F19" s="1369" t="s">
        <v>1055</v>
      </c>
      <c r="G19" s="1369">
        <v>0</v>
      </c>
      <c r="H19" s="1369">
        <v>8</v>
      </c>
      <c r="I19" s="1372" t="s">
        <v>1056</v>
      </c>
      <c r="J19" s="1372" t="s">
        <v>729</v>
      </c>
      <c r="K19" s="1680"/>
      <c r="L19" s="1681"/>
    </row>
    <row r="20" spans="1:12">
      <c r="A20" s="729" t="s">
        <v>3969</v>
      </c>
      <c r="B20" s="1368" t="s">
        <v>3970</v>
      </c>
      <c r="C20" s="1369" t="s">
        <v>48</v>
      </c>
      <c r="D20" s="1369" t="s">
        <v>48</v>
      </c>
      <c r="E20" s="1369" t="s">
        <v>48</v>
      </c>
      <c r="F20" s="1369" t="s">
        <v>48</v>
      </c>
      <c r="G20" s="1369" t="s">
        <v>48</v>
      </c>
      <c r="H20" s="1369">
        <v>16</v>
      </c>
      <c r="I20" s="1372" t="s">
        <v>1544</v>
      </c>
      <c r="J20" s="1372" t="s">
        <v>729</v>
      </c>
      <c r="K20" s="1680"/>
      <c r="L20" s="1681"/>
    </row>
    <row r="21" spans="1:12" ht="28.8">
      <c r="A21" s="729" t="s">
        <v>3971</v>
      </c>
      <c r="B21" s="1368" t="s">
        <v>3972</v>
      </c>
      <c r="C21" s="1369" t="s">
        <v>48</v>
      </c>
      <c r="D21" s="1369">
        <v>0</v>
      </c>
      <c r="E21" s="1369">
        <v>4294967295</v>
      </c>
      <c r="F21" s="1369" t="s">
        <v>3973</v>
      </c>
      <c r="G21" s="1369">
        <v>4294967295</v>
      </c>
      <c r="H21" s="1369">
        <v>32</v>
      </c>
      <c r="I21" s="1372" t="s">
        <v>1032</v>
      </c>
      <c r="J21" s="1372" t="s">
        <v>729</v>
      </c>
      <c r="K21" s="1680"/>
      <c r="L21" s="1681"/>
    </row>
    <row r="22" spans="1:12" ht="51" customHeight="1">
      <c r="A22" s="729" t="s">
        <v>3974</v>
      </c>
      <c r="B22" s="1368" t="s">
        <v>3975</v>
      </c>
      <c r="C22" s="1369" t="s">
        <v>919</v>
      </c>
      <c r="D22" s="1369">
        <v>0</v>
      </c>
      <c r="E22" s="1369">
        <v>65535</v>
      </c>
      <c r="F22" s="1369" t="s">
        <v>1260</v>
      </c>
      <c r="G22" s="1369">
        <v>65535</v>
      </c>
      <c r="H22" s="1369">
        <v>16</v>
      </c>
      <c r="I22" s="1372" t="s">
        <v>991</v>
      </c>
      <c r="J22" s="1372" t="s">
        <v>729</v>
      </c>
      <c r="K22" s="1680"/>
      <c r="L22" s="1681"/>
    </row>
    <row r="23" spans="1:12" ht="28.8">
      <c r="A23" s="729" t="s">
        <v>3976</v>
      </c>
      <c r="B23" s="1368" t="s">
        <v>3977</v>
      </c>
      <c r="C23" s="1369" t="s">
        <v>919</v>
      </c>
      <c r="D23" s="1369">
        <v>0</v>
      </c>
      <c r="E23" s="1369">
        <v>255</v>
      </c>
      <c r="F23" s="1369" t="s">
        <v>3978</v>
      </c>
      <c r="G23" s="1369">
        <v>255</v>
      </c>
      <c r="H23" s="1369">
        <v>8</v>
      </c>
      <c r="I23" s="1372" t="s">
        <v>743</v>
      </c>
      <c r="J23" s="1372" t="s">
        <v>729</v>
      </c>
      <c r="K23" s="1680"/>
      <c r="L23" s="1681"/>
    </row>
    <row r="24" spans="1:12" ht="55.5" customHeight="1">
      <c r="A24" s="729" t="s">
        <v>3979</v>
      </c>
      <c r="B24" s="1368" t="s">
        <v>3980</v>
      </c>
      <c r="C24" s="1369" t="s">
        <v>919</v>
      </c>
      <c r="D24" s="1369">
        <v>0</v>
      </c>
      <c r="E24" s="1369">
        <v>65535</v>
      </c>
      <c r="F24" s="1369" t="s">
        <v>1260</v>
      </c>
      <c r="G24" s="1369">
        <v>65535</v>
      </c>
      <c r="H24" s="1369">
        <v>16</v>
      </c>
      <c r="I24" s="1372" t="s">
        <v>991</v>
      </c>
      <c r="J24" s="1372" t="s">
        <v>729</v>
      </c>
      <c r="K24" s="1680"/>
      <c r="L24" s="1681"/>
    </row>
    <row r="25" spans="1:12" ht="28.8">
      <c r="A25" s="729" t="s">
        <v>3981</v>
      </c>
      <c r="B25" s="1368" t="s">
        <v>3982</v>
      </c>
      <c r="C25" s="1369" t="s">
        <v>919</v>
      </c>
      <c r="D25" s="1369">
        <v>0</v>
      </c>
      <c r="E25" s="1369">
        <v>65535</v>
      </c>
      <c r="F25" s="1369" t="s">
        <v>1260</v>
      </c>
      <c r="G25" s="1369">
        <v>65535</v>
      </c>
      <c r="H25" s="1369">
        <v>16</v>
      </c>
      <c r="I25" s="1372" t="s">
        <v>991</v>
      </c>
      <c r="J25" s="1372" t="s">
        <v>729</v>
      </c>
      <c r="K25" s="1680"/>
      <c r="L25" s="1681"/>
    </row>
    <row r="26" spans="1:12" ht="28.8">
      <c r="A26" s="729" t="s">
        <v>3983</v>
      </c>
      <c r="B26" s="1368" t="s">
        <v>3984</v>
      </c>
      <c r="C26" s="1369" t="s">
        <v>936</v>
      </c>
      <c r="D26" s="81">
        <v>-1.05</v>
      </c>
      <c r="E26" s="81" t="s">
        <v>920</v>
      </c>
      <c r="F26" s="1369" t="s">
        <v>3985</v>
      </c>
      <c r="G26" s="1369" t="s">
        <v>920</v>
      </c>
      <c r="H26" s="1369">
        <v>32</v>
      </c>
      <c r="I26" s="1372" t="s">
        <v>922</v>
      </c>
      <c r="J26" s="1372" t="s">
        <v>729</v>
      </c>
      <c r="K26" s="1680"/>
      <c r="L26" s="1681"/>
    </row>
    <row r="27" spans="1:12" ht="28.8">
      <c r="A27" s="729" t="s">
        <v>3986</v>
      </c>
      <c r="B27" s="1368" t="s">
        <v>3907</v>
      </c>
      <c r="C27" s="1369" t="s">
        <v>936</v>
      </c>
      <c r="D27" s="81">
        <v>-1.05</v>
      </c>
      <c r="E27" s="81" t="s">
        <v>920</v>
      </c>
      <c r="F27" s="1369" t="s">
        <v>3985</v>
      </c>
      <c r="G27" s="81" t="s">
        <v>920</v>
      </c>
      <c r="H27" s="1369">
        <v>32</v>
      </c>
      <c r="I27" s="1372" t="s">
        <v>922</v>
      </c>
      <c r="J27" s="1372" t="s">
        <v>729</v>
      </c>
      <c r="K27" s="1680"/>
      <c r="L27" s="1681"/>
    </row>
    <row r="28" spans="1:12" ht="28.8">
      <c r="A28" s="729" t="s">
        <v>3987</v>
      </c>
      <c r="B28" s="1368" t="s">
        <v>3988</v>
      </c>
      <c r="C28" s="1369" t="s">
        <v>936</v>
      </c>
      <c r="D28" s="81">
        <v>-1.05</v>
      </c>
      <c r="E28" s="81" t="s">
        <v>920</v>
      </c>
      <c r="F28" s="1369" t="s">
        <v>3985</v>
      </c>
      <c r="G28" s="1369" t="s">
        <v>920</v>
      </c>
      <c r="H28" s="1369">
        <v>32</v>
      </c>
      <c r="I28" s="1372" t="s">
        <v>922</v>
      </c>
      <c r="J28" s="1372" t="s">
        <v>729</v>
      </c>
      <c r="K28" s="1680"/>
      <c r="L28" s="1681"/>
    </row>
    <row r="29" spans="1:12" ht="28.8">
      <c r="A29" s="729" t="s">
        <v>3989</v>
      </c>
      <c r="B29" s="1368" t="s">
        <v>3990</v>
      </c>
      <c r="C29" s="1369" t="s">
        <v>936</v>
      </c>
      <c r="D29" s="81">
        <v>-1.05</v>
      </c>
      <c r="E29" s="81" t="s">
        <v>920</v>
      </c>
      <c r="F29" s="1369" t="s">
        <v>3985</v>
      </c>
      <c r="G29" s="81" t="s">
        <v>920</v>
      </c>
      <c r="H29" s="1369">
        <v>32</v>
      </c>
      <c r="I29" s="1372" t="s">
        <v>922</v>
      </c>
      <c r="J29" s="1372" t="s">
        <v>729</v>
      </c>
      <c r="K29" s="1680"/>
      <c r="L29" s="1681"/>
    </row>
    <row r="30" spans="1:12" ht="28.8">
      <c r="A30" s="729" t="s">
        <v>3991</v>
      </c>
      <c r="B30" s="1368" t="s">
        <v>3992</v>
      </c>
      <c r="C30" s="1369" t="s">
        <v>1066</v>
      </c>
      <c r="D30" s="1369">
        <v>-2.23</v>
      </c>
      <c r="E30" s="81" t="s">
        <v>920</v>
      </c>
      <c r="F30" s="1369" t="s">
        <v>3993</v>
      </c>
      <c r="G30" s="1369" t="s">
        <v>920</v>
      </c>
      <c r="H30" s="1369">
        <v>32</v>
      </c>
      <c r="I30" s="1372" t="s">
        <v>922</v>
      </c>
      <c r="J30" s="1372" t="s">
        <v>729</v>
      </c>
      <c r="K30" s="1680"/>
      <c r="L30" s="1681"/>
    </row>
    <row r="31" spans="1:12" ht="28.8">
      <c r="A31" s="729" t="s">
        <v>3994</v>
      </c>
      <c r="B31" s="1368" t="s">
        <v>3995</v>
      </c>
      <c r="C31" s="1369" t="s">
        <v>1066</v>
      </c>
      <c r="D31" s="1369">
        <v>-2.23</v>
      </c>
      <c r="E31" s="81" t="s">
        <v>920</v>
      </c>
      <c r="F31" s="1369" t="s">
        <v>3993</v>
      </c>
      <c r="G31" s="81" t="s">
        <v>920</v>
      </c>
      <c r="H31" s="1369">
        <v>32</v>
      </c>
      <c r="I31" s="1372" t="s">
        <v>922</v>
      </c>
      <c r="J31" s="1372" t="s">
        <v>729</v>
      </c>
      <c r="K31" s="1680"/>
      <c r="L31" s="1681"/>
    </row>
    <row r="32" spans="1:12" ht="28.8">
      <c r="A32" s="729" t="s">
        <v>3996</v>
      </c>
      <c r="B32" s="1368" t="s">
        <v>3997</v>
      </c>
      <c r="C32" s="1369" t="s">
        <v>936</v>
      </c>
      <c r="D32" s="81">
        <v>-0.7</v>
      </c>
      <c r="E32" s="81" t="s">
        <v>920</v>
      </c>
      <c r="F32" s="1369" t="s">
        <v>3905</v>
      </c>
      <c r="G32" s="1369" t="s">
        <v>920</v>
      </c>
      <c r="H32" s="1369">
        <v>32</v>
      </c>
      <c r="I32" s="1372" t="s">
        <v>922</v>
      </c>
      <c r="J32" s="1372" t="s">
        <v>729</v>
      </c>
      <c r="K32" s="1680"/>
      <c r="L32" s="1681"/>
    </row>
    <row r="33" spans="1:12" ht="28.8">
      <c r="A33" s="729" t="s">
        <v>3998</v>
      </c>
      <c r="B33" s="1368" t="s">
        <v>3999</v>
      </c>
      <c r="C33" s="1369" t="s">
        <v>936</v>
      </c>
      <c r="D33" s="81">
        <v>-1.05</v>
      </c>
      <c r="E33" s="81" t="s">
        <v>920</v>
      </c>
      <c r="F33" s="1369" t="s">
        <v>3985</v>
      </c>
      <c r="G33" s="81" t="s">
        <v>920</v>
      </c>
      <c r="H33" s="1369">
        <v>32</v>
      </c>
      <c r="I33" s="1372" t="s">
        <v>922</v>
      </c>
      <c r="J33" s="1372" t="s">
        <v>729</v>
      </c>
      <c r="K33" s="1680"/>
      <c r="L33" s="1681"/>
    </row>
    <row r="34" spans="1:12" ht="28.8">
      <c r="A34" s="729" t="s">
        <v>4000</v>
      </c>
      <c r="B34" s="1368" t="s">
        <v>4001</v>
      </c>
      <c r="C34" s="1369" t="s">
        <v>936</v>
      </c>
      <c r="D34" s="81">
        <v>-1.05</v>
      </c>
      <c r="E34" s="81" t="s">
        <v>920</v>
      </c>
      <c r="F34" s="1369" t="s">
        <v>3985</v>
      </c>
      <c r="G34" s="1369" t="s">
        <v>920</v>
      </c>
      <c r="H34" s="1369">
        <v>32</v>
      </c>
      <c r="I34" s="1372" t="s">
        <v>922</v>
      </c>
      <c r="J34" s="1372" t="s">
        <v>729</v>
      </c>
      <c r="K34" s="1680"/>
      <c r="L34" s="1681"/>
    </row>
    <row r="35" spans="1:12" ht="28.8">
      <c r="A35" s="729" t="s">
        <v>4002</v>
      </c>
      <c r="B35" s="1368" t="s">
        <v>4003</v>
      </c>
      <c r="C35" s="1369" t="s">
        <v>936</v>
      </c>
      <c r="D35" s="81">
        <v>-1.05</v>
      </c>
      <c r="E35" s="81" t="s">
        <v>920</v>
      </c>
      <c r="F35" s="1369" t="s">
        <v>3985</v>
      </c>
      <c r="G35" s="81" t="s">
        <v>920</v>
      </c>
      <c r="H35" s="1369">
        <v>32</v>
      </c>
      <c r="I35" s="1372" t="s">
        <v>922</v>
      </c>
      <c r="J35" s="1372" t="s">
        <v>729</v>
      </c>
      <c r="K35" s="1680"/>
      <c r="L35" s="1681"/>
    </row>
    <row r="36" spans="1:12" ht="28.8">
      <c r="A36" s="729" t="s">
        <v>4004</v>
      </c>
      <c r="B36" s="1368" t="s">
        <v>4005</v>
      </c>
      <c r="C36" s="1369" t="s">
        <v>936</v>
      </c>
      <c r="D36" s="81">
        <v>-1.05</v>
      </c>
      <c r="E36" s="81" t="s">
        <v>920</v>
      </c>
      <c r="F36" s="1369" t="s">
        <v>3985</v>
      </c>
      <c r="G36" s="1369" t="s">
        <v>920</v>
      </c>
      <c r="H36" s="1369">
        <v>32</v>
      </c>
      <c r="I36" s="1372" t="s">
        <v>922</v>
      </c>
      <c r="J36" s="1372" t="s">
        <v>729</v>
      </c>
      <c r="K36" s="1680"/>
      <c r="L36" s="1681"/>
    </row>
  </sheetData>
  <mergeCells count="7">
    <mergeCell ref="K13:K36"/>
    <mergeCell ref="L13:L36"/>
    <mergeCell ref="C1:D1"/>
    <mergeCell ref="A2:B2"/>
    <mergeCell ref="K4:K12"/>
    <mergeCell ref="L4:L12"/>
    <mergeCell ref="C2:I2"/>
  </mergeCells>
  <conditionalFormatting sqref="K13 A26:C26 F26:J26 A27:B29 B32:B33 A4:J8 F27 B30:D31 H27:J33 A10:J25 A9:B9">
    <cfRule type="expression" dxfId="242" priority="66">
      <formula>MOD(ROW(), 2)=0</formula>
    </cfRule>
  </conditionalFormatting>
  <conditionalFormatting sqref="F12">
    <cfRule type="expression" dxfId="241" priority="65">
      <formula>MOD(ROW(), 2)=0</formula>
    </cfRule>
  </conditionalFormatting>
  <conditionalFormatting sqref="K4">
    <cfRule type="expression" dxfId="240" priority="61">
      <formula>MOD(ROW(), 2)=0</formula>
    </cfRule>
  </conditionalFormatting>
  <conditionalFormatting sqref="D26:E26">
    <cfRule type="expression" dxfId="239" priority="57">
      <formula>MOD(ROW(), 2)=0</formula>
    </cfRule>
  </conditionalFormatting>
  <conditionalFormatting sqref="H34:J36">
    <cfRule type="expression" dxfId="238" priority="46">
      <formula>MOD(ROW(), 2)=0</formula>
    </cfRule>
  </conditionalFormatting>
  <conditionalFormatting sqref="B34:B36">
    <cfRule type="expression" dxfId="237" priority="53">
      <formula>MOD(ROW(), 2)=0</formula>
    </cfRule>
  </conditionalFormatting>
  <conditionalFormatting sqref="A30:A36">
    <cfRule type="expression" dxfId="236" priority="51">
      <formula>MOD(ROW(), 2)=0</formula>
    </cfRule>
  </conditionalFormatting>
  <conditionalFormatting sqref="C27">
    <cfRule type="expression" dxfId="235" priority="43">
      <formula>MOD(ROW(), 2)=0</formula>
    </cfRule>
  </conditionalFormatting>
  <conditionalFormatting sqref="D27:E27">
    <cfRule type="expression" dxfId="234" priority="42">
      <formula>MOD(ROW(), 2)=0</formula>
    </cfRule>
  </conditionalFormatting>
  <conditionalFormatting sqref="C28">
    <cfRule type="expression" dxfId="233" priority="39">
      <formula>MOD(ROW(), 2)=0</formula>
    </cfRule>
  </conditionalFormatting>
  <conditionalFormatting sqref="D28">
    <cfRule type="expression" dxfId="232" priority="38">
      <formula>MOD(ROW(), 2)=0</formula>
    </cfRule>
  </conditionalFormatting>
  <conditionalFormatting sqref="C29">
    <cfRule type="expression" dxfId="231" priority="37">
      <formula>MOD(ROW(), 2)=0</formula>
    </cfRule>
  </conditionalFormatting>
  <conditionalFormatting sqref="D29">
    <cfRule type="expression" dxfId="230" priority="36">
      <formula>MOD(ROW(), 2)=0</formula>
    </cfRule>
  </conditionalFormatting>
  <conditionalFormatting sqref="C32">
    <cfRule type="expression" dxfId="229" priority="35">
      <formula>MOD(ROW(), 2)=0</formula>
    </cfRule>
  </conditionalFormatting>
  <conditionalFormatting sqref="D32">
    <cfRule type="expression" dxfId="228" priority="34">
      <formula>MOD(ROW(), 2)=0</formula>
    </cfRule>
  </conditionalFormatting>
  <conditionalFormatting sqref="C33">
    <cfRule type="expression" dxfId="227" priority="33">
      <formula>MOD(ROW(), 2)=0</formula>
    </cfRule>
  </conditionalFormatting>
  <conditionalFormatting sqref="D33">
    <cfRule type="expression" dxfId="226" priority="32">
      <formula>MOD(ROW(), 2)=0</formula>
    </cfRule>
  </conditionalFormatting>
  <conditionalFormatting sqref="C34">
    <cfRule type="expression" dxfId="225" priority="31">
      <formula>MOD(ROW(), 2)=0</formula>
    </cfRule>
  </conditionalFormatting>
  <conditionalFormatting sqref="D34">
    <cfRule type="expression" dxfId="224" priority="30">
      <formula>MOD(ROW(), 2)=0</formula>
    </cfRule>
  </conditionalFormatting>
  <conditionalFormatting sqref="C35">
    <cfRule type="expression" dxfId="223" priority="29">
      <formula>MOD(ROW(), 2)=0</formula>
    </cfRule>
  </conditionalFormatting>
  <conditionalFormatting sqref="D35">
    <cfRule type="expression" dxfId="222" priority="28">
      <formula>MOD(ROW(), 2)=0</formula>
    </cfRule>
  </conditionalFormatting>
  <conditionalFormatting sqref="C36">
    <cfRule type="expression" dxfId="221" priority="27">
      <formula>MOD(ROW(), 2)=0</formula>
    </cfRule>
  </conditionalFormatting>
  <conditionalFormatting sqref="D36">
    <cfRule type="expression" dxfId="220" priority="26">
      <formula>MOD(ROW(), 2)=0</formula>
    </cfRule>
  </conditionalFormatting>
  <conditionalFormatting sqref="F32:G32">
    <cfRule type="expression" dxfId="219" priority="25">
      <formula>MOD(ROW(), 2)=0</formula>
    </cfRule>
  </conditionalFormatting>
  <conditionalFormatting sqref="E32">
    <cfRule type="expression" dxfId="218" priority="24">
      <formula>MOD(ROW(), 2)=0</formula>
    </cfRule>
  </conditionalFormatting>
  <conditionalFormatting sqref="F34:G34">
    <cfRule type="expression" dxfId="217" priority="23">
      <formula>MOD(ROW(), 2)=0</formula>
    </cfRule>
  </conditionalFormatting>
  <conditionalFormatting sqref="E34">
    <cfRule type="expression" dxfId="216" priority="22">
      <formula>MOD(ROW(), 2)=0</formula>
    </cfRule>
  </conditionalFormatting>
  <conditionalFormatting sqref="F36:G36">
    <cfRule type="expression" dxfId="215" priority="21">
      <formula>MOD(ROW(), 2)=0</formula>
    </cfRule>
  </conditionalFormatting>
  <conditionalFormatting sqref="E36">
    <cfRule type="expression" dxfId="214" priority="20">
      <formula>MOD(ROW(), 2)=0</formula>
    </cfRule>
  </conditionalFormatting>
  <conditionalFormatting sqref="G27">
    <cfRule type="expression" dxfId="213" priority="19">
      <formula>MOD(ROW(), 2)=0</formula>
    </cfRule>
  </conditionalFormatting>
  <conditionalFormatting sqref="F28:G28">
    <cfRule type="expression" dxfId="212" priority="18">
      <formula>MOD(ROW(), 2)=0</formula>
    </cfRule>
  </conditionalFormatting>
  <conditionalFormatting sqref="E28">
    <cfRule type="expression" dxfId="211" priority="17">
      <formula>MOD(ROW(), 2)=0</formula>
    </cfRule>
  </conditionalFormatting>
  <conditionalFormatting sqref="F29">
    <cfRule type="expression" dxfId="210" priority="16">
      <formula>MOD(ROW(), 2)=0</formula>
    </cfRule>
  </conditionalFormatting>
  <conditionalFormatting sqref="E29">
    <cfRule type="expression" dxfId="209" priority="15">
      <formula>MOD(ROW(), 2)=0</formula>
    </cfRule>
  </conditionalFormatting>
  <conditionalFormatting sqref="G29">
    <cfRule type="expression" dxfId="208" priority="14">
      <formula>MOD(ROW(), 2)=0</formula>
    </cfRule>
  </conditionalFormatting>
  <conditionalFormatting sqref="F33">
    <cfRule type="expression" dxfId="207" priority="13">
      <formula>MOD(ROW(), 2)=0</formula>
    </cfRule>
  </conditionalFormatting>
  <conditionalFormatting sqref="E33">
    <cfRule type="expression" dxfId="206" priority="12">
      <formula>MOD(ROW(), 2)=0</formula>
    </cfRule>
  </conditionalFormatting>
  <conditionalFormatting sqref="G33">
    <cfRule type="expression" dxfId="205" priority="11">
      <formula>MOD(ROW(), 2)=0</formula>
    </cfRule>
  </conditionalFormatting>
  <conditionalFormatting sqref="F35">
    <cfRule type="expression" dxfId="204" priority="10">
      <formula>MOD(ROW(), 2)=0</formula>
    </cfRule>
  </conditionalFormatting>
  <conditionalFormatting sqref="E35">
    <cfRule type="expression" dxfId="203" priority="9">
      <formula>MOD(ROW(), 2)=0</formula>
    </cfRule>
  </conditionalFormatting>
  <conditionalFormatting sqref="G35">
    <cfRule type="expression" dxfId="202" priority="8">
      <formula>MOD(ROW(), 2)=0</formula>
    </cfRule>
  </conditionalFormatting>
  <conditionalFormatting sqref="F31">
    <cfRule type="expression" dxfId="201" priority="7">
      <formula>MOD(ROW(), 2)=0</formula>
    </cfRule>
  </conditionalFormatting>
  <conditionalFormatting sqref="F30">
    <cfRule type="expression" dxfId="200" priority="6">
      <formula>MOD(ROW(), 2)=0</formula>
    </cfRule>
  </conditionalFormatting>
  <conditionalFormatting sqref="G30">
    <cfRule type="expression" dxfId="199" priority="5">
      <formula>MOD(ROW(), 2)=0</formula>
    </cfRule>
  </conditionalFormatting>
  <conditionalFormatting sqref="G31">
    <cfRule type="expression" dxfId="198" priority="4">
      <formula>MOD(ROW(), 2)=0</formula>
    </cfRule>
  </conditionalFormatting>
  <conditionalFormatting sqref="E30">
    <cfRule type="expression" dxfId="197" priority="3">
      <formula>MOD(ROW(), 2)=0</formula>
    </cfRule>
  </conditionalFormatting>
  <conditionalFormatting sqref="E31">
    <cfRule type="expression" dxfId="196" priority="2">
      <formula>MOD(ROW(), 2)=0</formula>
    </cfRule>
  </conditionalFormatting>
  <conditionalFormatting sqref="C9:J9">
    <cfRule type="expression" dxfId="195" priority="1">
      <formula>MOD(ROW(), 2)=0</formula>
    </cfRule>
  </conditionalFormatting>
  <hyperlinks>
    <hyperlink ref="L1" location="'AVI_LSV_Debug'!A1" display="AVI_LSV_Debug" xr:uid="{815C4F3E-B466-40F1-9DFB-59D8DA530299}"/>
    <hyperlink ref="I1" location="'Revision Map'!A1" display="INDEX" xr:uid="{347A7440-AD0C-45ED-8C42-1C4AC4D64C59}"/>
    <hyperlink ref="J1" location="'Cross-FCN_Definitions'!A1" display="Cross-FCN_Definitions" xr:uid="{6CDBBBE4-9394-4236-BEA2-F875BD7ECB94}"/>
    <hyperlink ref="K1" location="Light_Scene_Definitions!A1" display="Light_Scene_Definitions" xr:uid="{87CB8562-9C58-46D7-9209-50BC2BE793F6}"/>
  </hyperlinks>
  <pageMargins left="0.7" right="0.7" top="0.75" bottom="0.75" header="0.3" footer="0.3"/>
  <pageSetup paperSize="9" orientation="portrait" r:id="rId1"/>
  <headerFooter>
    <oddFooter>&amp;C_x000D_&amp;1#&amp;"Calibri"&amp;11&amp;KFF0000 Internal</oddFooter>
  </headerFooter>
  <tableParts count="1">
    <tablePart r:id="rId2"/>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D778C-0EDE-4419-AC1C-275094542D62}">
  <sheetPr codeName="Sheet63"/>
  <dimension ref="A1:E50"/>
  <sheetViews>
    <sheetView workbookViewId="0">
      <pane ySplit="1" topLeftCell="A39" activePane="bottomLeft" state="frozen"/>
      <selection activeCell="C22" activeCellId="1" sqref="A1:AS1 C22"/>
      <selection pane="bottomLeft" activeCell="C54" sqref="C54"/>
    </sheetView>
  </sheetViews>
  <sheetFormatPr defaultColWidth="9.15625" defaultRowHeight="14.4"/>
  <cols>
    <col min="1" max="1" width="10.83984375" style="1010" bestFit="1" customWidth="1"/>
    <col min="2" max="2" width="15.41796875" style="51" customWidth="1"/>
    <col min="3" max="3" width="61.68359375" style="2" bestFit="1" customWidth="1"/>
    <col min="4" max="4" width="16.68359375" customWidth="1"/>
    <col min="5" max="5" width="10.83984375" bestFit="1" customWidth="1"/>
  </cols>
  <sheetData>
    <row r="1" spans="1:5">
      <c r="A1" s="1010" t="s">
        <v>644</v>
      </c>
      <c r="B1" s="51" t="s">
        <v>645</v>
      </c>
      <c r="C1" s="2" t="s">
        <v>646</v>
      </c>
      <c r="D1" t="s">
        <v>647</v>
      </c>
      <c r="E1" t="s">
        <v>793</v>
      </c>
    </row>
    <row r="2" spans="1:5" ht="28.8">
      <c r="A2" s="1010" t="s">
        <v>655</v>
      </c>
      <c r="B2" s="51">
        <v>44336</v>
      </c>
      <c r="C2" s="576" t="s">
        <v>4006</v>
      </c>
      <c r="D2" s="5" t="s">
        <v>796</v>
      </c>
      <c r="E2" s="5" t="s">
        <v>655</v>
      </c>
    </row>
    <row r="3" spans="1:5" ht="360.75" customHeight="1">
      <c r="A3" s="1010" t="s">
        <v>655</v>
      </c>
      <c r="B3" s="51">
        <v>44336</v>
      </c>
      <c r="C3" s="576" t="s">
        <v>4007</v>
      </c>
      <c r="D3" s="5" t="s">
        <v>796</v>
      </c>
      <c r="E3" s="5" t="s">
        <v>655</v>
      </c>
    </row>
    <row r="4" spans="1:5">
      <c r="A4" s="1010" t="s">
        <v>655</v>
      </c>
      <c r="B4" s="51">
        <v>44337</v>
      </c>
      <c r="C4" s="576" t="s">
        <v>4008</v>
      </c>
      <c r="D4" s="5" t="s">
        <v>796</v>
      </c>
      <c r="E4" s="5" t="s">
        <v>655</v>
      </c>
    </row>
    <row r="5" spans="1:5">
      <c r="A5" s="1010" t="s">
        <v>655</v>
      </c>
      <c r="B5" s="51">
        <v>44340</v>
      </c>
      <c r="C5" s="576" t="s">
        <v>4009</v>
      </c>
      <c r="D5" s="5" t="s">
        <v>796</v>
      </c>
      <c r="E5" s="5" t="s">
        <v>655</v>
      </c>
    </row>
    <row r="6" spans="1:5">
      <c r="A6" s="1010">
        <v>1</v>
      </c>
      <c r="B6" s="51">
        <v>44340</v>
      </c>
      <c r="C6" s="576"/>
      <c r="D6" s="5" t="s">
        <v>796</v>
      </c>
      <c r="E6" s="5" t="s">
        <v>651</v>
      </c>
    </row>
    <row r="7" spans="1:5">
      <c r="A7" s="1010">
        <v>1</v>
      </c>
      <c r="B7" s="51">
        <v>44341</v>
      </c>
      <c r="C7" s="576"/>
      <c r="D7" s="5" t="s">
        <v>654</v>
      </c>
      <c r="E7" s="5" t="s">
        <v>661</v>
      </c>
    </row>
    <row r="8" spans="1:5">
      <c r="A8" s="1010">
        <v>1</v>
      </c>
      <c r="B8" s="51">
        <v>44452</v>
      </c>
      <c r="C8" s="576" t="s">
        <v>1345</v>
      </c>
      <c r="D8" s="5" t="s">
        <v>654</v>
      </c>
      <c r="E8" s="5" t="s">
        <v>661</v>
      </c>
    </row>
    <row r="9" spans="1:5" ht="86.4">
      <c r="A9" s="1010">
        <v>1.1000000000000001</v>
      </c>
      <c r="B9" s="51">
        <v>44690</v>
      </c>
      <c r="C9" s="576" t="s">
        <v>4010</v>
      </c>
      <c r="D9" s="5" t="s">
        <v>658</v>
      </c>
      <c r="E9" s="5" t="s">
        <v>655</v>
      </c>
    </row>
    <row r="10" spans="1:5" ht="100.8">
      <c r="A10" s="1010">
        <v>1.2</v>
      </c>
      <c r="B10" s="51">
        <v>44694</v>
      </c>
      <c r="C10" s="576" t="s">
        <v>3921</v>
      </c>
      <c r="D10" s="5" t="s">
        <v>658</v>
      </c>
      <c r="E10" s="5" t="s">
        <v>655</v>
      </c>
    </row>
    <row r="11" spans="1:5">
      <c r="A11" s="1010">
        <v>1.2</v>
      </c>
      <c r="B11" s="51">
        <v>44698</v>
      </c>
      <c r="C11" s="576" t="s">
        <v>999</v>
      </c>
      <c r="D11" s="5" t="s">
        <v>3176</v>
      </c>
      <c r="E11" s="5" t="s">
        <v>655</v>
      </c>
    </row>
    <row r="12" spans="1:5">
      <c r="A12" s="1010">
        <v>1.3</v>
      </c>
      <c r="B12" s="51">
        <v>44698</v>
      </c>
      <c r="C12" s="576" t="s">
        <v>1527</v>
      </c>
      <c r="D12" s="5" t="s">
        <v>658</v>
      </c>
      <c r="E12" s="5" t="s">
        <v>655</v>
      </c>
    </row>
    <row r="13" spans="1:5" ht="57.6">
      <c r="A13" s="1010">
        <v>1.4</v>
      </c>
      <c r="B13" s="51">
        <v>44705</v>
      </c>
      <c r="C13" s="576" t="s">
        <v>4011</v>
      </c>
      <c r="D13" s="5" t="s">
        <v>658</v>
      </c>
      <c r="E13" s="5" t="s">
        <v>655</v>
      </c>
    </row>
    <row r="14" spans="1:5">
      <c r="A14" s="1010">
        <v>1.5</v>
      </c>
      <c r="B14" s="51">
        <v>44706</v>
      </c>
      <c r="C14" s="576" t="s">
        <v>1357</v>
      </c>
      <c r="D14" s="5" t="s">
        <v>658</v>
      </c>
      <c r="E14" s="5" t="s">
        <v>655</v>
      </c>
    </row>
    <row r="15" spans="1:5">
      <c r="A15" s="1010">
        <v>1.5</v>
      </c>
      <c r="B15" s="51">
        <v>44711</v>
      </c>
      <c r="C15" s="576" t="s">
        <v>3205</v>
      </c>
      <c r="D15" s="5" t="s">
        <v>654</v>
      </c>
      <c r="E15" s="5" t="s">
        <v>655</v>
      </c>
    </row>
    <row r="16" spans="1:5" ht="28.8">
      <c r="A16" s="1010">
        <v>2</v>
      </c>
      <c r="B16" s="51">
        <v>44711</v>
      </c>
      <c r="C16" s="576" t="s">
        <v>3206</v>
      </c>
      <c r="D16" s="5" t="s">
        <v>658</v>
      </c>
      <c r="E16" s="5" t="s">
        <v>651</v>
      </c>
    </row>
    <row r="17" spans="1:5">
      <c r="A17" s="1010">
        <v>2</v>
      </c>
      <c r="B17" s="51">
        <v>44719</v>
      </c>
      <c r="C17" s="576" t="s">
        <v>660</v>
      </c>
      <c r="D17" s="5" t="s">
        <v>654</v>
      </c>
      <c r="E17" s="5" t="s">
        <v>661</v>
      </c>
    </row>
    <row r="18" spans="1:5" ht="28.8">
      <c r="A18" s="1010">
        <v>2</v>
      </c>
      <c r="B18" s="51">
        <v>44741</v>
      </c>
      <c r="C18" s="576" t="s">
        <v>3207</v>
      </c>
      <c r="D18" s="5" t="s">
        <v>658</v>
      </c>
      <c r="E18" s="5" t="s">
        <v>651</v>
      </c>
    </row>
    <row r="19" spans="1:5">
      <c r="A19" s="1010">
        <v>2</v>
      </c>
      <c r="B19" s="51">
        <v>44742</v>
      </c>
      <c r="C19" s="576" t="s">
        <v>667</v>
      </c>
      <c r="D19" s="5" t="s">
        <v>654</v>
      </c>
      <c r="E19" s="5" t="s">
        <v>661</v>
      </c>
    </row>
    <row r="20" spans="1:5" ht="28.8">
      <c r="A20" s="1010">
        <v>2.1</v>
      </c>
      <c r="B20" s="51">
        <v>44804</v>
      </c>
      <c r="C20" s="576" t="s">
        <v>4012</v>
      </c>
      <c r="D20" s="5" t="s">
        <v>658</v>
      </c>
      <c r="E20" s="5" t="s">
        <v>655</v>
      </c>
    </row>
    <row r="21" spans="1:5" ht="28.8">
      <c r="A21" s="1010">
        <v>2.2000000000000002</v>
      </c>
      <c r="B21" s="51">
        <v>44889</v>
      </c>
      <c r="C21" s="576" t="s">
        <v>4013</v>
      </c>
      <c r="D21" s="5" t="s">
        <v>654</v>
      </c>
      <c r="E21" s="5" t="s">
        <v>655</v>
      </c>
    </row>
    <row r="22" spans="1:5" ht="28.8">
      <c r="A22" s="1010">
        <v>2.2999999999999998</v>
      </c>
      <c r="B22" s="191">
        <v>44895</v>
      </c>
      <c r="C22" s="594" t="s">
        <v>1363</v>
      </c>
      <c r="D22" s="595" t="s">
        <v>683</v>
      </c>
      <c r="E22" s="596" t="s">
        <v>655</v>
      </c>
    </row>
    <row r="23" spans="1:5" ht="43.2">
      <c r="A23" s="1010">
        <v>2.4</v>
      </c>
      <c r="B23" s="51">
        <v>44895</v>
      </c>
      <c r="C23" s="613" t="s">
        <v>4014</v>
      </c>
      <c r="D23" s="5" t="s">
        <v>685</v>
      </c>
      <c r="E23" s="5" t="s">
        <v>655</v>
      </c>
    </row>
    <row r="24" spans="1:5" ht="77.25" customHeight="1">
      <c r="A24" s="1010">
        <v>2.5</v>
      </c>
      <c r="B24" s="51">
        <v>44897</v>
      </c>
      <c r="C24" s="576" t="s">
        <v>4015</v>
      </c>
      <c r="D24" s="5" t="s">
        <v>676</v>
      </c>
      <c r="E24" s="5" t="s">
        <v>655</v>
      </c>
    </row>
    <row r="25" spans="1:5">
      <c r="A25" s="1010">
        <v>2.6</v>
      </c>
      <c r="B25" s="51">
        <v>44900</v>
      </c>
      <c r="C25" s="576" t="s">
        <v>1693</v>
      </c>
      <c r="D25" s="5" t="s">
        <v>676</v>
      </c>
      <c r="E25" s="5" t="s">
        <v>655</v>
      </c>
    </row>
    <row r="26" spans="1:5">
      <c r="A26" s="1010">
        <v>2.6</v>
      </c>
      <c r="B26" s="51">
        <v>44902</v>
      </c>
      <c r="C26" s="576" t="s">
        <v>3210</v>
      </c>
      <c r="D26" s="5" t="s">
        <v>678</v>
      </c>
      <c r="E26" s="5" t="s">
        <v>655</v>
      </c>
    </row>
    <row r="27" spans="1:5">
      <c r="A27" s="1010">
        <v>2.6</v>
      </c>
      <c r="B27" s="51">
        <v>44937</v>
      </c>
      <c r="C27" s="627" t="s">
        <v>677</v>
      </c>
      <c r="D27" s="5" t="s">
        <v>678</v>
      </c>
      <c r="E27" s="5" t="s">
        <v>655</v>
      </c>
    </row>
    <row r="28" spans="1:5">
      <c r="A28" s="1012">
        <v>2.7</v>
      </c>
      <c r="B28" s="191">
        <v>44945</v>
      </c>
      <c r="C28" s="594" t="s">
        <v>1373</v>
      </c>
      <c r="D28" s="595" t="s">
        <v>1001</v>
      </c>
      <c r="E28" s="596" t="s">
        <v>655</v>
      </c>
    </row>
    <row r="29" spans="1:5">
      <c r="A29" s="1010">
        <v>2.7</v>
      </c>
      <c r="B29" s="51">
        <v>44953</v>
      </c>
      <c r="C29" s="576" t="s">
        <v>1378</v>
      </c>
      <c r="D29" s="5" t="s">
        <v>658</v>
      </c>
      <c r="E29" s="5" t="s">
        <v>655</v>
      </c>
    </row>
    <row r="30" spans="1:5" ht="28.8">
      <c r="A30" s="1010">
        <v>3</v>
      </c>
      <c r="B30" s="51">
        <v>44957</v>
      </c>
      <c r="C30" s="602" t="s">
        <v>3213</v>
      </c>
      <c r="D30" s="595" t="s">
        <v>678</v>
      </c>
      <c r="E30" s="5" t="s">
        <v>651</v>
      </c>
    </row>
    <row r="31" spans="1:5">
      <c r="A31" s="1010">
        <v>3</v>
      </c>
      <c r="B31" s="51">
        <v>44957</v>
      </c>
      <c r="C31" s="5" t="s">
        <v>687</v>
      </c>
      <c r="D31" s="5" t="s">
        <v>676</v>
      </c>
      <c r="E31" s="5" t="s">
        <v>661</v>
      </c>
    </row>
    <row r="32" spans="1:5">
      <c r="A32" s="1010">
        <v>3.1</v>
      </c>
      <c r="B32" s="51">
        <v>44965</v>
      </c>
      <c r="C32" s="576" t="s">
        <v>4016</v>
      </c>
      <c r="D32" s="595" t="s">
        <v>678</v>
      </c>
      <c r="E32" s="5" t="s">
        <v>655</v>
      </c>
    </row>
    <row r="33" spans="1:5">
      <c r="A33" s="1010">
        <v>3.2</v>
      </c>
      <c r="B33" s="51">
        <v>44966</v>
      </c>
      <c r="C33" s="576" t="s">
        <v>4017</v>
      </c>
      <c r="D33" s="595" t="s">
        <v>678</v>
      </c>
      <c r="E33" s="5" t="s">
        <v>655</v>
      </c>
    </row>
    <row r="34" spans="1:5">
      <c r="A34" s="1010">
        <v>3.2</v>
      </c>
      <c r="B34" s="51">
        <v>44967</v>
      </c>
      <c r="C34" s="576" t="s">
        <v>4018</v>
      </c>
      <c r="D34" s="5" t="s">
        <v>658</v>
      </c>
      <c r="E34" s="5" t="s">
        <v>655</v>
      </c>
    </row>
    <row r="35" spans="1:5">
      <c r="A35" s="1010">
        <v>3.3</v>
      </c>
      <c r="B35" s="51">
        <v>44967</v>
      </c>
      <c r="C35" s="576" t="s">
        <v>4019</v>
      </c>
      <c r="D35" s="595" t="s">
        <v>678</v>
      </c>
      <c r="E35" s="5" t="s">
        <v>655</v>
      </c>
    </row>
    <row r="36" spans="1:5">
      <c r="A36" s="1010">
        <v>3.3</v>
      </c>
      <c r="B36" s="51">
        <v>44970</v>
      </c>
      <c r="C36" s="576" t="s">
        <v>1378</v>
      </c>
      <c r="D36" s="5" t="s">
        <v>658</v>
      </c>
      <c r="E36" s="5" t="s">
        <v>655</v>
      </c>
    </row>
    <row r="37" spans="1:5" ht="28.8">
      <c r="A37" s="1010">
        <v>4</v>
      </c>
      <c r="B37" s="51">
        <v>44971</v>
      </c>
      <c r="C37" s="576" t="s">
        <v>3213</v>
      </c>
      <c r="D37" s="595" t="s">
        <v>678</v>
      </c>
      <c r="E37" s="5" t="s">
        <v>651</v>
      </c>
    </row>
    <row r="38" spans="1:5">
      <c r="A38" s="1010">
        <v>4</v>
      </c>
      <c r="B38" s="51">
        <v>44970</v>
      </c>
      <c r="C38" s="576" t="s">
        <v>691</v>
      </c>
      <c r="D38" s="5" t="s">
        <v>676</v>
      </c>
      <c r="E38" s="5" t="s">
        <v>661</v>
      </c>
    </row>
    <row r="39" spans="1:5" ht="28.8">
      <c r="A39" s="1010">
        <v>5</v>
      </c>
      <c r="B39" s="51">
        <v>44994</v>
      </c>
      <c r="C39" s="576" t="s">
        <v>3214</v>
      </c>
      <c r="D39" s="595" t="s">
        <v>3176</v>
      </c>
      <c r="E39" s="5" t="s">
        <v>651</v>
      </c>
    </row>
    <row r="40" spans="1:5">
      <c r="A40" s="1010">
        <v>5</v>
      </c>
      <c r="B40" s="191">
        <v>44998</v>
      </c>
      <c r="C40" s="576" t="s">
        <v>692</v>
      </c>
      <c r="D40" s="5" t="s">
        <v>678</v>
      </c>
      <c r="E40" s="5" t="s">
        <v>661</v>
      </c>
    </row>
    <row r="41" spans="1:5">
      <c r="A41" s="1010">
        <v>5.0999999999999996</v>
      </c>
      <c r="B41" s="191">
        <v>45072</v>
      </c>
      <c r="C41" s="576" t="s">
        <v>818</v>
      </c>
      <c r="D41" s="5" t="s">
        <v>678</v>
      </c>
      <c r="E41" s="5" t="s">
        <v>655</v>
      </c>
    </row>
    <row r="42" spans="1:5">
      <c r="A42" s="1010">
        <v>5.0999999999999996</v>
      </c>
      <c r="B42" s="191">
        <v>45072</v>
      </c>
      <c r="C42" s="576" t="s">
        <v>3925</v>
      </c>
      <c r="D42" s="5" t="s">
        <v>697</v>
      </c>
      <c r="E42" s="5" t="s">
        <v>655</v>
      </c>
    </row>
    <row r="43" spans="1:5">
      <c r="A43" s="1010">
        <v>5.2</v>
      </c>
      <c r="B43" s="191">
        <v>45077</v>
      </c>
      <c r="C43" s="576" t="s">
        <v>3926</v>
      </c>
      <c r="D43" s="5" t="s">
        <v>678</v>
      </c>
      <c r="E43" s="5" t="s">
        <v>655</v>
      </c>
    </row>
    <row r="44" spans="1:5">
      <c r="A44" s="1010" t="s">
        <v>1376</v>
      </c>
      <c r="B44" s="191">
        <v>45077</v>
      </c>
      <c r="C44" s="576" t="s">
        <v>4020</v>
      </c>
      <c r="D44" s="5" t="s">
        <v>697</v>
      </c>
      <c r="E44" s="5" t="s">
        <v>655</v>
      </c>
    </row>
    <row r="45" spans="1:5" ht="28.8">
      <c r="A45" s="1010" t="s">
        <v>698</v>
      </c>
      <c r="B45" s="191">
        <v>45078</v>
      </c>
      <c r="C45" s="576" t="s">
        <v>3215</v>
      </c>
      <c r="D45" s="5" t="s">
        <v>678</v>
      </c>
      <c r="E45" s="5" t="s">
        <v>651</v>
      </c>
    </row>
    <row r="46" spans="1:5">
      <c r="A46" s="1010" t="s">
        <v>698</v>
      </c>
      <c r="B46" s="191">
        <v>45078</v>
      </c>
      <c r="C46" s="5" t="s">
        <v>699</v>
      </c>
      <c r="D46" s="5" t="s">
        <v>678</v>
      </c>
      <c r="E46" s="5" t="s">
        <v>661</v>
      </c>
    </row>
    <row r="47" spans="1:5">
      <c r="A47" s="1010" t="s">
        <v>1759</v>
      </c>
      <c r="B47" s="188">
        <v>45097</v>
      </c>
      <c r="C47" s="584" t="s">
        <v>818</v>
      </c>
      <c r="D47" s="585" t="s">
        <v>678</v>
      </c>
      <c r="E47" s="586" t="s">
        <v>655</v>
      </c>
    </row>
    <row r="48" spans="1:5" ht="28.8">
      <c r="A48" s="1010" t="s">
        <v>1452</v>
      </c>
      <c r="B48" s="188">
        <v>45097</v>
      </c>
      <c r="C48" s="576" t="s">
        <v>3215</v>
      </c>
      <c r="D48" s="585" t="s">
        <v>678</v>
      </c>
      <c r="E48" s="586" t="s">
        <v>651</v>
      </c>
    </row>
    <row r="49" spans="1:5">
      <c r="A49" s="1010" t="s">
        <v>1452</v>
      </c>
      <c r="B49" s="191">
        <v>45097</v>
      </c>
      <c r="C49" s="594" t="s">
        <v>700</v>
      </c>
      <c r="D49" s="595" t="s">
        <v>678</v>
      </c>
      <c r="E49" s="596" t="s">
        <v>661</v>
      </c>
    </row>
    <row r="50" spans="1:5">
      <c r="A50" s="1010" t="s">
        <v>1452</v>
      </c>
      <c r="B50" s="1065">
        <v>45205</v>
      </c>
      <c r="C50" s="595" t="s">
        <v>701</v>
      </c>
      <c r="D50" s="595" t="s">
        <v>678</v>
      </c>
      <c r="E50" s="596" t="s">
        <v>661</v>
      </c>
    </row>
  </sheetData>
  <pageMargins left="0.7" right="0.7" top="0.75" bottom="0.75" header="0.3" footer="0.3"/>
  <pageSetup paperSize="9" orientation="portrait" r:id="rId1"/>
  <headerFooter>
    <oddFooter>&amp;C_x000D_&amp;1#&amp;"Calibri"&amp;11&amp;KFF0000 Internal</oddFooter>
  </headerFooter>
  <tableParts count="1">
    <tablePart r:id="rId2"/>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5A31E-717A-44A5-8B55-A789287459EA}">
  <sheetPr codeName="Sheet90"/>
  <dimension ref="A1:L6"/>
  <sheetViews>
    <sheetView workbookViewId="0">
      <selection activeCell="C2" sqref="C2:I2"/>
    </sheetView>
  </sheetViews>
  <sheetFormatPr defaultColWidth="9.15625" defaultRowHeight="14.4"/>
  <cols>
    <col min="1" max="1" width="37.15625" customWidth="1"/>
    <col min="2" max="2" width="43.26171875" style="2" customWidth="1"/>
    <col min="4" max="4" width="9.15625" customWidth="1"/>
    <col min="5" max="5" width="12.68359375" customWidth="1"/>
    <col min="6" max="6" width="20" customWidth="1"/>
    <col min="7" max="7" width="13.578125" customWidth="1"/>
    <col min="9" max="9" width="21.83984375" customWidth="1"/>
    <col min="10" max="10" width="15.15625" customWidth="1"/>
    <col min="11" max="11" width="25.26171875" customWidth="1"/>
    <col min="12" max="12" width="29.41796875" customWidth="1"/>
    <col min="13" max="13" width="38.15625" customWidth="1"/>
  </cols>
  <sheetData>
    <row r="1" spans="1:12">
      <c r="A1" s="336" t="s">
        <v>104</v>
      </c>
      <c r="B1" s="339" t="s">
        <v>98</v>
      </c>
      <c r="C1" s="1564" t="s">
        <v>106</v>
      </c>
      <c r="D1" s="1565"/>
      <c r="E1" s="337">
        <v>4</v>
      </c>
      <c r="F1" s="1308" t="s">
        <v>702</v>
      </c>
      <c r="G1" s="1309">
        <v>1312</v>
      </c>
      <c r="H1" s="1308"/>
      <c r="I1" s="1308"/>
      <c r="J1" s="1314" t="s">
        <v>69</v>
      </c>
      <c r="K1" s="1314" t="s">
        <v>703</v>
      </c>
      <c r="L1" s="1276" t="s">
        <v>86</v>
      </c>
    </row>
    <row r="2" spans="1:12" ht="175.5" customHeight="1">
      <c r="A2" s="1566" t="s">
        <v>1615</v>
      </c>
      <c r="B2" s="1567"/>
      <c r="C2" s="1550" t="s">
        <v>1457</v>
      </c>
      <c r="D2" s="1551"/>
      <c r="E2" s="1551"/>
      <c r="F2" s="1551"/>
      <c r="G2" s="1551"/>
      <c r="H2" s="1551"/>
      <c r="I2" s="1552"/>
      <c r="J2" s="240" t="s">
        <v>707</v>
      </c>
      <c r="K2" s="1311" t="s">
        <v>1384</v>
      </c>
      <c r="L2" s="18"/>
    </row>
    <row r="3" spans="1:12">
      <c r="A3" s="1312" t="s">
        <v>709</v>
      </c>
      <c r="B3" s="1313" t="s">
        <v>710</v>
      </c>
      <c r="C3" s="80" t="s">
        <v>711</v>
      </c>
      <c r="D3" s="80" t="s">
        <v>712</v>
      </c>
      <c r="E3" s="80" t="s">
        <v>713</v>
      </c>
      <c r="F3" s="80" t="s">
        <v>714</v>
      </c>
      <c r="G3" s="344" t="s">
        <v>715</v>
      </c>
      <c r="H3" s="80" t="s">
        <v>716</v>
      </c>
      <c r="I3" s="80" t="s">
        <v>717</v>
      </c>
      <c r="J3" s="53" t="s">
        <v>718</v>
      </c>
      <c r="K3" s="338" t="s">
        <v>719</v>
      </c>
      <c r="L3" s="80" t="s">
        <v>720</v>
      </c>
    </row>
    <row r="4" spans="1:12">
      <c r="A4" s="1001" t="s">
        <v>4021</v>
      </c>
      <c r="B4" s="1001" t="s">
        <v>722</v>
      </c>
      <c r="C4" s="418" t="s">
        <v>48</v>
      </c>
      <c r="D4" s="418" t="s">
        <v>48</v>
      </c>
      <c r="E4" s="418" t="s">
        <v>48</v>
      </c>
      <c r="F4" s="418" t="s">
        <v>48</v>
      </c>
      <c r="G4" s="418" t="s">
        <v>48</v>
      </c>
      <c r="H4" s="418">
        <v>216</v>
      </c>
      <c r="I4" s="418" t="s">
        <v>723</v>
      </c>
      <c r="J4" s="345" t="s">
        <v>724</v>
      </c>
      <c r="K4" s="1568">
        <v>1</v>
      </c>
      <c r="L4" s="1570" t="s">
        <v>4022</v>
      </c>
    </row>
    <row r="5" spans="1:12" ht="28.8">
      <c r="A5" s="360" t="s">
        <v>4023</v>
      </c>
      <c r="B5" s="359" t="s">
        <v>1619</v>
      </c>
      <c r="C5" s="345" t="s">
        <v>48</v>
      </c>
      <c r="D5" s="345">
        <v>0</v>
      </c>
      <c r="E5" s="345">
        <v>65535</v>
      </c>
      <c r="F5" s="345" t="s">
        <v>1620</v>
      </c>
      <c r="G5" s="345">
        <v>65535</v>
      </c>
      <c r="H5" s="346">
        <v>16</v>
      </c>
      <c r="I5" s="347" t="s">
        <v>991</v>
      </c>
      <c r="J5" s="348" t="s">
        <v>729</v>
      </c>
      <c r="K5" s="1569"/>
      <c r="L5" s="1571"/>
    </row>
    <row r="6" spans="1:12" ht="28.8">
      <c r="A6" s="358" t="s">
        <v>4024</v>
      </c>
      <c r="B6" s="359" t="s">
        <v>1622</v>
      </c>
      <c r="C6" s="345" t="s">
        <v>48</v>
      </c>
      <c r="D6" s="345" t="s">
        <v>48</v>
      </c>
      <c r="E6" s="345" t="s">
        <v>48</v>
      </c>
      <c r="F6" s="345" t="s">
        <v>48</v>
      </c>
      <c r="G6" s="345" t="s">
        <v>48</v>
      </c>
      <c r="H6" s="345">
        <v>72</v>
      </c>
      <c r="I6" s="345" t="s">
        <v>1623</v>
      </c>
      <c r="J6" s="348" t="s">
        <v>729</v>
      </c>
      <c r="K6" s="353">
        <v>15</v>
      </c>
      <c r="L6" s="354" t="s">
        <v>4025</v>
      </c>
    </row>
  </sheetData>
  <mergeCells count="5">
    <mergeCell ref="C1:D1"/>
    <mergeCell ref="A2:B2"/>
    <mergeCell ref="C2:I2"/>
    <mergeCell ref="K4:K5"/>
    <mergeCell ref="L4:L5"/>
  </mergeCells>
  <conditionalFormatting sqref="B6:J6 C5:J5">
    <cfRule type="expression" dxfId="164" priority="48">
      <formula>MOD(ROW(), 2)=0</formula>
    </cfRule>
  </conditionalFormatting>
  <conditionalFormatting sqref="K4">
    <cfRule type="expression" dxfId="163" priority="46">
      <formula>MOD(ROW(), 2)=0</formula>
    </cfRule>
  </conditionalFormatting>
  <conditionalFormatting sqref="J4">
    <cfRule type="expression" dxfId="162" priority="1">
      <formula>MOD(ROW(), 2)=0</formula>
    </cfRule>
  </conditionalFormatting>
  <hyperlinks>
    <hyperlink ref="J1" location="'Revision Map'!A1" display="INDEX" xr:uid="{D4249F59-5F30-4F19-B2AE-5F1B0355B114}"/>
    <hyperlink ref="K1" location="'Cross-FCN_Definitions'!A1" display="Cross-FCN_Definitions" xr:uid="{0F8E42C0-262F-4875-AFD1-310A65D0B976}"/>
    <hyperlink ref="L1" location="'AVI_Light_Scene_Vehicles'!A1" display="AVI_Light_Scene_Vehicles" xr:uid="{0CD5306A-5C54-473E-8C0A-57A3B662F4E3}"/>
  </hyperlinks>
  <pageMargins left="0.7" right="0.7" top="0.75" bottom="0.75" header="0.3" footer="0.3"/>
  <headerFooter>
    <oddFooter>&amp;C_x000D_&amp;1#&amp;"Calibri"&amp;11&amp;KFF0000 Internal</oddFoot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71FCB-DBD7-4F21-88FD-7D7C0D3D0BE2}">
  <sheetPr codeName="Sheet91"/>
  <dimension ref="A1:E21"/>
  <sheetViews>
    <sheetView workbookViewId="0">
      <pane ySplit="1" topLeftCell="A15" activePane="bottomLeft" state="frozen"/>
      <selection pane="bottomLeft" activeCell="B21" sqref="B21"/>
    </sheetView>
  </sheetViews>
  <sheetFormatPr defaultColWidth="9.15625" defaultRowHeight="14.4"/>
  <cols>
    <col min="1" max="1" width="11" style="1010" bestFit="1" customWidth="1"/>
    <col min="2" max="2" width="9.83984375" bestFit="1" customWidth="1"/>
    <col min="3" max="3" width="41" customWidth="1"/>
    <col min="4" max="4" width="23.41796875" customWidth="1"/>
    <col min="5" max="5" width="24.26171875" customWidth="1"/>
  </cols>
  <sheetData>
    <row r="1" spans="1:5">
      <c r="A1" s="670" t="s">
        <v>644</v>
      </c>
      <c r="B1" s="642" t="s">
        <v>645</v>
      </c>
      <c r="C1" s="643" t="s">
        <v>646</v>
      </c>
      <c r="D1" s="643" t="s">
        <v>647</v>
      </c>
      <c r="E1" s="644" t="s">
        <v>793</v>
      </c>
    </row>
    <row r="2" spans="1:5">
      <c r="A2" s="628">
        <v>0.1</v>
      </c>
      <c r="B2" s="356">
        <v>44944</v>
      </c>
      <c r="C2" s="589" t="s">
        <v>4026</v>
      </c>
      <c r="D2" s="590" t="s">
        <v>678</v>
      </c>
      <c r="E2" s="591" t="s">
        <v>655</v>
      </c>
    </row>
    <row r="3" spans="1:5" ht="28.8">
      <c r="A3" s="629">
        <v>0.1</v>
      </c>
      <c r="B3" s="188">
        <v>44950</v>
      </c>
      <c r="C3" s="584" t="s">
        <v>1626</v>
      </c>
      <c r="D3" s="585" t="s">
        <v>1627</v>
      </c>
      <c r="E3" s="586" t="s">
        <v>655</v>
      </c>
    </row>
    <row r="4" spans="1:5" ht="100.8">
      <c r="A4" s="1011">
        <v>0.2</v>
      </c>
      <c r="B4" s="515">
        <v>44953</v>
      </c>
      <c r="C4" s="611" t="s">
        <v>4027</v>
      </c>
      <c r="D4" s="590" t="s">
        <v>678</v>
      </c>
      <c r="E4" s="591" t="s">
        <v>655</v>
      </c>
    </row>
    <row r="5" spans="1:5">
      <c r="A5" s="1010">
        <v>0.2</v>
      </c>
      <c r="B5" s="51">
        <v>44953</v>
      </c>
      <c r="C5" s="5" t="s">
        <v>3711</v>
      </c>
      <c r="D5" s="5" t="s">
        <v>658</v>
      </c>
      <c r="E5" s="5" t="s">
        <v>655</v>
      </c>
    </row>
    <row r="6" spans="1:5" ht="28.8">
      <c r="A6" s="1011">
        <v>1</v>
      </c>
      <c r="B6" s="575">
        <v>44957</v>
      </c>
      <c r="C6" s="602" t="s">
        <v>3653</v>
      </c>
      <c r="D6" s="590" t="s">
        <v>678</v>
      </c>
      <c r="E6" s="591" t="s">
        <v>651</v>
      </c>
    </row>
    <row r="7" spans="1:5">
      <c r="A7" s="1010">
        <v>1</v>
      </c>
      <c r="B7" s="51">
        <v>44957</v>
      </c>
      <c r="C7" s="5" t="s">
        <v>687</v>
      </c>
      <c r="D7" s="5" t="s">
        <v>676</v>
      </c>
      <c r="E7" s="5" t="s">
        <v>661</v>
      </c>
    </row>
    <row r="8" spans="1:5">
      <c r="A8" s="1010">
        <v>1</v>
      </c>
      <c r="B8" s="51">
        <v>44970</v>
      </c>
      <c r="C8" s="2" t="s">
        <v>691</v>
      </c>
      <c r="D8" s="5" t="s">
        <v>676</v>
      </c>
      <c r="E8" s="5" t="s">
        <v>661</v>
      </c>
    </row>
    <row r="9" spans="1:5" ht="100.8">
      <c r="A9" s="1010">
        <v>1.1000000000000001</v>
      </c>
      <c r="B9" s="51">
        <v>44987</v>
      </c>
      <c r="C9" s="2" t="s">
        <v>1630</v>
      </c>
      <c r="D9" t="s">
        <v>3176</v>
      </c>
      <c r="E9" t="s">
        <v>655</v>
      </c>
    </row>
    <row r="10" spans="1:5" ht="28.8">
      <c r="A10" s="1011">
        <v>1.2</v>
      </c>
      <c r="B10" s="51">
        <v>44993</v>
      </c>
      <c r="C10" s="2" t="s">
        <v>3935</v>
      </c>
      <c r="D10" t="s">
        <v>3176</v>
      </c>
      <c r="E10" t="s">
        <v>655</v>
      </c>
    </row>
    <row r="11" spans="1:5">
      <c r="A11" s="1010">
        <v>1.2</v>
      </c>
      <c r="B11" s="51">
        <v>44993</v>
      </c>
      <c r="C11" s="5" t="s">
        <v>3711</v>
      </c>
      <c r="D11" s="5" t="s">
        <v>658</v>
      </c>
      <c r="E11" s="5" t="s">
        <v>655</v>
      </c>
    </row>
    <row r="12" spans="1:5" ht="28.8">
      <c r="A12" s="1012">
        <v>2</v>
      </c>
      <c r="B12" s="191">
        <v>44993</v>
      </c>
      <c r="C12" s="594" t="s">
        <v>1610</v>
      </c>
      <c r="D12" s="595" t="s">
        <v>3176</v>
      </c>
      <c r="E12" s="596" t="s">
        <v>651</v>
      </c>
    </row>
    <row r="13" spans="1:5">
      <c r="A13" s="1010">
        <v>2</v>
      </c>
      <c r="B13" s="191">
        <v>44998</v>
      </c>
      <c r="C13" s="2" t="s">
        <v>692</v>
      </c>
      <c r="D13" s="5" t="s">
        <v>678</v>
      </c>
      <c r="E13" s="5" t="s">
        <v>661</v>
      </c>
    </row>
    <row r="14" spans="1:5" ht="28.8">
      <c r="A14" s="1010">
        <v>2.1</v>
      </c>
      <c r="B14" s="191">
        <v>45077</v>
      </c>
      <c r="C14" s="2" t="s">
        <v>1633</v>
      </c>
      <c r="D14" t="s">
        <v>3176</v>
      </c>
      <c r="E14" t="s">
        <v>655</v>
      </c>
    </row>
    <row r="15" spans="1:5">
      <c r="A15" s="1010" t="s">
        <v>663</v>
      </c>
      <c r="B15" s="191">
        <v>45078</v>
      </c>
      <c r="C15" s="726" t="s">
        <v>3711</v>
      </c>
      <c r="D15" t="s">
        <v>658</v>
      </c>
      <c r="E15" t="s">
        <v>655</v>
      </c>
    </row>
    <row r="16" spans="1:5" ht="28.8">
      <c r="A16" s="1010" t="s">
        <v>666</v>
      </c>
      <c r="B16" s="191">
        <v>45078</v>
      </c>
      <c r="C16" s="594" t="s">
        <v>1614</v>
      </c>
      <c r="D16" s="5" t="s">
        <v>678</v>
      </c>
      <c r="E16" s="596" t="s">
        <v>651</v>
      </c>
    </row>
    <row r="17" spans="1:5">
      <c r="A17" s="1010" t="s">
        <v>666</v>
      </c>
      <c r="B17" s="191">
        <v>45078</v>
      </c>
      <c r="C17" s="5" t="s">
        <v>699</v>
      </c>
      <c r="D17" s="5" t="s">
        <v>678</v>
      </c>
      <c r="E17" s="5" t="s">
        <v>661</v>
      </c>
    </row>
    <row r="18" spans="1:5">
      <c r="A18" s="1010" t="s">
        <v>668</v>
      </c>
      <c r="B18" s="188">
        <v>45097</v>
      </c>
      <c r="C18" s="584" t="s">
        <v>818</v>
      </c>
      <c r="D18" s="585" t="s">
        <v>678</v>
      </c>
      <c r="E18" s="586" t="s">
        <v>655</v>
      </c>
    </row>
    <row r="19" spans="1:5" ht="28.8">
      <c r="A19" s="1010" t="s">
        <v>686</v>
      </c>
      <c r="B19" s="188">
        <v>45097</v>
      </c>
      <c r="C19" s="594" t="s">
        <v>1614</v>
      </c>
      <c r="D19" s="585" t="s">
        <v>678</v>
      </c>
      <c r="E19" s="586" t="s">
        <v>651</v>
      </c>
    </row>
    <row r="20" spans="1:5">
      <c r="A20" s="1010" t="s">
        <v>686</v>
      </c>
      <c r="B20" s="191">
        <v>45097</v>
      </c>
      <c r="C20" s="594" t="s">
        <v>700</v>
      </c>
      <c r="D20" s="595" t="s">
        <v>678</v>
      </c>
      <c r="E20" s="596" t="s">
        <v>661</v>
      </c>
    </row>
    <row r="21" spans="1:5">
      <c r="A21" s="1010" t="s">
        <v>686</v>
      </c>
      <c r="B21" s="1065">
        <v>45205</v>
      </c>
      <c r="C21" s="595" t="s">
        <v>701</v>
      </c>
      <c r="D21" s="595" t="s">
        <v>678</v>
      </c>
      <c r="E21" s="596" t="s">
        <v>661</v>
      </c>
    </row>
  </sheetData>
  <pageMargins left="0.7" right="0.7" top="0.75" bottom="0.75" header="0.3" footer="0.3"/>
  <headerFooter>
    <oddFooter>&amp;C_x000D_&amp;1#&amp;"Calibri"&amp;11&amp;KFF0000 Internal</oddFooter>
  </headerFooter>
  <tableParts count="1">
    <tablePart r:id="rId1"/>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outlinePr summaryRight="0"/>
  </sheetPr>
  <dimension ref="A1:N1048561"/>
  <sheetViews>
    <sheetView topLeftCell="F1" zoomScale="85" zoomScaleNormal="85" workbookViewId="0">
      <pane ySplit="3" topLeftCell="A4" activePane="bottomLeft" state="frozen"/>
      <selection activeCell="J3" sqref="J3"/>
      <selection pane="bottomLeft" activeCell="N1" sqref="N1:N1048576"/>
    </sheetView>
  </sheetViews>
  <sheetFormatPr defaultColWidth="9" defaultRowHeight="15" customHeight="1" outlineLevelCol="1"/>
  <cols>
    <col min="1" max="1" width="41" style="790" customWidth="1"/>
    <col min="2" max="2" width="44" style="840" customWidth="1"/>
    <col min="3" max="3" width="9.41796875" style="790" customWidth="1" outlineLevel="1"/>
    <col min="4" max="4" width="9.15625" style="790" customWidth="1" outlineLevel="1"/>
    <col min="5" max="5" width="9.41796875" style="790" customWidth="1" outlineLevel="1"/>
    <col min="6" max="6" width="25.15625" style="791" customWidth="1" outlineLevel="1"/>
    <col min="7" max="7" width="12.15625" style="790" customWidth="1" outlineLevel="1"/>
    <col min="8" max="8" width="9.15625" style="790" customWidth="1" outlineLevel="1"/>
    <col min="9" max="9" width="27.83984375" style="790" customWidth="1" outlineLevel="1"/>
    <col min="10" max="10" width="26.15625" style="790" bestFit="1" customWidth="1"/>
    <col min="11" max="12" width="21.15625" style="790" bestFit="1" customWidth="1"/>
    <col min="13" max="13" width="9" style="8"/>
    <col min="14" max="14" width="38.68359375" style="8" customWidth="1"/>
    <col min="15" max="16384" width="9" style="8"/>
  </cols>
  <sheetData>
    <row r="1" spans="1:14" ht="11.25" customHeight="1">
      <c r="A1" s="1387" t="s">
        <v>104</v>
      </c>
      <c r="B1" s="1387" t="s">
        <v>74</v>
      </c>
      <c r="C1" s="1695" t="s">
        <v>106</v>
      </c>
      <c r="D1" s="1696"/>
      <c r="E1" s="1388">
        <v>14</v>
      </c>
      <c r="F1" s="1389" t="s">
        <v>702</v>
      </c>
      <c r="G1" s="1388">
        <v>84168</v>
      </c>
      <c r="H1" s="1389"/>
      <c r="I1" s="1310" t="s">
        <v>69</v>
      </c>
      <c r="J1" s="1314" t="s">
        <v>703</v>
      </c>
      <c r="K1" s="1314" t="s">
        <v>4028</v>
      </c>
      <c r="L1" s="1310" t="s">
        <v>99</v>
      </c>
    </row>
    <row r="2" spans="1:14" ht="235.5" customHeight="1">
      <c r="A2" s="1599" t="s">
        <v>1529</v>
      </c>
      <c r="B2" s="1600"/>
      <c r="C2" s="1623" t="s">
        <v>4029</v>
      </c>
      <c r="D2" s="1624"/>
      <c r="E2" s="1624"/>
      <c r="F2" s="1624"/>
      <c r="G2" s="1624"/>
      <c r="H2" s="1624"/>
      <c r="I2" s="1625"/>
      <c r="J2" s="1390" t="s">
        <v>707</v>
      </c>
      <c r="K2" s="1277" t="s">
        <v>1384</v>
      </c>
      <c r="L2" s="1390"/>
    </row>
    <row r="3" spans="1:14" s="11" customFormat="1" ht="19.5" customHeight="1">
      <c r="A3" s="1391" t="s">
        <v>709</v>
      </c>
      <c r="B3" s="1391" t="s">
        <v>710</v>
      </c>
      <c r="C3" s="1391" t="s">
        <v>711</v>
      </c>
      <c r="D3" s="1392" t="s">
        <v>712</v>
      </c>
      <c r="E3" s="1392" t="s">
        <v>713</v>
      </c>
      <c r="F3" s="1393" t="s">
        <v>714</v>
      </c>
      <c r="G3" s="1391" t="s">
        <v>715</v>
      </c>
      <c r="H3" s="1391" t="s">
        <v>716</v>
      </c>
      <c r="I3" s="1391" t="s">
        <v>717</v>
      </c>
      <c r="J3" s="1394" t="s">
        <v>718</v>
      </c>
      <c r="K3" s="1391" t="s">
        <v>719</v>
      </c>
      <c r="L3" s="1392" t="s">
        <v>720</v>
      </c>
    </row>
    <row r="4" spans="1:14" s="69" customFormat="1" ht="14.4">
      <c r="A4" s="224" t="s">
        <v>4030</v>
      </c>
      <c r="B4" s="224" t="s">
        <v>722</v>
      </c>
      <c r="C4" s="820" t="s">
        <v>48</v>
      </c>
      <c r="D4" s="820" t="s">
        <v>48</v>
      </c>
      <c r="E4" s="820" t="s">
        <v>48</v>
      </c>
      <c r="F4" s="821" t="s">
        <v>48</v>
      </c>
      <c r="G4" s="820" t="s">
        <v>48</v>
      </c>
      <c r="H4" s="822">
        <v>216</v>
      </c>
      <c r="I4" s="823" t="s">
        <v>723</v>
      </c>
      <c r="J4" s="824" t="s">
        <v>724</v>
      </c>
      <c r="K4" s="1697">
        <v>1</v>
      </c>
      <c r="L4" s="1698" t="s">
        <v>4031</v>
      </c>
    </row>
    <row r="5" spans="1:14" s="69" customFormat="1" ht="28.8">
      <c r="A5" s="1395" t="s">
        <v>4032</v>
      </c>
      <c r="B5" s="1396" t="s">
        <v>4033</v>
      </c>
      <c r="C5" s="1397" t="s">
        <v>48</v>
      </c>
      <c r="D5" s="1398">
        <v>0</v>
      </c>
      <c r="E5" s="1398">
        <v>255</v>
      </c>
      <c r="F5" s="1399" t="s">
        <v>4034</v>
      </c>
      <c r="G5" s="1398">
        <v>255</v>
      </c>
      <c r="H5" s="1400">
        <v>8</v>
      </c>
      <c r="I5" s="1401" t="s">
        <v>743</v>
      </c>
      <c r="J5" s="1402" t="s">
        <v>729</v>
      </c>
      <c r="K5" s="1697"/>
      <c r="L5" s="1698"/>
    </row>
    <row r="6" spans="1:14" s="69" customFormat="1" ht="34.5" customHeight="1">
      <c r="A6" s="1403" t="s">
        <v>4035</v>
      </c>
      <c r="B6" s="1404" t="s">
        <v>4036</v>
      </c>
      <c r="C6" s="1405" t="s">
        <v>48</v>
      </c>
      <c r="D6" s="1406">
        <v>0</v>
      </c>
      <c r="E6" s="1406">
        <v>255</v>
      </c>
      <c r="F6" s="1407" t="s">
        <v>4034</v>
      </c>
      <c r="G6" s="1408">
        <v>255</v>
      </c>
      <c r="H6" s="1409">
        <v>8</v>
      </c>
      <c r="I6" s="1410" t="s">
        <v>743</v>
      </c>
      <c r="J6" s="1411" t="s">
        <v>729</v>
      </c>
      <c r="K6" s="1697"/>
      <c r="L6" s="1698"/>
    </row>
    <row r="7" spans="1:14" s="69" customFormat="1" ht="50.25" customHeight="1">
      <c r="A7" s="1395" t="s">
        <v>4037</v>
      </c>
      <c r="B7" s="1396" t="s">
        <v>4038</v>
      </c>
      <c r="C7" s="1397" t="s">
        <v>48</v>
      </c>
      <c r="D7" s="1398">
        <v>0</v>
      </c>
      <c r="E7" s="1398">
        <v>255</v>
      </c>
      <c r="F7" s="1399" t="s">
        <v>4039</v>
      </c>
      <c r="G7" s="1398">
        <v>255</v>
      </c>
      <c r="H7" s="1400">
        <v>8</v>
      </c>
      <c r="I7" s="1401" t="s">
        <v>743</v>
      </c>
      <c r="J7" s="1402" t="s">
        <v>729</v>
      </c>
      <c r="K7" s="1697"/>
      <c r="L7" s="1698"/>
    </row>
    <row r="8" spans="1:14" s="69" customFormat="1" ht="45.75" customHeight="1">
      <c r="A8" s="1412" t="s">
        <v>4040</v>
      </c>
      <c r="B8" s="1412" t="s">
        <v>4041</v>
      </c>
      <c r="C8" s="1413" t="s">
        <v>48</v>
      </c>
      <c r="D8" s="1414">
        <v>0</v>
      </c>
      <c r="E8" s="1415">
        <v>255</v>
      </c>
      <c r="F8" s="1407" t="s">
        <v>4039</v>
      </c>
      <c r="G8" s="1415">
        <v>255</v>
      </c>
      <c r="H8" s="1416">
        <v>8</v>
      </c>
      <c r="I8" s="1417" t="s">
        <v>743</v>
      </c>
      <c r="J8" s="1411" t="s">
        <v>729</v>
      </c>
      <c r="K8" s="1697"/>
      <c r="L8" s="1698"/>
    </row>
    <row r="9" spans="1:14" s="69" customFormat="1" ht="43.2">
      <c r="A9" s="1418" t="s">
        <v>4042</v>
      </c>
      <c r="B9" s="1419" t="s">
        <v>4043</v>
      </c>
      <c r="C9" s="1420" t="s">
        <v>48</v>
      </c>
      <c r="D9" s="1420" t="s">
        <v>48</v>
      </c>
      <c r="E9" s="1420" t="s">
        <v>48</v>
      </c>
      <c r="F9" s="1420" t="s">
        <v>48</v>
      </c>
      <c r="G9" s="1420" t="s">
        <v>48</v>
      </c>
      <c r="H9" s="1307">
        <v>16</v>
      </c>
      <c r="I9" s="1421" t="s">
        <v>1544</v>
      </c>
      <c r="J9" s="1402" t="s">
        <v>729</v>
      </c>
      <c r="K9" s="1697"/>
      <c r="L9" s="1698"/>
    </row>
    <row r="10" spans="1:14" s="69" customFormat="1" ht="43.2">
      <c r="A10" s="1403" t="s">
        <v>4044</v>
      </c>
      <c r="B10" s="1422" t="s">
        <v>4045</v>
      </c>
      <c r="C10" s="1423" t="s">
        <v>48</v>
      </c>
      <c r="D10" s="1408" t="s">
        <v>48</v>
      </c>
      <c r="E10" s="1408" t="s">
        <v>48</v>
      </c>
      <c r="F10" s="1423" t="s">
        <v>48</v>
      </c>
      <c r="G10" s="1408" t="s">
        <v>48</v>
      </c>
      <c r="H10" s="1409">
        <v>16</v>
      </c>
      <c r="I10" s="1424" t="s">
        <v>1544</v>
      </c>
      <c r="J10" s="1411" t="s">
        <v>729</v>
      </c>
      <c r="K10" s="1697"/>
      <c r="L10" s="1698"/>
    </row>
    <row r="11" spans="1:14" s="69" customFormat="1" ht="28.8">
      <c r="A11" s="1418" t="s">
        <v>4046</v>
      </c>
      <c r="B11" s="1419" t="s">
        <v>4047</v>
      </c>
      <c r="C11" s="1420" t="s">
        <v>48</v>
      </c>
      <c r="D11" s="1420" t="s">
        <v>48</v>
      </c>
      <c r="E11" s="1420" t="s">
        <v>48</v>
      </c>
      <c r="F11" s="1420" t="s">
        <v>48</v>
      </c>
      <c r="G11" s="1420" t="s">
        <v>48</v>
      </c>
      <c r="H11" s="1307">
        <v>16</v>
      </c>
      <c r="I11" s="1421" t="s">
        <v>1544</v>
      </c>
      <c r="J11" s="1402" t="s">
        <v>729</v>
      </c>
      <c r="K11" s="1697"/>
      <c r="L11" s="1698"/>
    </row>
    <row r="12" spans="1:14" s="69" customFormat="1" ht="207" customHeight="1">
      <c r="A12" s="1403" t="s">
        <v>4048</v>
      </c>
      <c r="B12" s="1425" t="s">
        <v>4049</v>
      </c>
      <c r="C12" s="1409" t="s">
        <v>48</v>
      </c>
      <c r="D12" s="1408">
        <v>0</v>
      </c>
      <c r="E12" s="1408">
        <v>255</v>
      </c>
      <c r="F12" s="1426" t="s">
        <v>4050</v>
      </c>
      <c r="G12" s="1408">
        <v>255</v>
      </c>
      <c r="H12" s="1409">
        <v>8</v>
      </c>
      <c r="I12" s="1424" t="s">
        <v>743</v>
      </c>
      <c r="J12" s="1411" t="s">
        <v>729</v>
      </c>
      <c r="K12" s="1697"/>
      <c r="L12" s="1698"/>
    </row>
    <row r="13" spans="1:14" s="69" customFormat="1" ht="403.2">
      <c r="A13" s="1418" t="s">
        <v>4051</v>
      </c>
      <c r="B13" s="1427" t="s">
        <v>4052</v>
      </c>
      <c r="C13" s="1428" t="s">
        <v>48</v>
      </c>
      <c r="D13" s="1429">
        <v>0</v>
      </c>
      <c r="E13" s="1429">
        <v>255</v>
      </c>
      <c r="F13" s="1430" t="s">
        <v>4053</v>
      </c>
      <c r="G13" s="1431">
        <v>255</v>
      </c>
      <c r="H13" s="1307">
        <v>8</v>
      </c>
      <c r="I13" s="1421" t="s">
        <v>743</v>
      </c>
      <c r="J13" s="1402" t="s">
        <v>729</v>
      </c>
      <c r="K13" s="1697"/>
      <c r="L13" s="1698"/>
    </row>
    <row r="14" spans="1:14" s="69" customFormat="1" ht="28.8">
      <c r="A14" s="1432" t="s">
        <v>4054</v>
      </c>
      <c r="B14" s="1422" t="s">
        <v>4055</v>
      </c>
      <c r="C14" s="1423" t="s">
        <v>48</v>
      </c>
      <c r="D14" s="1408" t="s">
        <v>48</v>
      </c>
      <c r="E14" s="1408" t="s">
        <v>48</v>
      </c>
      <c r="F14" s="1433" t="s">
        <v>48</v>
      </c>
      <c r="G14" s="1408" t="s">
        <v>48</v>
      </c>
      <c r="H14" s="1305">
        <v>8</v>
      </c>
      <c r="I14" s="1424" t="s">
        <v>1538</v>
      </c>
      <c r="J14" s="1411" t="s">
        <v>729</v>
      </c>
      <c r="K14" s="1697"/>
      <c r="L14" s="1698"/>
    </row>
    <row r="15" spans="1:14" s="69" customFormat="1" ht="28.8">
      <c r="A15" s="1418" t="s">
        <v>4056</v>
      </c>
      <c r="B15" s="1419" t="s">
        <v>4057</v>
      </c>
      <c r="C15" s="1434" t="s">
        <v>48</v>
      </c>
      <c r="D15" s="1435" t="s">
        <v>48</v>
      </c>
      <c r="E15" s="1435" t="s">
        <v>48</v>
      </c>
      <c r="F15" s="1436" t="s">
        <v>48</v>
      </c>
      <c r="G15" s="1437" t="s">
        <v>48</v>
      </c>
      <c r="H15" s="1438">
        <v>8</v>
      </c>
      <c r="I15" s="1439" t="s">
        <v>1538</v>
      </c>
      <c r="J15" s="1440" t="s">
        <v>729</v>
      </c>
      <c r="K15" s="1697"/>
      <c r="L15" s="1698"/>
    </row>
    <row r="16" spans="1:14" ht="57.6" customHeight="1">
      <c r="A16" s="1432" t="s">
        <v>4058</v>
      </c>
      <c r="B16" s="1441" t="s">
        <v>4059</v>
      </c>
      <c r="C16" s="825" t="s">
        <v>48</v>
      </c>
      <c r="D16" s="804" t="s">
        <v>48</v>
      </c>
      <c r="E16" s="826" t="s">
        <v>48</v>
      </c>
      <c r="F16" s="827" t="s">
        <v>48</v>
      </c>
      <c r="G16" s="828" t="s">
        <v>48</v>
      </c>
      <c r="H16" s="828">
        <v>32</v>
      </c>
      <c r="I16" s="825" t="s">
        <v>728</v>
      </c>
      <c r="J16" s="815" t="s">
        <v>729</v>
      </c>
      <c r="K16" s="1689">
        <v>40</v>
      </c>
      <c r="L16" s="1692" t="s">
        <v>4060</v>
      </c>
      <c r="N16" s="69"/>
    </row>
    <row r="17" spans="1:14" ht="45.75" customHeight="1">
      <c r="A17" s="1418" t="s">
        <v>4061</v>
      </c>
      <c r="B17" s="1442" t="s">
        <v>4062</v>
      </c>
      <c r="C17" s="429" t="s">
        <v>48</v>
      </c>
      <c r="D17" s="429" t="s">
        <v>48</v>
      </c>
      <c r="E17" s="429" t="s">
        <v>48</v>
      </c>
      <c r="F17" s="429" t="s">
        <v>48</v>
      </c>
      <c r="G17" s="792" t="s">
        <v>48</v>
      </c>
      <c r="H17" s="346">
        <v>16</v>
      </c>
      <c r="I17" s="793" t="s">
        <v>1544</v>
      </c>
      <c r="J17" s="420" t="s">
        <v>724</v>
      </c>
      <c r="K17" s="1690"/>
      <c r="L17" s="1693"/>
    </row>
    <row r="18" spans="1:14" ht="60.75" customHeight="1">
      <c r="A18" s="1432" t="s">
        <v>4063</v>
      </c>
      <c r="B18" s="1441" t="s">
        <v>4064</v>
      </c>
      <c r="C18" s="829" t="s">
        <v>48</v>
      </c>
      <c r="D18" s="811" t="s">
        <v>48</v>
      </c>
      <c r="E18" s="811" t="s">
        <v>48</v>
      </c>
      <c r="F18" s="830" t="s">
        <v>48</v>
      </c>
      <c r="G18" s="829" t="s">
        <v>48</v>
      </c>
      <c r="H18" s="828">
        <v>32</v>
      </c>
      <c r="I18" s="829" t="s">
        <v>1577</v>
      </c>
      <c r="J18" s="815" t="s">
        <v>724</v>
      </c>
      <c r="K18" s="1690"/>
      <c r="L18" s="1693"/>
    </row>
    <row r="19" spans="1:14" ht="60.75" customHeight="1">
      <c r="A19" s="1418" t="s">
        <v>4065</v>
      </c>
      <c r="B19" s="1442" t="s">
        <v>4066</v>
      </c>
      <c r="C19" s="420" t="s">
        <v>48</v>
      </c>
      <c r="D19" s="794" t="s">
        <v>48</v>
      </c>
      <c r="E19" s="794" t="s">
        <v>48</v>
      </c>
      <c r="F19" s="795" t="s">
        <v>48</v>
      </c>
      <c r="G19" s="792" t="s">
        <v>48</v>
      </c>
      <c r="H19" s="346">
        <v>8</v>
      </c>
      <c r="I19" s="793" t="s">
        <v>3755</v>
      </c>
      <c r="J19" s="420" t="s">
        <v>724</v>
      </c>
      <c r="K19" s="1690"/>
      <c r="L19" s="1693"/>
    </row>
    <row r="20" spans="1:14" ht="60.75" customHeight="1">
      <c r="A20" s="1443" t="s">
        <v>4067</v>
      </c>
      <c r="B20" s="1444" t="s">
        <v>4068</v>
      </c>
      <c r="C20" s="828" t="s">
        <v>48</v>
      </c>
      <c r="D20" s="804" t="s">
        <v>48</v>
      </c>
      <c r="E20" s="804" t="s">
        <v>48</v>
      </c>
      <c r="F20" s="831" t="s">
        <v>48</v>
      </c>
      <c r="G20" s="828" t="s">
        <v>48</v>
      </c>
      <c r="H20" s="806">
        <v>8</v>
      </c>
      <c r="I20" s="828" t="s">
        <v>1547</v>
      </c>
      <c r="J20" s="815" t="s">
        <v>729</v>
      </c>
      <c r="K20" s="1690"/>
      <c r="L20" s="1693"/>
    </row>
    <row r="21" spans="1:14" ht="14.4">
      <c r="A21" s="1395" t="s">
        <v>4069</v>
      </c>
      <c r="B21" s="1445" t="s">
        <v>48</v>
      </c>
      <c r="C21" s="420" t="s">
        <v>48</v>
      </c>
      <c r="D21" s="794" t="s">
        <v>48</v>
      </c>
      <c r="E21" s="794" t="s">
        <v>48</v>
      </c>
      <c r="F21" s="796" t="s">
        <v>48</v>
      </c>
      <c r="G21" s="429" t="s">
        <v>48</v>
      </c>
      <c r="H21" s="346">
        <v>16</v>
      </c>
      <c r="I21" s="797" t="s">
        <v>4070</v>
      </c>
      <c r="J21" s="798" t="s">
        <v>724</v>
      </c>
      <c r="K21" s="1690"/>
      <c r="L21" s="1693"/>
    </row>
    <row r="22" spans="1:14" customFormat="1" ht="259.5" customHeight="1">
      <c r="A22" s="1446" t="s">
        <v>4071</v>
      </c>
      <c r="B22" s="1447" t="s">
        <v>4072</v>
      </c>
      <c r="C22" s="828" t="s">
        <v>48</v>
      </c>
      <c r="D22" s="832">
        <v>0</v>
      </c>
      <c r="E22" s="832">
        <v>255</v>
      </c>
      <c r="F22" s="833" t="s">
        <v>4073</v>
      </c>
      <c r="G22" s="834">
        <v>255</v>
      </c>
      <c r="H22" s="835">
        <v>8</v>
      </c>
      <c r="I22" s="834" t="s">
        <v>743</v>
      </c>
      <c r="J22" s="815" t="s">
        <v>724</v>
      </c>
      <c r="K22" s="1690"/>
      <c r="L22" s="1693"/>
    </row>
    <row r="23" spans="1:14" ht="30.75" customHeight="1">
      <c r="A23" s="1448" t="s">
        <v>4074</v>
      </c>
      <c r="B23" s="1449" t="s">
        <v>4075</v>
      </c>
      <c r="C23" s="792" t="s">
        <v>48</v>
      </c>
      <c r="D23" s="429" t="s">
        <v>48</v>
      </c>
      <c r="E23" s="429" t="s">
        <v>48</v>
      </c>
      <c r="F23" s="429" t="s">
        <v>48</v>
      </c>
      <c r="G23" s="792" t="s">
        <v>48</v>
      </c>
      <c r="H23" s="346">
        <v>32</v>
      </c>
      <c r="I23" s="792" t="s">
        <v>1583</v>
      </c>
      <c r="J23" s="420" t="s">
        <v>729</v>
      </c>
      <c r="K23" s="1690"/>
      <c r="L23" s="1693"/>
    </row>
    <row r="24" spans="1:14" ht="60.75" customHeight="1">
      <c r="A24" s="1432" t="s">
        <v>4076</v>
      </c>
      <c r="B24" s="1441" t="s">
        <v>4077</v>
      </c>
      <c r="C24" s="829" t="s">
        <v>48</v>
      </c>
      <c r="D24" s="811" t="s">
        <v>48</v>
      </c>
      <c r="E24" s="811" t="s">
        <v>48</v>
      </c>
      <c r="F24" s="830" t="s">
        <v>48</v>
      </c>
      <c r="G24" s="829" t="s">
        <v>48</v>
      </c>
      <c r="H24" s="828">
        <v>32</v>
      </c>
      <c r="I24" s="829" t="s">
        <v>1583</v>
      </c>
      <c r="J24" s="815" t="s">
        <v>729</v>
      </c>
      <c r="K24" s="1690"/>
      <c r="L24" s="1693"/>
    </row>
    <row r="25" spans="1:14" ht="60.75" customHeight="1">
      <c r="A25" s="1448" t="s">
        <v>4078</v>
      </c>
      <c r="B25" s="1449" t="s">
        <v>4079</v>
      </c>
      <c r="C25" s="792" t="s">
        <v>48</v>
      </c>
      <c r="D25" s="429" t="s">
        <v>48</v>
      </c>
      <c r="E25" s="429" t="s">
        <v>48</v>
      </c>
      <c r="F25" s="429" t="s">
        <v>48</v>
      </c>
      <c r="G25" s="792" t="s">
        <v>48</v>
      </c>
      <c r="H25" s="346">
        <v>32</v>
      </c>
      <c r="I25" s="792" t="s">
        <v>1583</v>
      </c>
      <c r="J25" s="420" t="s">
        <v>729</v>
      </c>
      <c r="K25" s="1690"/>
      <c r="L25" s="1693"/>
    </row>
    <row r="26" spans="1:14" ht="56.25" customHeight="1">
      <c r="A26" s="1450" t="s">
        <v>4080</v>
      </c>
      <c r="B26" s="1451" t="s">
        <v>4081</v>
      </c>
      <c r="C26" s="819" t="s">
        <v>48</v>
      </c>
      <c r="D26" s="804" t="s">
        <v>48</v>
      </c>
      <c r="E26" s="804" t="s">
        <v>48</v>
      </c>
      <c r="F26" s="836" t="s">
        <v>48</v>
      </c>
      <c r="G26" s="819" t="s">
        <v>48</v>
      </c>
      <c r="H26" s="828">
        <v>8</v>
      </c>
      <c r="I26" s="819" t="s">
        <v>1538</v>
      </c>
      <c r="J26" s="815" t="s">
        <v>729</v>
      </c>
      <c r="K26" s="1690"/>
      <c r="L26" s="1693"/>
    </row>
    <row r="27" spans="1:14" ht="39" customHeight="1">
      <c r="A27" s="1452" t="s">
        <v>4082</v>
      </c>
      <c r="B27" s="1453" t="s">
        <v>4083</v>
      </c>
      <c r="C27" s="799" t="s">
        <v>48</v>
      </c>
      <c r="D27" s="799" t="s">
        <v>48</v>
      </c>
      <c r="E27" s="799" t="s">
        <v>48</v>
      </c>
      <c r="F27" s="800" t="s">
        <v>48</v>
      </c>
      <c r="G27" s="799" t="s">
        <v>48</v>
      </c>
      <c r="H27" s="346">
        <v>8</v>
      </c>
      <c r="I27" s="799" t="s">
        <v>1538</v>
      </c>
      <c r="J27" s="420" t="s">
        <v>729</v>
      </c>
      <c r="K27" s="1690"/>
      <c r="L27" s="1693"/>
    </row>
    <row r="28" spans="1:14" ht="115.2">
      <c r="A28" s="1454" t="s">
        <v>4084</v>
      </c>
      <c r="B28" s="837" t="s">
        <v>4085</v>
      </c>
      <c r="C28" s="819" t="s">
        <v>48</v>
      </c>
      <c r="D28" s="804">
        <v>0</v>
      </c>
      <c r="E28" s="804">
        <v>255</v>
      </c>
      <c r="F28" s="836" t="s">
        <v>4086</v>
      </c>
      <c r="G28" s="819">
        <v>255</v>
      </c>
      <c r="H28" s="828">
        <v>8</v>
      </c>
      <c r="I28" s="819" t="s">
        <v>743</v>
      </c>
      <c r="J28" s="815" t="s">
        <v>729</v>
      </c>
      <c r="K28" s="1690"/>
      <c r="L28" s="1693"/>
    </row>
    <row r="29" spans="1:14" ht="80.25" customHeight="1">
      <c r="A29" s="1448" t="s">
        <v>4087</v>
      </c>
      <c r="B29" s="817" t="s">
        <v>4088</v>
      </c>
      <c r="C29" s="801" t="s">
        <v>48</v>
      </c>
      <c r="D29" s="799" t="s">
        <v>48</v>
      </c>
      <c r="E29" s="799" t="s">
        <v>48</v>
      </c>
      <c r="F29" s="802" t="s">
        <v>48</v>
      </c>
      <c r="G29" s="799" t="s">
        <v>48</v>
      </c>
      <c r="H29" s="346">
        <v>8</v>
      </c>
      <c r="I29" s="801" t="s">
        <v>1538</v>
      </c>
      <c r="J29" s="420" t="s">
        <v>729</v>
      </c>
      <c r="K29" s="1690"/>
      <c r="L29" s="1693"/>
      <c r="N29" s="11"/>
    </row>
    <row r="30" spans="1:14" ht="43.2">
      <c r="A30" s="1454" t="s">
        <v>4089</v>
      </c>
      <c r="B30" s="837" t="s">
        <v>4090</v>
      </c>
      <c r="C30" s="829" t="s">
        <v>48</v>
      </c>
      <c r="D30" s="811" t="s">
        <v>48</v>
      </c>
      <c r="E30" s="811" t="s">
        <v>48</v>
      </c>
      <c r="F30" s="838" t="s">
        <v>48</v>
      </c>
      <c r="G30" s="811" t="s">
        <v>48</v>
      </c>
      <c r="H30" s="806">
        <v>8</v>
      </c>
      <c r="I30" s="829" t="s">
        <v>1538</v>
      </c>
      <c r="J30" s="815" t="s">
        <v>729</v>
      </c>
      <c r="K30" s="1690"/>
      <c r="L30" s="1693"/>
    </row>
    <row r="31" spans="1:14" ht="43.2">
      <c r="A31" s="1448" t="s">
        <v>4091</v>
      </c>
      <c r="B31" s="817" t="s">
        <v>4092</v>
      </c>
      <c r="C31" s="801" t="s">
        <v>48</v>
      </c>
      <c r="D31" s="799" t="s">
        <v>48</v>
      </c>
      <c r="E31" s="799" t="s">
        <v>48</v>
      </c>
      <c r="F31" s="802" t="s">
        <v>48</v>
      </c>
      <c r="G31" s="799" t="s">
        <v>48</v>
      </c>
      <c r="H31" s="346">
        <v>8</v>
      </c>
      <c r="I31" s="801" t="s">
        <v>1538</v>
      </c>
      <c r="J31" s="420" t="s">
        <v>729</v>
      </c>
      <c r="K31" s="1690"/>
      <c r="L31" s="1693"/>
    </row>
    <row r="32" spans="1:14" ht="72">
      <c r="A32" s="1455" t="s">
        <v>4093</v>
      </c>
      <c r="B32" s="1447" t="s">
        <v>4094</v>
      </c>
      <c r="C32" s="373" t="s">
        <v>48</v>
      </c>
      <c r="D32" s="811">
        <v>0</v>
      </c>
      <c r="E32" s="811">
        <v>255</v>
      </c>
      <c r="F32" s="839" t="s">
        <v>4095</v>
      </c>
      <c r="G32" s="819">
        <v>255</v>
      </c>
      <c r="H32" s="806">
        <v>8</v>
      </c>
      <c r="I32" s="811" t="s">
        <v>743</v>
      </c>
      <c r="J32" s="815" t="s">
        <v>729</v>
      </c>
      <c r="K32" s="1690"/>
      <c r="L32" s="1693"/>
    </row>
    <row r="33" spans="1:12" ht="72">
      <c r="A33" s="1448" t="s">
        <v>4096</v>
      </c>
      <c r="B33" s="1456" t="s">
        <v>4097</v>
      </c>
      <c r="C33" s="429" t="s">
        <v>48</v>
      </c>
      <c r="D33" s="794">
        <v>0</v>
      </c>
      <c r="E33" s="794">
        <v>255</v>
      </c>
      <c r="F33" s="803" t="s">
        <v>4098</v>
      </c>
      <c r="G33" s="792">
        <v>255</v>
      </c>
      <c r="H33" s="429">
        <v>8</v>
      </c>
      <c r="I33" s="792" t="s">
        <v>743</v>
      </c>
      <c r="J33" s="420" t="s">
        <v>729</v>
      </c>
      <c r="K33" s="1690"/>
      <c r="L33" s="1693"/>
    </row>
    <row r="34" spans="1:12" ht="60.75" customHeight="1">
      <c r="A34" s="1454" t="s">
        <v>4099</v>
      </c>
      <c r="B34" s="1457" t="s">
        <v>4100</v>
      </c>
      <c r="C34" s="373" t="s">
        <v>48</v>
      </c>
      <c r="D34" s="804" t="s">
        <v>48</v>
      </c>
      <c r="E34" s="804" t="s">
        <v>48</v>
      </c>
      <c r="F34" s="805" t="s">
        <v>48</v>
      </c>
      <c r="G34" s="804" t="s">
        <v>48</v>
      </c>
      <c r="H34" s="806">
        <v>8</v>
      </c>
      <c r="I34" s="804" t="s">
        <v>1538</v>
      </c>
      <c r="J34" s="815" t="s">
        <v>729</v>
      </c>
      <c r="K34" s="1690"/>
      <c r="L34" s="1693"/>
    </row>
    <row r="35" spans="1:12" ht="76.5" customHeight="1">
      <c r="A35" s="1448" t="s">
        <v>4101</v>
      </c>
      <c r="B35" s="1456" t="s">
        <v>4102</v>
      </c>
      <c r="C35" s="807" t="s">
        <v>48</v>
      </c>
      <c r="D35" s="808" t="s">
        <v>48</v>
      </c>
      <c r="E35" s="808" t="s">
        <v>48</v>
      </c>
      <c r="F35" s="809" t="s">
        <v>48</v>
      </c>
      <c r="G35" s="810" t="s">
        <v>48</v>
      </c>
      <c r="H35" s="807">
        <v>8</v>
      </c>
      <c r="I35" s="810" t="s">
        <v>1538</v>
      </c>
      <c r="J35" s="420" t="s">
        <v>729</v>
      </c>
      <c r="K35" s="1690"/>
      <c r="L35" s="1693"/>
    </row>
    <row r="36" spans="1:12" ht="14.4">
      <c r="A36" s="1443" t="s">
        <v>4103</v>
      </c>
      <c r="B36" s="1457" t="s">
        <v>4104</v>
      </c>
      <c r="C36" s="373" t="s">
        <v>48</v>
      </c>
      <c r="D36" s="804" t="s">
        <v>48</v>
      </c>
      <c r="E36" s="804" t="s">
        <v>48</v>
      </c>
      <c r="F36" s="805" t="s">
        <v>48</v>
      </c>
      <c r="G36" s="804" t="s">
        <v>48</v>
      </c>
      <c r="H36" s="806">
        <v>8</v>
      </c>
      <c r="I36" s="804" t="s">
        <v>1538</v>
      </c>
      <c r="J36" s="815" t="s">
        <v>729</v>
      </c>
      <c r="K36" s="1690"/>
      <c r="L36" s="1693"/>
    </row>
    <row r="37" spans="1:12" ht="14.4">
      <c r="A37" s="1458" t="s">
        <v>4105</v>
      </c>
      <c r="B37" s="1456" t="s">
        <v>48</v>
      </c>
      <c r="C37" s="792" t="s">
        <v>48</v>
      </c>
      <c r="D37" s="794" t="s">
        <v>48</v>
      </c>
      <c r="E37" s="794" t="s">
        <v>48</v>
      </c>
      <c r="F37" s="795" t="s">
        <v>48</v>
      </c>
      <c r="G37" s="792" t="s">
        <v>48</v>
      </c>
      <c r="H37" s="429">
        <v>32</v>
      </c>
      <c r="I37" s="792" t="s">
        <v>4106</v>
      </c>
      <c r="J37" s="798" t="s">
        <v>729</v>
      </c>
      <c r="K37" s="1690"/>
      <c r="L37" s="1693"/>
    </row>
    <row r="38" spans="1:12" ht="91.5" customHeight="1">
      <c r="A38" s="1454" t="s">
        <v>4107</v>
      </c>
      <c r="B38" s="1457" t="s">
        <v>4108</v>
      </c>
      <c r="C38" s="1003" t="s">
        <v>4109</v>
      </c>
      <c r="D38" s="811">
        <v>-8</v>
      </c>
      <c r="E38" s="811" t="s">
        <v>920</v>
      </c>
      <c r="F38" s="1004" t="s">
        <v>4110</v>
      </c>
      <c r="G38" s="1003" t="s">
        <v>920</v>
      </c>
      <c r="H38" s="806">
        <v>32</v>
      </c>
      <c r="I38" s="1003" t="s">
        <v>922</v>
      </c>
      <c r="J38" s="815" t="s">
        <v>724</v>
      </c>
      <c r="K38" s="1690"/>
      <c r="L38" s="1693"/>
    </row>
    <row r="39" spans="1:12" ht="60.75" customHeight="1">
      <c r="A39" s="1459" t="s">
        <v>4111</v>
      </c>
      <c r="B39" s="1460" t="s">
        <v>4112</v>
      </c>
      <c r="C39" s="799" t="s">
        <v>4109</v>
      </c>
      <c r="D39" s="799">
        <v>0</v>
      </c>
      <c r="E39" s="799" t="s">
        <v>920</v>
      </c>
      <c r="F39" s="800" t="s">
        <v>4113</v>
      </c>
      <c r="G39" s="799" t="s">
        <v>920</v>
      </c>
      <c r="H39" s="429">
        <v>32</v>
      </c>
      <c r="I39" s="799" t="s">
        <v>922</v>
      </c>
      <c r="J39" s="420" t="s">
        <v>724</v>
      </c>
      <c r="K39" s="1690"/>
      <c r="L39" s="1693"/>
    </row>
    <row r="40" spans="1:12" ht="91.5" customHeight="1">
      <c r="A40" s="1454" t="s">
        <v>4114</v>
      </c>
      <c r="B40" s="1451" t="s">
        <v>4115</v>
      </c>
      <c r="C40" s="373" t="s">
        <v>48</v>
      </c>
      <c r="D40" s="811" t="s">
        <v>48</v>
      </c>
      <c r="E40" s="812" t="s">
        <v>48</v>
      </c>
      <c r="F40" s="805" t="s">
        <v>48</v>
      </c>
      <c r="G40" s="812" t="s">
        <v>48</v>
      </c>
      <c r="H40" s="806">
        <v>8</v>
      </c>
      <c r="I40" s="812" t="s">
        <v>1538</v>
      </c>
      <c r="J40" s="815" t="s">
        <v>729</v>
      </c>
      <c r="K40" s="1690"/>
      <c r="L40" s="1693"/>
    </row>
    <row r="41" spans="1:12" ht="91.5" customHeight="1">
      <c r="A41" s="1452" t="s">
        <v>4116</v>
      </c>
      <c r="B41" s="1453" t="s">
        <v>4117</v>
      </c>
      <c r="C41" s="807" t="s">
        <v>48</v>
      </c>
      <c r="D41" s="813" t="s">
        <v>48</v>
      </c>
      <c r="E41" s="808" t="s">
        <v>48</v>
      </c>
      <c r="F41" s="814" t="s">
        <v>48</v>
      </c>
      <c r="G41" s="807" t="s">
        <v>48</v>
      </c>
      <c r="H41" s="807">
        <v>8</v>
      </c>
      <c r="I41" s="807" t="s">
        <v>1538</v>
      </c>
      <c r="J41" s="420" t="s">
        <v>729</v>
      </c>
      <c r="K41" s="1690"/>
      <c r="L41" s="1693"/>
    </row>
    <row r="42" spans="1:12" ht="76.5" customHeight="1">
      <c r="A42" s="1461" t="s">
        <v>4118</v>
      </c>
      <c r="B42" s="1451" t="s">
        <v>4119</v>
      </c>
      <c r="C42" s="373" t="s">
        <v>48</v>
      </c>
      <c r="D42" s="811" t="s">
        <v>48</v>
      </c>
      <c r="E42" s="812" t="s">
        <v>48</v>
      </c>
      <c r="F42" s="805" t="s">
        <v>48</v>
      </c>
      <c r="G42" s="812" t="s">
        <v>48</v>
      </c>
      <c r="H42" s="806">
        <v>8</v>
      </c>
      <c r="I42" s="812" t="s">
        <v>1538</v>
      </c>
      <c r="J42" s="815" t="s">
        <v>729</v>
      </c>
      <c r="K42" s="1690"/>
      <c r="L42" s="1693"/>
    </row>
    <row r="43" spans="1:12" ht="91.5" customHeight="1">
      <c r="A43" s="1452" t="s">
        <v>4120</v>
      </c>
      <c r="B43" s="1453" t="s">
        <v>4121</v>
      </c>
      <c r="C43" s="807" t="s">
        <v>48</v>
      </c>
      <c r="D43" s="813" t="s">
        <v>48</v>
      </c>
      <c r="E43" s="808" t="s">
        <v>48</v>
      </c>
      <c r="F43" s="814" t="s">
        <v>48</v>
      </c>
      <c r="G43" s="807" t="s">
        <v>48</v>
      </c>
      <c r="H43" s="807">
        <v>8</v>
      </c>
      <c r="I43" s="807" t="s">
        <v>1538</v>
      </c>
      <c r="J43" s="420" t="s">
        <v>729</v>
      </c>
      <c r="K43" s="1690"/>
      <c r="L43" s="1693"/>
    </row>
    <row r="44" spans="1:12" ht="14.4">
      <c r="A44" s="1455" t="s">
        <v>4122</v>
      </c>
      <c r="B44" s="1462" t="s">
        <v>48</v>
      </c>
      <c r="C44" s="811" t="s">
        <v>48</v>
      </c>
      <c r="D44" s="811" t="s">
        <v>48</v>
      </c>
      <c r="E44" s="811" t="s">
        <v>48</v>
      </c>
      <c r="F44" s="818" t="s">
        <v>48</v>
      </c>
      <c r="G44" s="819" t="s">
        <v>48</v>
      </c>
      <c r="H44" s="806">
        <v>24</v>
      </c>
      <c r="I44" s="811" t="s">
        <v>4123</v>
      </c>
      <c r="J44" s="815" t="s">
        <v>729</v>
      </c>
      <c r="K44" s="1690"/>
      <c r="L44" s="1693"/>
    </row>
    <row r="45" spans="1:12" ht="14.4">
      <c r="A45" s="1452" t="s">
        <v>4124</v>
      </c>
      <c r="B45" s="1463" t="s">
        <v>48</v>
      </c>
      <c r="C45" s="799" t="s">
        <v>48</v>
      </c>
      <c r="D45" s="799" t="s">
        <v>48</v>
      </c>
      <c r="E45" s="799" t="s">
        <v>48</v>
      </c>
      <c r="F45" s="816" t="s">
        <v>48</v>
      </c>
      <c r="G45" s="792" t="s">
        <v>48</v>
      </c>
      <c r="H45" s="429">
        <v>24</v>
      </c>
      <c r="I45" s="799" t="s">
        <v>4125</v>
      </c>
      <c r="J45" s="798" t="s">
        <v>729</v>
      </c>
      <c r="K45" s="1690"/>
      <c r="L45" s="1693"/>
    </row>
    <row r="46" spans="1:12" ht="14.4">
      <c r="A46" s="1455" t="s">
        <v>4126</v>
      </c>
      <c r="B46" s="1462" t="s">
        <v>48</v>
      </c>
      <c r="C46" s="811" t="s">
        <v>48</v>
      </c>
      <c r="D46" s="811" t="s">
        <v>48</v>
      </c>
      <c r="E46" s="811" t="s">
        <v>48</v>
      </c>
      <c r="F46" s="818" t="s">
        <v>48</v>
      </c>
      <c r="G46" s="819" t="s">
        <v>48</v>
      </c>
      <c r="H46" s="806">
        <v>960</v>
      </c>
      <c r="I46" s="811" t="s">
        <v>4127</v>
      </c>
      <c r="J46" s="815" t="s">
        <v>724</v>
      </c>
      <c r="K46" s="1690"/>
      <c r="L46" s="1693"/>
    </row>
    <row r="47" spans="1:12" ht="14.4">
      <c r="A47" s="1452" t="s">
        <v>4128</v>
      </c>
      <c r="B47" s="1463" t="s">
        <v>48</v>
      </c>
      <c r="C47" s="799" t="s">
        <v>48</v>
      </c>
      <c r="D47" s="799" t="s">
        <v>48</v>
      </c>
      <c r="E47" s="799" t="s">
        <v>48</v>
      </c>
      <c r="F47" s="816" t="s">
        <v>48</v>
      </c>
      <c r="G47" s="792" t="s">
        <v>48</v>
      </c>
      <c r="H47" s="429">
        <v>384</v>
      </c>
      <c r="I47" s="799" t="s">
        <v>4129</v>
      </c>
      <c r="J47" s="798" t="s">
        <v>724</v>
      </c>
      <c r="K47" s="1690"/>
      <c r="L47" s="1693"/>
    </row>
    <row r="48" spans="1:12" ht="60.75" customHeight="1">
      <c r="A48" s="1464" t="s">
        <v>4130</v>
      </c>
      <c r="B48" s="1465" t="s">
        <v>4131</v>
      </c>
      <c r="C48" s="811" t="s">
        <v>48</v>
      </c>
      <c r="D48" s="811" t="s">
        <v>48</v>
      </c>
      <c r="E48" s="811" t="s">
        <v>48</v>
      </c>
      <c r="F48" s="818" t="s">
        <v>48</v>
      </c>
      <c r="G48" s="819" t="s">
        <v>48</v>
      </c>
      <c r="H48" s="806">
        <v>8</v>
      </c>
      <c r="I48" s="811" t="s">
        <v>1538</v>
      </c>
      <c r="J48" s="815" t="s">
        <v>729</v>
      </c>
      <c r="K48" s="1690"/>
      <c r="L48" s="1693"/>
    </row>
    <row r="49" spans="1:12" ht="100.8">
      <c r="A49" s="841" t="s">
        <v>4132</v>
      </c>
      <c r="B49" s="800" t="s">
        <v>4133</v>
      </c>
      <c r="C49" s="842" t="s">
        <v>48</v>
      </c>
      <c r="D49" s="799">
        <v>0</v>
      </c>
      <c r="E49" s="794">
        <v>255</v>
      </c>
      <c r="F49" s="802" t="s">
        <v>4134</v>
      </c>
      <c r="G49" s="429">
        <v>255</v>
      </c>
      <c r="H49" s="429">
        <v>8</v>
      </c>
      <c r="I49" s="799" t="s">
        <v>743</v>
      </c>
      <c r="J49" s="799" t="s">
        <v>729</v>
      </c>
      <c r="K49" s="1690"/>
      <c r="L49" s="1693"/>
    </row>
    <row r="50" spans="1:12" ht="14.4">
      <c r="A50" s="1036" t="s">
        <v>4135</v>
      </c>
      <c r="B50" s="1037" t="s">
        <v>4136</v>
      </c>
      <c r="C50" s="799" t="s">
        <v>48</v>
      </c>
      <c r="D50" s="799" t="s">
        <v>48</v>
      </c>
      <c r="E50" s="799" t="s">
        <v>48</v>
      </c>
      <c r="F50" s="816" t="s">
        <v>48</v>
      </c>
      <c r="G50" s="792" t="s">
        <v>48</v>
      </c>
      <c r="H50" s="346">
        <v>256</v>
      </c>
      <c r="I50" s="799" t="s">
        <v>4137</v>
      </c>
      <c r="J50" s="1038" t="s">
        <v>724</v>
      </c>
      <c r="K50" s="1691"/>
      <c r="L50" s="1694"/>
    </row>
    <row r="51" spans="1:12" ht="14.4"/>
    <row r="52" spans="1:12" ht="14.4"/>
    <row r="53" spans="1:12" ht="14.4"/>
    <row r="54" spans="1:12" ht="14.4"/>
    <row r="55" spans="1:12" ht="14.4"/>
    <row r="56" spans="1:12" ht="14.4"/>
    <row r="57" spans="1:12" ht="14.4"/>
    <row r="58" spans="1:12" ht="14.4"/>
    <row r="59" spans="1:12" ht="14.4"/>
    <row r="60" spans="1:12" ht="14.4"/>
    <row r="61" spans="1:12" ht="14.4"/>
    <row r="62" spans="1:12" ht="14.4"/>
    <row r="63" spans="1:12" ht="14.4"/>
    <row r="64" spans="1:12" ht="14.4"/>
    <row r="65" ht="14.4"/>
    <row r="66" ht="14.4"/>
    <row r="67" ht="14.4"/>
    <row r="68" ht="14.4"/>
    <row r="69" ht="14.4"/>
    <row r="70" ht="14.4"/>
    <row r="71" ht="14.4"/>
    <row r="72" ht="14.4"/>
    <row r="73" ht="14.4"/>
    <row r="74" ht="14.4"/>
    <row r="75" ht="14.4"/>
    <row r="76" ht="14.4"/>
    <row r="77" ht="14.4"/>
    <row r="78" ht="14.4"/>
    <row r="79" ht="14.4"/>
    <row r="80" ht="14.4"/>
    <row r="81" ht="14.4"/>
    <row r="82" ht="14.4"/>
    <row r="83" ht="14.4"/>
    <row r="84" ht="14.4"/>
    <row r="85" ht="14.4"/>
    <row r="86" ht="14.4"/>
    <row r="87" ht="14.4"/>
    <row r="88" ht="14.4"/>
    <row r="89" ht="14.4"/>
    <row r="90" ht="14.4"/>
    <row r="91" ht="14.4"/>
    <row r="92" ht="14.4"/>
    <row r="93" ht="14.4"/>
    <row r="94" ht="14.4"/>
    <row r="95" ht="14.4"/>
    <row r="96" ht="14.4"/>
    <row r="97" ht="14.4"/>
    <row r="98" ht="14.4"/>
    <row r="99" ht="14.4"/>
    <row r="100" ht="14.4"/>
    <row r="101" ht="14.4"/>
    <row r="102" ht="14.4"/>
    <row r="103" ht="14.4"/>
    <row r="104" ht="14.4"/>
    <row r="105" ht="14.4"/>
    <row r="106" ht="14.4"/>
    <row r="107" ht="14.4"/>
    <row r="108" ht="14.4"/>
    <row r="109" ht="14.4"/>
    <row r="110" ht="14.4"/>
    <row r="111" ht="14.4"/>
    <row r="112" ht="14.4"/>
    <row r="113" ht="14.4"/>
    <row r="114" ht="14.4"/>
    <row r="115" ht="14.4"/>
    <row r="116" ht="14.4"/>
    <row r="117" ht="14.4"/>
    <row r="118" ht="14.4"/>
    <row r="119" ht="14.4"/>
    <row r="120" ht="14.4"/>
    <row r="121" ht="14.4"/>
    <row r="122" ht="14.4"/>
    <row r="123" ht="14.4"/>
    <row r="124" ht="14.4"/>
    <row r="125" ht="14.4"/>
    <row r="126" ht="14.4"/>
    <row r="127" ht="14.4"/>
    <row r="128" ht="14.4"/>
    <row r="129" ht="14.4"/>
    <row r="130" ht="14.4"/>
    <row r="131" ht="14.4"/>
    <row r="132" ht="14.4"/>
    <row r="133" ht="14.4"/>
    <row r="134" ht="14.4"/>
    <row r="135" ht="14.4"/>
    <row r="136" ht="14.4"/>
    <row r="137" ht="14.4"/>
    <row r="138" ht="14.4"/>
    <row r="139" ht="14.4"/>
    <row r="140" ht="14.4"/>
    <row r="141" ht="14.4"/>
    <row r="142" ht="14.4"/>
    <row r="143" ht="14.4"/>
    <row r="144" ht="14.4"/>
    <row r="145" ht="14.4"/>
    <row r="146" ht="14.4"/>
    <row r="147" ht="14.4"/>
    <row r="150" ht="14.4"/>
    <row r="153" ht="14.4"/>
    <row r="154" ht="14.4"/>
    <row r="1048450" ht="14.4"/>
    <row r="1048451" ht="14.4"/>
    <row r="1048452" ht="14.4"/>
    <row r="1048462" ht="14.4"/>
    <row r="1048463" ht="14.4"/>
    <row r="1048464" ht="14.4"/>
    <row r="1048465" ht="14.4"/>
    <row r="1048466" ht="14.4"/>
    <row r="1048467" ht="14.4"/>
    <row r="1048468" ht="14.4"/>
    <row r="1048546" ht="14.4"/>
    <row r="1048547" ht="14.4"/>
    <row r="1048548" ht="14.4"/>
    <row r="1048549" ht="14.4"/>
    <row r="1048550" ht="14.4"/>
    <row r="1048553" ht="14.4"/>
    <row r="1048554" ht="14.4"/>
    <row r="1048555" ht="14.4"/>
    <row r="1048556" ht="14.4"/>
    <row r="1048557" ht="14.4"/>
    <row r="1048558" ht="14.4"/>
    <row r="1048559" ht="14.4"/>
    <row r="1048560" ht="14.4"/>
    <row r="1048561" ht="14.4"/>
  </sheetData>
  <autoFilter ref="A3:L49" xr:uid="{00000000-0001-0000-0100-000000000000}"/>
  <mergeCells count="7">
    <mergeCell ref="K16:K50"/>
    <mergeCell ref="L16:L50"/>
    <mergeCell ref="C1:D1"/>
    <mergeCell ref="A2:B2"/>
    <mergeCell ref="K4:K15"/>
    <mergeCell ref="L4:L15"/>
    <mergeCell ref="C2:I2"/>
  </mergeCells>
  <hyperlinks>
    <hyperlink ref="L1" location="'AVI_Objects_Debug'!A1" display="AVI_Objects_Debug" xr:uid="{E025A816-9688-49B9-AD00-B022CC732C21}"/>
    <hyperlink ref="I1" location="'Revision Map'!A1" display="INDEX" xr:uid="{CD407D33-20B1-425D-9169-88C4C26D2102}"/>
    <hyperlink ref="J1" location="'Cross-FCN_Definitions'!A1" display="Cross-FCN_Definitions" xr:uid="{5511796F-727A-46DC-AE24-E3DC15B161B4}"/>
    <hyperlink ref="K1" location="Objects_Definitions!A1" display="Objects_Definitions" xr:uid="{809E19AD-2575-4395-8832-71BECF2D898C}"/>
  </hyperlinks>
  <pageMargins left="0.7" right="0.7" top="0.75" bottom="0.75" header="0.3" footer="0.3"/>
  <pageSetup paperSize="9" orientation="portrait" r:id="rId1"/>
  <headerFooter>
    <oddFooter>&amp;C_x000D_&amp;1#&amp;"Calibri"&amp;11&amp;KFF0000 Internal</oddFoot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CA830-B41F-439C-AB10-35638DEA8600}">
  <sheetPr codeName="Sheet70"/>
  <dimension ref="A1:E93"/>
  <sheetViews>
    <sheetView zoomScaleNormal="100" workbookViewId="0">
      <pane ySplit="1" topLeftCell="A83" activePane="bottomLeft" state="frozen"/>
      <selection pane="bottomLeft" activeCell="B93" sqref="B93"/>
    </sheetView>
  </sheetViews>
  <sheetFormatPr defaultColWidth="9.15625" defaultRowHeight="14.4"/>
  <cols>
    <col min="1" max="1" width="11" style="1031" bestFit="1" customWidth="1"/>
    <col min="2" max="2" width="9.83984375" style="40" bestFit="1" customWidth="1"/>
    <col min="3" max="3" width="93.578125" style="2" bestFit="1" customWidth="1"/>
    <col min="4" max="4" width="22.26171875" bestFit="1" customWidth="1"/>
    <col min="5" max="5" width="16.68359375" customWidth="1"/>
  </cols>
  <sheetData>
    <row r="1" spans="1:5">
      <c r="A1" s="670" t="s">
        <v>644</v>
      </c>
      <c r="B1" s="642" t="s">
        <v>645</v>
      </c>
      <c r="C1" s="671" t="s">
        <v>646</v>
      </c>
      <c r="D1" s="671" t="s">
        <v>647</v>
      </c>
      <c r="E1" s="671" t="s">
        <v>793</v>
      </c>
    </row>
    <row r="2" spans="1:5" ht="28.8">
      <c r="A2" s="628" t="s">
        <v>655</v>
      </c>
      <c r="B2" s="575">
        <v>44026</v>
      </c>
      <c r="C2" s="589" t="s">
        <v>4138</v>
      </c>
      <c r="D2" s="590" t="s">
        <v>676</v>
      </c>
      <c r="E2" s="590" t="s">
        <v>655</v>
      </c>
    </row>
    <row r="3" spans="1:5">
      <c r="A3" s="629"/>
      <c r="B3" s="188"/>
      <c r="C3" s="585" t="s">
        <v>4139</v>
      </c>
      <c r="D3" s="585"/>
      <c r="E3" s="585"/>
    </row>
    <row r="4" spans="1:5">
      <c r="A4" s="628" t="s">
        <v>655</v>
      </c>
      <c r="B4" s="575">
        <v>44063</v>
      </c>
      <c r="C4" s="590" t="s">
        <v>4140</v>
      </c>
      <c r="D4" s="590" t="s">
        <v>676</v>
      </c>
      <c r="E4" s="590" t="s">
        <v>655</v>
      </c>
    </row>
    <row r="5" spans="1:5" ht="43.2">
      <c r="A5" s="629" t="s">
        <v>655</v>
      </c>
      <c r="B5" s="188">
        <v>44067</v>
      </c>
      <c r="C5" s="584" t="s">
        <v>4141</v>
      </c>
      <c r="D5" s="585" t="s">
        <v>685</v>
      </c>
      <c r="E5" s="585" t="s">
        <v>655</v>
      </c>
    </row>
    <row r="6" spans="1:5" ht="28.8">
      <c r="A6" s="628" t="s">
        <v>1338</v>
      </c>
      <c r="B6" s="630">
        <v>44070</v>
      </c>
      <c r="C6" s="589" t="s">
        <v>4142</v>
      </c>
      <c r="D6" s="590" t="s">
        <v>676</v>
      </c>
      <c r="E6" s="590" t="s">
        <v>651</v>
      </c>
    </row>
    <row r="7" spans="1:5" ht="115.2">
      <c r="A7" s="631" t="s">
        <v>4143</v>
      </c>
      <c r="B7" s="188">
        <v>44110</v>
      </c>
      <c r="C7" s="584" t="s">
        <v>4144</v>
      </c>
      <c r="D7" s="585" t="s">
        <v>4145</v>
      </c>
      <c r="E7" s="585" t="s">
        <v>651</v>
      </c>
    </row>
    <row r="8" spans="1:5" ht="28.8">
      <c r="A8" s="628">
        <v>2.1</v>
      </c>
      <c r="B8" s="575">
        <v>44210</v>
      </c>
      <c r="C8" s="632" t="s">
        <v>1340</v>
      </c>
      <c r="D8" s="590" t="s">
        <v>1341</v>
      </c>
      <c r="E8" s="590"/>
    </row>
    <row r="9" spans="1:5" ht="115.2">
      <c r="A9" s="629">
        <v>2.2000000000000002</v>
      </c>
      <c r="B9" s="188">
        <v>44410</v>
      </c>
      <c r="C9" s="584" t="s">
        <v>4146</v>
      </c>
      <c r="D9" s="585" t="s">
        <v>676</v>
      </c>
      <c r="E9" s="585" t="s">
        <v>655</v>
      </c>
    </row>
    <row r="10" spans="1:5" ht="28.8">
      <c r="A10" s="628">
        <v>2.2999999999999998</v>
      </c>
      <c r="B10" s="575">
        <v>44472</v>
      </c>
      <c r="C10" s="589" t="s">
        <v>4147</v>
      </c>
      <c r="D10" s="590" t="s">
        <v>1343</v>
      </c>
      <c r="E10" s="590" t="s">
        <v>655</v>
      </c>
    </row>
    <row r="11" spans="1:5">
      <c r="A11" s="629" t="s">
        <v>4148</v>
      </c>
      <c r="B11" s="188">
        <v>44284</v>
      </c>
      <c r="C11" s="585" t="s">
        <v>4149</v>
      </c>
      <c r="D11" s="585" t="s">
        <v>685</v>
      </c>
      <c r="E11" s="585" t="s">
        <v>661</v>
      </c>
    </row>
    <row r="12" spans="1:5">
      <c r="A12" s="628" t="s">
        <v>668</v>
      </c>
      <c r="B12" s="575">
        <v>44322</v>
      </c>
      <c r="C12" s="590" t="s">
        <v>4150</v>
      </c>
      <c r="D12" s="590" t="s">
        <v>685</v>
      </c>
      <c r="E12" s="590" t="s">
        <v>655</v>
      </c>
    </row>
    <row r="13" spans="1:5">
      <c r="A13" s="629" t="s">
        <v>4151</v>
      </c>
      <c r="B13" s="188">
        <v>44323</v>
      </c>
      <c r="C13" s="585" t="s">
        <v>4152</v>
      </c>
      <c r="D13" s="585" t="s">
        <v>685</v>
      </c>
      <c r="E13" s="585" t="s">
        <v>651</v>
      </c>
    </row>
    <row r="14" spans="1:5">
      <c r="A14" s="628" t="s">
        <v>4153</v>
      </c>
      <c r="B14" s="575">
        <v>44341</v>
      </c>
      <c r="C14" s="590" t="s">
        <v>4154</v>
      </c>
      <c r="D14" s="590" t="s">
        <v>685</v>
      </c>
      <c r="E14" s="590" t="s">
        <v>651</v>
      </c>
    </row>
    <row r="15" spans="1:5">
      <c r="A15" s="629" t="s">
        <v>4153</v>
      </c>
      <c r="B15" s="188">
        <v>44341</v>
      </c>
      <c r="C15" s="585"/>
      <c r="D15" s="585" t="s">
        <v>654</v>
      </c>
      <c r="E15" s="585" t="s">
        <v>661</v>
      </c>
    </row>
    <row r="16" spans="1:5">
      <c r="A16" s="628" t="s">
        <v>4153</v>
      </c>
      <c r="B16" s="575">
        <v>44452</v>
      </c>
      <c r="C16" s="590" t="s">
        <v>1345</v>
      </c>
      <c r="D16" s="590" t="s">
        <v>654</v>
      </c>
      <c r="E16" s="590" t="s">
        <v>661</v>
      </c>
    </row>
    <row r="17" spans="1:5" ht="43.2">
      <c r="A17" s="629">
        <v>5.0999999999999996</v>
      </c>
      <c r="B17" s="188">
        <v>44662</v>
      </c>
      <c r="C17" s="584" t="s">
        <v>4155</v>
      </c>
      <c r="D17" s="585" t="s">
        <v>3176</v>
      </c>
      <c r="E17" s="585" t="s">
        <v>655</v>
      </c>
    </row>
    <row r="18" spans="1:5" ht="100.8">
      <c r="A18" s="628">
        <v>5.2</v>
      </c>
      <c r="B18" s="575">
        <v>44683</v>
      </c>
      <c r="C18" s="589" t="s">
        <v>4156</v>
      </c>
      <c r="D18" s="590" t="s">
        <v>3176</v>
      </c>
      <c r="E18" s="590" t="s">
        <v>655</v>
      </c>
    </row>
    <row r="19" spans="1:5">
      <c r="A19" s="629">
        <v>5.3</v>
      </c>
      <c r="B19" s="188">
        <v>44683</v>
      </c>
      <c r="C19" s="585" t="s">
        <v>4157</v>
      </c>
      <c r="D19" s="585" t="s">
        <v>3176</v>
      </c>
      <c r="E19" s="585" t="s">
        <v>655</v>
      </c>
    </row>
    <row r="20" spans="1:5">
      <c r="A20" s="628">
        <v>5.4</v>
      </c>
      <c r="B20" s="575">
        <v>44683</v>
      </c>
      <c r="C20" s="590" t="s">
        <v>4158</v>
      </c>
      <c r="D20" s="590" t="s">
        <v>3176</v>
      </c>
      <c r="E20" s="590" t="s">
        <v>655</v>
      </c>
    </row>
    <row r="21" spans="1:5">
      <c r="A21" s="629">
        <v>5.5</v>
      </c>
      <c r="B21" s="188">
        <v>44683</v>
      </c>
      <c r="C21" s="585" t="s">
        <v>4159</v>
      </c>
      <c r="D21" s="585" t="s">
        <v>3176</v>
      </c>
      <c r="E21" s="585" t="s">
        <v>655</v>
      </c>
    </row>
    <row r="22" spans="1:5" ht="72">
      <c r="A22" s="628">
        <v>5.6</v>
      </c>
      <c r="B22" s="575">
        <v>44683</v>
      </c>
      <c r="C22" s="589" t="s">
        <v>4160</v>
      </c>
      <c r="D22" s="590" t="s">
        <v>3176</v>
      </c>
      <c r="E22" s="590" t="s">
        <v>655</v>
      </c>
    </row>
    <row r="23" spans="1:5" ht="28.8">
      <c r="A23" s="629">
        <v>5.7</v>
      </c>
      <c r="B23" s="188">
        <v>44683</v>
      </c>
      <c r="C23" s="584" t="s">
        <v>4161</v>
      </c>
      <c r="D23" s="585" t="s">
        <v>3176</v>
      </c>
      <c r="E23" s="585" t="s">
        <v>655</v>
      </c>
    </row>
    <row r="24" spans="1:5" ht="28.8">
      <c r="A24" s="628">
        <v>5.8</v>
      </c>
      <c r="B24" s="575">
        <v>44683</v>
      </c>
      <c r="C24" s="589" t="s">
        <v>4162</v>
      </c>
      <c r="D24" s="590" t="s">
        <v>3176</v>
      </c>
      <c r="E24" s="590" t="s">
        <v>655</v>
      </c>
    </row>
    <row r="25" spans="1:5" ht="43.2">
      <c r="A25" s="629">
        <v>5.9</v>
      </c>
      <c r="B25" s="188">
        <v>44684</v>
      </c>
      <c r="C25" s="584" t="s">
        <v>4163</v>
      </c>
      <c r="D25" s="585" t="s">
        <v>3176</v>
      </c>
      <c r="E25" s="585" t="s">
        <v>655</v>
      </c>
    </row>
    <row r="26" spans="1:5">
      <c r="A26" s="628" t="s">
        <v>4164</v>
      </c>
      <c r="B26" s="575">
        <v>44684</v>
      </c>
      <c r="C26" s="590" t="s">
        <v>4165</v>
      </c>
      <c r="D26" s="590" t="s">
        <v>3176</v>
      </c>
      <c r="E26" s="590" t="s">
        <v>655</v>
      </c>
    </row>
    <row r="27" spans="1:5">
      <c r="A27" s="629" t="s">
        <v>4166</v>
      </c>
      <c r="B27" s="188">
        <v>44685</v>
      </c>
      <c r="C27" s="585" t="s">
        <v>4167</v>
      </c>
      <c r="D27" s="585" t="s">
        <v>3176</v>
      </c>
      <c r="E27" s="585" t="s">
        <v>655</v>
      </c>
    </row>
    <row r="28" spans="1:5" ht="43.2">
      <c r="A28" s="628" t="s">
        <v>4168</v>
      </c>
      <c r="B28" s="575">
        <v>44686</v>
      </c>
      <c r="C28" s="589" t="s">
        <v>4169</v>
      </c>
      <c r="D28" s="590" t="s">
        <v>3176</v>
      </c>
      <c r="E28" s="590" t="s">
        <v>655</v>
      </c>
    </row>
    <row r="29" spans="1:5" ht="331.2">
      <c r="A29" s="629" t="s">
        <v>4170</v>
      </c>
      <c r="B29" s="188">
        <v>44686</v>
      </c>
      <c r="C29" s="584" t="s">
        <v>4171</v>
      </c>
      <c r="D29" s="585" t="s">
        <v>3176</v>
      </c>
      <c r="E29" s="585" t="s">
        <v>655</v>
      </c>
    </row>
    <row r="30" spans="1:5">
      <c r="A30" s="628" t="s">
        <v>4172</v>
      </c>
      <c r="B30" s="575">
        <v>44686</v>
      </c>
      <c r="C30" s="590" t="s">
        <v>4173</v>
      </c>
      <c r="D30" s="590" t="s">
        <v>3176</v>
      </c>
      <c r="E30" s="590" t="s">
        <v>655</v>
      </c>
    </row>
    <row r="31" spans="1:5">
      <c r="A31" s="629" t="s">
        <v>4174</v>
      </c>
      <c r="B31" s="188">
        <v>44687</v>
      </c>
      <c r="C31" s="585" t="s">
        <v>4175</v>
      </c>
      <c r="D31" s="585" t="s">
        <v>3176</v>
      </c>
      <c r="E31" s="585" t="s">
        <v>655</v>
      </c>
    </row>
    <row r="32" spans="1:5">
      <c r="A32" s="628" t="s">
        <v>4176</v>
      </c>
      <c r="B32" s="575">
        <v>44687</v>
      </c>
      <c r="C32" s="590" t="s">
        <v>4177</v>
      </c>
      <c r="D32" s="590" t="s">
        <v>3176</v>
      </c>
      <c r="E32" s="590" t="s">
        <v>655</v>
      </c>
    </row>
    <row r="33" spans="1:5">
      <c r="A33" s="629" t="s">
        <v>4178</v>
      </c>
      <c r="B33" s="188">
        <v>44687</v>
      </c>
      <c r="C33" s="585" t="s">
        <v>4179</v>
      </c>
      <c r="D33" s="585" t="s">
        <v>3176</v>
      </c>
      <c r="E33" s="585" t="s">
        <v>655</v>
      </c>
    </row>
    <row r="34" spans="1:5">
      <c r="A34" s="628" t="s">
        <v>4180</v>
      </c>
      <c r="B34" s="575">
        <v>44687</v>
      </c>
      <c r="C34" s="590" t="s">
        <v>4181</v>
      </c>
      <c r="D34" s="590" t="s">
        <v>3176</v>
      </c>
      <c r="E34" s="590" t="s">
        <v>655</v>
      </c>
    </row>
    <row r="35" spans="1:5">
      <c r="A35" s="629" t="s">
        <v>4182</v>
      </c>
      <c r="B35" s="188">
        <v>44687</v>
      </c>
      <c r="C35" s="585" t="s">
        <v>4183</v>
      </c>
      <c r="D35" s="585" t="s">
        <v>3176</v>
      </c>
      <c r="E35" s="585" t="s">
        <v>655</v>
      </c>
    </row>
    <row r="36" spans="1:5">
      <c r="A36" s="628" t="s">
        <v>4184</v>
      </c>
      <c r="B36" s="575">
        <v>44687</v>
      </c>
      <c r="C36" s="590" t="s">
        <v>4185</v>
      </c>
      <c r="D36" s="590" t="s">
        <v>3176</v>
      </c>
      <c r="E36" s="590" t="s">
        <v>655</v>
      </c>
    </row>
    <row r="37" spans="1:5">
      <c r="A37" s="629" t="s">
        <v>4186</v>
      </c>
      <c r="B37" s="188">
        <v>44691</v>
      </c>
      <c r="C37" s="585" t="s">
        <v>4187</v>
      </c>
      <c r="D37" s="585" t="s">
        <v>3176</v>
      </c>
      <c r="E37" s="585" t="s">
        <v>655</v>
      </c>
    </row>
    <row r="38" spans="1:5" ht="43.2">
      <c r="A38" s="628" t="s">
        <v>4188</v>
      </c>
      <c r="B38" s="575">
        <v>44691</v>
      </c>
      <c r="C38" s="589" t="s">
        <v>4189</v>
      </c>
      <c r="D38" s="590" t="s">
        <v>3176</v>
      </c>
      <c r="E38" s="590" t="s">
        <v>655</v>
      </c>
    </row>
    <row r="39" spans="1:5" ht="57.6">
      <c r="A39" s="629" t="s">
        <v>4190</v>
      </c>
      <c r="B39" s="188">
        <v>44691</v>
      </c>
      <c r="C39" s="584" t="s">
        <v>4191</v>
      </c>
      <c r="D39" s="585" t="s">
        <v>3176</v>
      </c>
      <c r="E39" s="585" t="s">
        <v>655</v>
      </c>
    </row>
    <row r="40" spans="1:5" ht="43.2">
      <c r="A40" s="628" t="s">
        <v>4192</v>
      </c>
      <c r="B40" s="575">
        <v>44694</v>
      </c>
      <c r="C40" s="589" t="s">
        <v>4193</v>
      </c>
      <c r="D40" s="590" t="s">
        <v>3176</v>
      </c>
      <c r="E40" s="590" t="s">
        <v>655</v>
      </c>
    </row>
    <row r="41" spans="1:5">
      <c r="A41" s="629" t="s">
        <v>4192</v>
      </c>
      <c r="B41" s="188">
        <v>44694</v>
      </c>
      <c r="C41" s="585" t="s">
        <v>999</v>
      </c>
      <c r="D41" s="585" t="s">
        <v>654</v>
      </c>
      <c r="E41" s="585" t="s">
        <v>655</v>
      </c>
    </row>
    <row r="42" spans="1:5" ht="28.8">
      <c r="A42" s="628" t="s">
        <v>4194</v>
      </c>
      <c r="B42" s="575">
        <v>44694</v>
      </c>
      <c r="C42" s="589" t="s">
        <v>4195</v>
      </c>
      <c r="D42" s="590" t="s">
        <v>3176</v>
      </c>
      <c r="E42" s="590" t="s">
        <v>655</v>
      </c>
    </row>
    <row r="43" spans="1:5">
      <c r="A43" s="629" t="s">
        <v>4194</v>
      </c>
      <c r="B43" s="188">
        <v>44697</v>
      </c>
      <c r="C43" s="585" t="s">
        <v>1590</v>
      </c>
      <c r="D43" s="585" t="s">
        <v>654</v>
      </c>
      <c r="E43" s="585" t="s">
        <v>655</v>
      </c>
    </row>
    <row r="44" spans="1:5">
      <c r="A44" s="628"/>
      <c r="B44" s="575"/>
      <c r="C44" s="590"/>
      <c r="D44" s="590"/>
      <c r="E44" s="590"/>
    </row>
    <row r="45" spans="1:5">
      <c r="A45" s="629" t="s">
        <v>4196</v>
      </c>
      <c r="B45" s="188">
        <v>44705</v>
      </c>
      <c r="C45" s="584" t="s">
        <v>4197</v>
      </c>
      <c r="D45" s="585" t="s">
        <v>3176</v>
      </c>
      <c r="E45" s="585" t="s">
        <v>655</v>
      </c>
    </row>
    <row r="46" spans="1:5">
      <c r="A46" s="628" t="s">
        <v>4196</v>
      </c>
      <c r="B46" s="575">
        <v>44706</v>
      </c>
      <c r="C46" s="589" t="s">
        <v>1593</v>
      </c>
      <c r="D46" s="590" t="s">
        <v>3176</v>
      </c>
      <c r="E46" s="590" t="s">
        <v>655</v>
      </c>
    </row>
    <row r="47" spans="1:5">
      <c r="A47" s="629" t="s">
        <v>4196</v>
      </c>
      <c r="B47" s="188">
        <v>44706</v>
      </c>
      <c r="C47" s="585" t="s">
        <v>1594</v>
      </c>
      <c r="D47" s="585" t="s">
        <v>658</v>
      </c>
      <c r="E47" s="585" t="s">
        <v>655</v>
      </c>
    </row>
    <row r="48" spans="1:5">
      <c r="A48" s="628" t="s">
        <v>698</v>
      </c>
      <c r="B48" s="575">
        <v>44706</v>
      </c>
      <c r="C48" s="589" t="s">
        <v>4198</v>
      </c>
      <c r="D48" s="590" t="s">
        <v>3176</v>
      </c>
      <c r="E48" s="590" t="s">
        <v>651</v>
      </c>
    </row>
    <row r="49" spans="1:5">
      <c r="A49" s="629" t="s">
        <v>698</v>
      </c>
      <c r="B49" s="188">
        <v>44719</v>
      </c>
      <c r="C49" s="585" t="s">
        <v>660</v>
      </c>
      <c r="D49" s="585" t="s">
        <v>654</v>
      </c>
      <c r="E49" s="585" t="s">
        <v>661</v>
      </c>
    </row>
    <row r="50" spans="1:5" ht="129.6">
      <c r="A50" s="628" t="s">
        <v>1759</v>
      </c>
      <c r="B50" s="575">
        <v>44726</v>
      </c>
      <c r="C50" s="589" t="s">
        <v>4199</v>
      </c>
      <c r="D50" s="590" t="s">
        <v>3176</v>
      </c>
      <c r="E50" s="590" t="s">
        <v>655</v>
      </c>
    </row>
    <row r="51" spans="1:5">
      <c r="A51" s="629" t="s">
        <v>1759</v>
      </c>
      <c r="B51" s="188">
        <v>44727</v>
      </c>
      <c r="C51" s="585" t="s">
        <v>4200</v>
      </c>
      <c r="D51" s="585" t="s">
        <v>654</v>
      </c>
      <c r="E51" s="585" t="s">
        <v>655</v>
      </c>
    </row>
    <row r="52" spans="1:5" ht="86.4">
      <c r="A52" s="628" t="s">
        <v>4201</v>
      </c>
      <c r="B52" s="575">
        <v>44739</v>
      </c>
      <c r="C52" s="589" t="s">
        <v>4202</v>
      </c>
      <c r="D52" s="590" t="s">
        <v>3176</v>
      </c>
      <c r="E52" s="590" t="s">
        <v>655</v>
      </c>
    </row>
    <row r="53" spans="1:5" ht="28.8">
      <c r="A53" s="629" t="s">
        <v>4201</v>
      </c>
      <c r="B53" s="188">
        <v>44741</v>
      </c>
      <c r="C53" s="585" t="s">
        <v>4203</v>
      </c>
      <c r="D53" s="584" t="s">
        <v>4204</v>
      </c>
      <c r="E53" s="585" t="s">
        <v>655</v>
      </c>
    </row>
    <row r="54" spans="1:5">
      <c r="A54" s="628" t="s">
        <v>1452</v>
      </c>
      <c r="B54" s="575">
        <v>44741</v>
      </c>
      <c r="C54" s="589" t="s">
        <v>4205</v>
      </c>
      <c r="D54" s="590" t="s">
        <v>3176</v>
      </c>
      <c r="E54" s="590" t="s">
        <v>651</v>
      </c>
    </row>
    <row r="55" spans="1:5" ht="187.2">
      <c r="A55" s="629" t="s">
        <v>59</v>
      </c>
      <c r="B55" s="188">
        <v>44742</v>
      </c>
      <c r="C55" s="584" t="s">
        <v>4206</v>
      </c>
      <c r="D55" s="585" t="s">
        <v>3176</v>
      </c>
      <c r="E55" s="585" t="s">
        <v>655</v>
      </c>
    </row>
    <row r="56" spans="1:5">
      <c r="A56" s="628" t="s">
        <v>59</v>
      </c>
      <c r="B56" s="575">
        <v>44743</v>
      </c>
      <c r="C56" s="590" t="s">
        <v>1601</v>
      </c>
      <c r="D56" s="590" t="s">
        <v>654</v>
      </c>
      <c r="E56" s="590" t="s">
        <v>655</v>
      </c>
    </row>
    <row r="57" spans="1:5">
      <c r="A57" s="629" t="s">
        <v>1454</v>
      </c>
      <c r="B57" s="188">
        <v>44743</v>
      </c>
      <c r="C57" s="584" t="s">
        <v>4205</v>
      </c>
      <c r="D57" s="585" t="s">
        <v>3176</v>
      </c>
      <c r="E57" s="585" t="s">
        <v>651</v>
      </c>
    </row>
    <row r="58" spans="1:5">
      <c r="A58" s="628" t="s">
        <v>1454</v>
      </c>
      <c r="B58" s="575">
        <v>44743</v>
      </c>
      <c r="C58" s="590" t="s">
        <v>667</v>
      </c>
      <c r="D58" s="590" t="s">
        <v>654</v>
      </c>
      <c r="E58" s="590" t="s">
        <v>661</v>
      </c>
    </row>
    <row r="59" spans="1:5" ht="43.2">
      <c r="A59" s="629" t="s">
        <v>4207</v>
      </c>
      <c r="B59" s="188">
        <v>44890</v>
      </c>
      <c r="C59" s="584" t="s">
        <v>4208</v>
      </c>
      <c r="D59" s="585" t="s">
        <v>3176</v>
      </c>
      <c r="E59" s="585" t="s">
        <v>655</v>
      </c>
    </row>
    <row r="60" spans="1:5" ht="43.2">
      <c r="A60" s="628" t="s">
        <v>4207</v>
      </c>
      <c r="B60" s="575">
        <v>44890</v>
      </c>
      <c r="C60" s="589" t="s">
        <v>4209</v>
      </c>
      <c r="D60" s="590" t="s">
        <v>3176</v>
      </c>
      <c r="E60" s="590" t="s">
        <v>655</v>
      </c>
    </row>
    <row r="61" spans="1:5" ht="43.2">
      <c r="A61" s="629" t="s">
        <v>4207</v>
      </c>
      <c r="B61" s="188">
        <v>44893</v>
      </c>
      <c r="C61" s="584" t="s">
        <v>4210</v>
      </c>
      <c r="D61" s="585" t="s">
        <v>3176</v>
      </c>
      <c r="E61" s="585" t="s">
        <v>655</v>
      </c>
    </row>
    <row r="62" spans="1:5" ht="57.6">
      <c r="A62" s="628" t="s">
        <v>4207</v>
      </c>
      <c r="B62" s="575">
        <v>44895</v>
      </c>
      <c r="C62" s="589" t="s">
        <v>4211</v>
      </c>
      <c r="D62" s="590" t="s">
        <v>3176</v>
      </c>
      <c r="E62" s="591" t="s">
        <v>655</v>
      </c>
    </row>
    <row r="63" spans="1:5">
      <c r="A63" s="629" t="s">
        <v>4212</v>
      </c>
      <c r="B63" s="188">
        <v>44897</v>
      </c>
      <c r="C63" s="584" t="s">
        <v>4213</v>
      </c>
      <c r="D63" s="585" t="s">
        <v>3176</v>
      </c>
      <c r="E63" s="585" t="s">
        <v>655</v>
      </c>
    </row>
    <row r="64" spans="1:5">
      <c r="A64" s="629" t="s">
        <v>4212</v>
      </c>
      <c r="B64" s="188">
        <v>44901</v>
      </c>
      <c r="C64" s="576" t="s">
        <v>1599</v>
      </c>
      <c r="D64" s="5" t="s">
        <v>676</v>
      </c>
      <c r="E64" s="5" t="s">
        <v>655</v>
      </c>
    </row>
    <row r="65" spans="1:5" ht="72">
      <c r="A65" s="1010">
        <v>8.3000000000000007</v>
      </c>
      <c r="B65" s="51">
        <v>44903</v>
      </c>
      <c r="C65" s="613" t="s">
        <v>4214</v>
      </c>
      <c r="D65" s="585" t="s">
        <v>3176</v>
      </c>
      <c r="E65" s="5" t="s">
        <v>655</v>
      </c>
    </row>
    <row r="66" spans="1:5">
      <c r="A66" s="1010">
        <v>8.3000000000000007</v>
      </c>
      <c r="B66" s="188">
        <v>44903</v>
      </c>
      <c r="C66" s="576" t="s">
        <v>1601</v>
      </c>
      <c r="D66" s="5" t="s">
        <v>676</v>
      </c>
      <c r="E66" s="5" t="s">
        <v>655</v>
      </c>
    </row>
    <row r="67" spans="1:5" ht="158.25" customHeight="1">
      <c r="A67" s="1010">
        <v>8.4</v>
      </c>
      <c r="B67" s="51">
        <v>44904</v>
      </c>
      <c r="C67" s="576" t="s">
        <v>4215</v>
      </c>
      <c r="D67" s="5" t="s">
        <v>3176</v>
      </c>
      <c r="E67" s="5" t="s">
        <v>655</v>
      </c>
    </row>
    <row r="68" spans="1:5">
      <c r="A68" s="1010">
        <v>8.4</v>
      </c>
      <c r="B68" s="51">
        <v>44937</v>
      </c>
      <c r="C68" s="607" t="s">
        <v>677</v>
      </c>
      <c r="D68" s="5" t="s">
        <v>678</v>
      </c>
      <c r="E68" s="5" t="s">
        <v>655</v>
      </c>
    </row>
    <row r="69" spans="1:5">
      <c r="A69" s="1029">
        <v>8.5</v>
      </c>
      <c r="B69" s="414">
        <v>44945</v>
      </c>
      <c r="C69" s="633" t="s">
        <v>1373</v>
      </c>
      <c r="D69" s="634" t="s">
        <v>1001</v>
      </c>
      <c r="E69" s="635" t="s">
        <v>655</v>
      </c>
    </row>
    <row r="70" spans="1:5">
      <c r="A70" s="1030">
        <v>8.5</v>
      </c>
      <c r="B70" s="636">
        <v>44952</v>
      </c>
      <c r="C70" s="576" t="s">
        <v>1966</v>
      </c>
      <c r="D70" s="5" t="s">
        <v>658</v>
      </c>
      <c r="E70" s="5" t="s">
        <v>655</v>
      </c>
    </row>
    <row r="71" spans="1:5" ht="144">
      <c r="A71" s="1010">
        <v>8.6</v>
      </c>
      <c r="B71" s="51">
        <v>44953</v>
      </c>
      <c r="C71" s="637" t="s">
        <v>4216</v>
      </c>
      <c r="D71" s="5" t="s">
        <v>1001</v>
      </c>
      <c r="E71" s="5" t="s">
        <v>655</v>
      </c>
    </row>
    <row r="72" spans="1:5">
      <c r="A72" s="1010">
        <v>8.6</v>
      </c>
      <c r="B72" s="51">
        <v>44956</v>
      </c>
      <c r="C72" s="576" t="s">
        <v>4217</v>
      </c>
      <c r="D72" s="5" t="s">
        <v>3176</v>
      </c>
      <c r="E72" s="5" t="s">
        <v>655</v>
      </c>
    </row>
    <row r="73" spans="1:5">
      <c r="A73" s="1010">
        <v>9</v>
      </c>
      <c r="B73" s="51">
        <v>44956</v>
      </c>
      <c r="C73" s="576" t="s">
        <v>4218</v>
      </c>
      <c r="D73" s="5" t="s">
        <v>3176</v>
      </c>
      <c r="E73" s="5" t="s">
        <v>651</v>
      </c>
    </row>
    <row r="74" spans="1:5">
      <c r="A74" s="1010">
        <v>9</v>
      </c>
      <c r="B74" s="51">
        <v>44957</v>
      </c>
      <c r="C74" s="5" t="s">
        <v>687</v>
      </c>
      <c r="D74" s="5" t="s">
        <v>676</v>
      </c>
      <c r="E74" s="5" t="s">
        <v>661</v>
      </c>
    </row>
    <row r="75" spans="1:5" ht="43.2">
      <c r="A75" s="1010">
        <v>9.1</v>
      </c>
      <c r="B75" s="51">
        <v>44971</v>
      </c>
      <c r="C75" s="576" t="s">
        <v>4219</v>
      </c>
      <c r="D75" s="5" t="s">
        <v>3176</v>
      </c>
      <c r="E75" s="5" t="s">
        <v>655</v>
      </c>
    </row>
    <row r="76" spans="1:5">
      <c r="A76" s="1010">
        <v>9.1</v>
      </c>
      <c r="B76" s="51">
        <v>44971</v>
      </c>
      <c r="C76" s="576" t="s">
        <v>4220</v>
      </c>
      <c r="D76" s="5" t="s">
        <v>678</v>
      </c>
      <c r="E76" s="5" t="s">
        <v>655</v>
      </c>
    </row>
    <row r="77" spans="1:5">
      <c r="A77" s="1010">
        <v>10</v>
      </c>
      <c r="B77" s="51">
        <v>44971</v>
      </c>
      <c r="C77" s="576" t="s">
        <v>4221</v>
      </c>
      <c r="D77" s="5" t="s">
        <v>3176</v>
      </c>
      <c r="E77" s="5" t="s">
        <v>651</v>
      </c>
    </row>
    <row r="78" spans="1:5" ht="43.2">
      <c r="A78" s="1010">
        <v>10.1</v>
      </c>
      <c r="B78" s="51">
        <v>44977</v>
      </c>
      <c r="C78" s="576" t="s">
        <v>4222</v>
      </c>
      <c r="D78" s="5" t="s">
        <v>3176</v>
      </c>
      <c r="E78" s="5" t="s">
        <v>655</v>
      </c>
    </row>
    <row r="79" spans="1:5">
      <c r="A79" s="1010">
        <v>10.1</v>
      </c>
      <c r="B79" s="51">
        <v>44977</v>
      </c>
      <c r="C79" s="576" t="s">
        <v>1378</v>
      </c>
      <c r="D79" s="5" t="s">
        <v>658</v>
      </c>
      <c r="E79" s="5" t="s">
        <v>655</v>
      </c>
    </row>
    <row r="80" spans="1:5">
      <c r="A80" s="1010">
        <v>11</v>
      </c>
      <c r="B80" s="51">
        <v>44977</v>
      </c>
      <c r="C80" s="576" t="s">
        <v>4223</v>
      </c>
      <c r="D80" s="5" t="s">
        <v>3176</v>
      </c>
      <c r="E80" s="5" t="s">
        <v>651</v>
      </c>
    </row>
    <row r="81" spans="1:5">
      <c r="A81" s="1010">
        <v>11</v>
      </c>
      <c r="B81" s="51">
        <v>44977</v>
      </c>
      <c r="C81" s="576" t="s">
        <v>691</v>
      </c>
      <c r="D81" s="5" t="s">
        <v>676</v>
      </c>
      <c r="E81" s="5" t="s">
        <v>661</v>
      </c>
    </row>
    <row r="82" spans="1:5" ht="28.8">
      <c r="A82" s="1010">
        <v>11.1</v>
      </c>
      <c r="B82" s="51">
        <v>44987</v>
      </c>
      <c r="C82" s="576" t="s">
        <v>4224</v>
      </c>
      <c r="D82" s="5" t="s">
        <v>3176</v>
      </c>
      <c r="E82" s="5" t="s">
        <v>655</v>
      </c>
    </row>
    <row r="83" spans="1:5">
      <c r="A83" s="1010">
        <v>12</v>
      </c>
      <c r="B83" s="51">
        <v>44994</v>
      </c>
      <c r="C83" s="576" t="s">
        <v>4225</v>
      </c>
      <c r="D83" s="5" t="s">
        <v>3176</v>
      </c>
      <c r="E83" s="5" t="s">
        <v>651</v>
      </c>
    </row>
    <row r="84" spans="1:5">
      <c r="A84" s="1010">
        <v>12</v>
      </c>
      <c r="B84" s="191">
        <v>44998</v>
      </c>
      <c r="C84" s="576" t="s">
        <v>692</v>
      </c>
      <c r="D84" s="5" t="s">
        <v>678</v>
      </c>
      <c r="E84" s="5" t="s">
        <v>661</v>
      </c>
    </row>
    <row r="85" spans="1:5" ht="43.2">
      <c r="A85" s="1010">
        <v>12.1</v>
      </c>
      <c r="B85" s="51">
        <v>45073</v>
      </c>
      <c r="C85" s="576" t="s">
        <v>4226</v>
      </c>
      <c r="D85" s="5" t="s">
        <v>3176</v>
      </c>
      <c r="E85" s="5" t="s">
        <v>655</v>
      </c>
    </row>
    <row r="86" spans="1:5">
      <c r="A86" s="1010" t="s">
        <v>4227</v>
      </c>
      <c r="B86" s="51">
        <v>45078</v>
      </c>
      <c r="C86" s="576" t="s">
        <v>4220</v>
      </c>
      <c r="D86" s="5" t="s">
        <v>1001</v>
      </c>
      <c r="E86" s="5" t="s">
        <v>655</v>
      </c>
    </row>
    <row r="87" spans="1:5">
      <c r="A87" s="1010" t="s">
        <v>4228</v>
      </c>
      <c r="B87" s="51">
        <v>45078</v>
      </c>
      <c r="C87" s="576" t="s">
        <v>4229</v>
      </c>
      <c r="D87" s="5" t="s">
        <v>3176</v>
      </c>
      <c r="E87" s="5" t="s">
        <v>651</v>
      </c>
    </row>
    <row r="88" spans="1:5" ht="28.8">
      <c r="A88" s="1010" t="s">
        <v>4230</v>
      </c>
      <c r="B88" s="51">
        <v>45084</v>
      </c>
      <c r="C88" s="576" t="s">
        <v>4231</v>
      </c>
      <c r="D88" s="5" t="s">
        <v>3176</v>
      </c>
      <c r="E88" s="5" t="s">
        <v>655</v>
      </c>
    </row>
    <row r="89" spans="1:5">
      <c r="A89" s="629" t="s">
        <v>4230</v>
      </c>
      <c r="B89" s="188">
        <v>45084</v>
      </c>
      <c r="C89" s="584" t="s">
        <v>4232</v>
      </c>
      <c r="D89" s="5" t="s">
        <v>1001</v>
      </c>
      <c r="E89" s="586" t="s">
        <v>655</v>
      </c>
    </row>
    <row r="90" spans="1:5">
      <c r="A90" s="1010" t="s">
        <v>4233</v>
      </c>
      <c r="B90" s="51">
        <v>45084</v>
      </c>
      <c r="C90" s="576" t="s">
        <v>4229</v>
      </c>
      <c r="D90" s="5" t="s">
        <v>3176</v>
      </c>
      <c r="E90" s="5" t="s">
        <v>651</v>
      </c>
    </row>
    <row r="91" spans="1:5">
      <c r="A91" s="1012" t="s">
        <v>4233</v>
      </c>
      <c r="B91" s="191">
        <v>45085</v>
      </c>
      <c r="C91" s="594" t="s">
        <v>699</v>
      </c>
      <c r="D91" s="595" t="s">
        <v>676</v>
      </c>
      <c r="E91" s="596" t="s">
        <v>661</v>
      </c>
    </row>
    <row r="92" spans="1:5">
      <c r="A92" s="1012" t="s">
        <v>4233</v>
      </c>
      <c r="B92" s="191">
        <v>45097</v>
      </c>
      <c r="C92" s="594" t="s">
        <v>700</v>
      </c>
      <c r="D92" s="585" t="s">
        <v>678</v>
      </c>
      <c r="E92" s="596" t="s">
        <v>661</v>
      </c>
    </row>
    <row r="93" spans="1:5">
      <c r="A93" s="1012" t="s">
        <v>4233</v>
      </c>
      <c r="B93" s="1065">
        <v>45205</v>
      </c>
      <c r="C93" s="595" t="s">
        <v>701</v>
      </c>
      <c r="D93" s="595" t="s">
        <v>678</v>
      </c>
      <c r="E93" s="596" t="s">
        <v>661</v>
      </c>
    </row>
  </sheetData>
  <pageMargins left="0.7" right="0.7" top="0.75" bottom="0.75" header="0.3" footer="0.3"/>
  <pageSetup paperSize="9" orientation="portrait" horizontalDpi="300" verticalDpi="300" r:id="rId1"/>
  <headerFooter>
    <oddFooter>&amp;C_x000D_&amp;1#&amp;"Calibri"&amp;11&amp;KFF0000 Internal</oddFooter>
  </headerFooter>
  <tableParts count="1">
    <tablePart r:id="rId2"/>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23E44-D7F0-48CD-ADB4-8AA283BAB61C}">
  <sheetPr codeName="Sheet92"/>
  <dimension ref="A1:L6"/>
  <sheetViews>
    <sheetView topLeftCell="B1" workbookViewId="0">
      <selection activeCell="E1" sqref="E1"/>
    </sheetView>
  </sheetViews>
  <sheetFormatPr defaultColWidth="9.15625" defaultRowHeight="14.4"/>
  <cols>
    <col min="1" max="1" width="35.578125" customWidth="1"/>
    <col min="2" max="2" width="33.578125" customWidth="1"/>
    <col min="6" max="6" width="18.68359375" customWidth="1"/>
    <col min="9" max="9" width="21.68359375" customWidth="1"/>
    <col min="11" max="11" width="20" customWidth="1"/>
    <col min="12" max="12" width="27.83984375" customWidth="1"/>
  </cols>
  <sheetData>
    <row r="1" spans="1:12" ht="15" customHeight="1">
      <c r="A1" s="336" t="s">
        <v>104</v>
      </c>
      <c r="B1" s="339" t="s">
        <v>99</v>
      </c>
      <c r="C1" s="1564" t="s">
        <v>106</v>
      </c>
      <c r="D1" s="1565"/>
      <c r="E1" s="337">
        <v>5</v>
      </c>
      <c r="F1" s="1308" t="s">
        <v>702</v>
      </c>
      <c r="G1" s="1309">
        <v>10792</v>
      </c>
      <c r="H1" s="1308"/>
      <c r="I1" s="1308"/>
      <c r="J1" s="1310" t="s">
        <v>69</v>
      </c>
      <c r="K1" s="1310" t="s">
        <v>703</v>
      </c>
      <c r="L1" s="1310" t="s">
        <v>74</v>
      </c>
    </row>
    <row r="2" spans="1:12" ht="127.5" customHeight="1">
      <c r="A2" s="1566" t="s">
        <v>3161</v>
      </c>
      <c r="B2" s="1567"/>
      <c r="C2" s="1550" t="s">
        <v>1457</v>
      </c>
      <c r="D2" s="1551"/>
      <c r="E2" s="1551"/>
      <c r="F2" s="1551"/>
      <c r="G2" s="1551"/>
      <c r="H2" s="1551"/>
      <c r="I2" s="1552"/>
      <c r="J2" s="240" t="s">
        <v>707</v>
      </c>
      <c r="K2" s="1311" t="s">
        <v>1384</v>
      </c>
      <c r="L2" s="18"/>
    </row>
    <row r="3" spans="1:12" ht="25.8">
      <c r="A3" s="1312" t="s">
        <v>709</v>
      </c>
      <c r="B3" s="1313" t="s">
        <v>710</v>
      </c>
      <c r="C3" s="80" t="s">
        <v>711</v>
      </c>
      <c r="D3" s="80" t="s">
        <v>712</v>
      </c>
      <c r="E3" s="80" t="s">
        <v>713</v>
      </c>
      <c r="F3" s="80" t="s">
        <v>714</v>
      </c>
      <c r="G3" s="344" t="s">
        <v>715</v>
      </c>
      <c r="H3" s="80" t="s">
        <v>716</v>
      </c>
      <c r="I3" s="80" t="s">
        <v>717</v>
      </c>
      <c r="J3" s="80" t="s">
        <v>718</v>
      </c>
      <c r="K3" s="357" t="s">
        <v>719</v>
      </c>
      <c r="L3" s="80" t="s">
        <v>720</v>
      </c>
    </row>
    <row r="4" spans="1:12" ht="28.8">
      <c r="A4" s="1001" t="s">
        <v>4234</v>
      </c>
      <c r="B4" s="1001" t="s">
        <v>722</v>
      </c>
      <c r="C4" s="418" t="s">
        <v>48</v>
      </c>
      <c r="D4" s="418" t="s">
        <v>48</v>
      </c>
      <c r="E4" s="418" t="s">
        <v>48</v>
      </c>
      <c r="F4" s="418" t="s">
        <v>48</v>
      </c>
      <c r="G4" s="418" t="s">
        <v>48</v>
      </c>
      <c r="H4" s="418">
        <v>216</v>
      </c>
      <c r="I4" s="418" t="s">
        <v>723</v>
      </c>
      <c r="J4" s="345" t="s">
        <v>724</v>
      </c>
      <c r="K4" s="1568">
        <v>1</v>
      </c>
      <c r="L4" s="1570" t="s">
        <v>4235</v>
      </c>
    </row>
    <row r="5" spans="1:12" ht="28.8">
      <c r="A5" s="360" t="s">
        <v>4236</v>
      </c>
      <c r="B5" s="359" t="s">
        <v>1619</v>
      </c>
      <c r="C5" s="345" t="s">
        <v>48</v>
      </c>
      <c r="D5" s="345">
        <v>0</v>
      </c>
      <c r="E5" s="345">
        <v>65535</v>
      </c>
      <c r="F5" s="345" t="s">
        <v>1620</v>
      </c>
      <c r="G5" s="345">
        <v>65535</v>
      </c>
      <c r="H5" s="346">
        <v>16</v>
      </c>
      <c r="I5" s="347" t="s">
        <v>991</v>
      </c>
      <c r="J5" s="348" t="s">
        <v>729</v>
      </c>
      <c r="K5" s="1569"/>
      <c r="L5" s="1571"/>
    </row>
    <row r="6" spans="1:12" ht="28.8">
      <c r="A6" s="358" t="s">
        <v>4237</v>
      </c>
      <c r="B6" s="359" t="s">
        <v>1622</v>
      </c>
      <c r="C6" s="345" t="s">
        <v>48</v>
      </c>
      <c r="D6" s="345" t="s">
        <v>48</v>
      </c>
      <c r="E6" s="345" t="s">
        <v>48</v>
      </c>
      <c r="F6" s="345" t="s">
        <v>48</v>
      </c>
      <c r="G6" s="345" t="s">
        <v>48</v>
      </c>
      <c r="H6" s="345">
        <v>264</v>
      </c>
      <c r="I6" s="345" t="s">
        <v>4238</v>
      </c>
      <c r="J6" s="348" t="s">
        <v>729</v>
      </c>
      <c r="K6" s="353">
        <v>40</v>
      </c>
      <c r="L6" s="354" t="s">
        <v>4239</v>
      </c>
    </row>
  </sheetData>
  <mergeCells count="5">
    <mergeCell ref="C1:D1"/>
    <mergeCell ref="A2:B2"/>
    <mergeCell ref="C2:I2"/>
    <mergeCell ref="K4:K5"/>
    <mergeCell ref="L4:L5"/>
  </mergeCells>
  <conditionalFormatting sqref="B6:J6 C5:J5">
    <cfRule type="expression" dxfId="148" priority="3">
      <formula>MOD(ROW(), 2)=0</formula>
    </cfRule>
  </conditionalFormatting>
  <conditionalFormatting sqref="K4">
    <cfRule type="expression" dxfId="147" priority="2">
      <formula>MOD(ROW(), 2)=0</formula>
    </cfRule>
  </conditionalFormatting>
  <conditionalFormatting sqref="J4">
    <cfRule type="expression" dxfId="146" priority="1">
      <formula>MOD(ROW(), 2)=0</formula>
    </cfRule>
  </conditionalFormatting>
  <hyperlinks>
    <hyperlink ref="J1" location="'Revision Map'!A1" display="INDEX" xr:uid="{8858E219-E2C8-4402-92B6-3ED304B6E012}"/>
    <hyperlink ref="K1" location="'Cross-FCN_Definitions'!A1" display="Cross-FCN_Definitions" xr:uid="{4FFAE332-1DC0-4CA6-A04E-BF6F93AB7D23}"/>
    <hyperlink ref="L1" location="'AVI_Objects'!A1" display="AVI_Objects" xr:uid="{09177ED8-6507-48F5-9B93-73B4D6E59992}"/>
  </hyperlinks>
  <pageMargins left="0.7" right="0.7" top="0.75" bottom="0.75" header="0.3" footer="0.3"/>
  <headerFooter>
    <oddFooter>&amp;C_x000D_&amp;1#&amp;"Calibri"&amp;11&amp;KFF0000 Internal</oddFooter>
  </headerFooter>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2158E-DE01-4873-9D0F-D9494FAABD49}">
  <sheetPr codeName="Sheet93"/>
  <dimension ref="A1:E24"/>
  <sheetViews>
    <sheetView workbookViewId="0">
      <pane ySplit="1" topLeftCell="A22" activePane="bottomLeft" state="frozen"/>
      <selection pane="bottomLeft" activeCell="B24" sqref="B24"/>
    </sheetView>
  </sheetViews>
  <sheetFormatPr defaultColWidth="9.15625" defaultRowHeight="14.4"/>
  <cols>
    <col min="1" max="1" width="11" style="1028" bestFit="1" customWidth="1"/>
    <col min="2" max="2" width="10.41796875" style="555" bestFit="1" customWidth="1"/>
    <col min="3" max="3" width="54" customWidth="1"/>
    <col min="4" max="4" width="17.578125" bestFit="1" customWidth="1"/>
    <col min="5" max="5" width="11.578125" bestFit="1" customWidth="1"/>
  </cols>
  <sheetData>
    <row r="1" spans="1:5">
      <c r="A1" s="670" t="s">
        <v>644</v>
      </c>
      <c r="B1" s="643" t="s">
        <v>645</v>
      </c>
      <c r="C1" s="643" t="s">
        <v>646</v>
      </c>
      <c r="D1" s="643" t="s">
        <v>647</v>
      </c>
      <c r="E1" s="644" t="s">
        <v>793</v>
      </c>
    </row>
    <row r="2" spans="1:5">
      <c r="A2" s="628">
        <v>0.1</v>
      </c>
      <c r="B2" s="515">
        <v>44945</v>
      </c>
      <c r="C2" s="589" t="s">
        <v>4240</v>
      </c>
      <c r="D2" s="590" t="s">
        <v>678</v>
      </c>
      <c r="E2" s="591" t="s">
        <v>655</v>
      </c>
    </row>
    <row r="3" spans="1:5">
      <c r="A3" s="1010">
        <v>0.1</v>
      </c>
      <c r="B3" s="51">
        <v>44952</v>
      </c>
      <c r="C3" s="5" t="s">
        <v>1966</v>
      </c>
      <c r="D3" s="5" t="s">
        <v>658</v>
      </c>
      <c r="E3" s="5" t="s">
        <v>655</v>
      </c>
    </row>
    <row r="4" spans="1:5" ht="86.4">
      <c r="A4" s="1011">
        <v>0.2</v>
      </c>
      <c r="B4" s="515">
        <v>44953</v>
      </c>
      <c r="C4" s="611" t="s">
        <v>4241</v>
      </c>
      <c r="D4" s="590" t="s">
        <v>678</v>
      </c>
      <c r="E4" s="591" t="s">
        <v>655</v>
      </c>
    </row>
    <row r="5" spans="1:5">
      <c r="A5" s="1010">
        <v>0.2</v>
      </c>
      <c r="B5" s="51">
        <v>44956</v>
      </c>
      <c r="C5" s="5" t="s">
        <v>4242</v>
      </c>
      <c r="D5" s="5" t="s">
        <v>3176</v>
      </c>
      <c r="E5" s="5" t="s">
        <v>655</v>
      </c>
    </row>
    <row r="6" spans="1:5">
      <c r="A6" s="1010">
        <v>1</v>
      </c>
      <c r="B6" s="51">
        <v>44956</v>
      </c>
      <c r="C6" s="576" t="s">
        <v>1603</v>
      </c>
      <c r="D6" s="5" t="s">
        <v>3176</v>
      </c>
      <c r="E6" s="5" t="s">
        <v>651</v>
      </c>
    </row>
    <row r="7" spans="1:5">
      <c r="A7" s="1010">
        <v>1</v>
      </c>
      <c r="B7" s="51">
        <v>44957</v>
      </c>
      <c r="C7" s="5" t="s">
        <v>687</v>
      </c>
      <c r="D7" s="5" t="s">
        <v>676</v>
      </c>
      <c r="E7" s="5" t="s">
        <v>661</v>
      </c>
    </row>
    <row r="8" spans="1:5">
      <c r="A8" s="1010">
        <v>1</v>
      </c>
      <c r="B8" s="51">
        <v>44970</v>
      </c>
      <c r="C8" s="2" t="s">
        <v>691</v>
      </c>
      <c r="D8" s="5" t="s">
        <v>676</v>
      </c>
      <c r="E8" s="5" t="s">
        <v>661</v>
      </c>
    </row>
    <row r="9" spans="1:5" ht="100.8">
      <c r="A9" s="1010">
        <v>1.1000000000000001</v>
      </c>
      <c r="B9" s="51">
        <v>44987</v>
      </c>
      <c r="C9" s="2" t="s">
        <v>1630</v>
      </c>
      <c r="D9" s="5" t="s">
        <v>3176</v>
      </c>
      <c r="E9" s="5" t="s">
        <v>655</v>
      </c>
    </row>
    <row r="10" spans="1:5" ht="28.8">
      <c r="A10" s="1010">
        <v>1.2</v>
      </c>
      <c r="B10" s="51">
        <v>44992</v>
      </c>
      <c r="C10" s="2" t="s">
        <v>4243</v>
      </c>
      <c r="D10" s="5" t="s">
        <v>3176</v>
      </c>
      <c r="E10" s="5" t="s">
        <v>655</v>
      </c>
    </row>
    <row r="11" spans="1:5">
      <c r="A11" s="1010">
        <v>1.2</v>
      </c>
      <c r="B11" s="51">
        <v>44992</v>
      </c>
      <c r="C11" t="s">
        <v>1632</v>
      </c>
      <c r="D11" s="5" t="s">
        <v>658</v>
      </c>
      <c r="E11" s="5" t="s">
        <v>655</v>
      </c>
    </row>
    <row r="12" spans="1:5">
      <c r="A12" s="1010">
        <v>2</v>
      </c>
      <c r="B12" s="51">
        <v>44992</v>
      </c>
      <c r="C12" s="576" t="s">
        <v>1610</v>
      </c>
      <c r="D12" s="5" t="s">
        <v>3176</v>
      </c>
      <c r="E12" s="5" t="s">
        <v>651</v>
      </c>
    </row>
    <row r="13" spans="1:5">
      <c r="A13" s="1010">
        <v>2</v>
      </c>
      <c r="B13" s="191">
        <v>44998</v>
      </c>
      <c r="C13" s="2" t="s">
        <v>692</v>
      </c>
      <c r="D13" s="5" t="s">
        <v>678</v>
      </c>
      <c r="E13" s="5" t="s">
        <v>661</v>
      </c>
    </row>
    <row r="14" spans="1:5">
      <c r="A14" s="1010">
        <v>2.1</v>
      </c>
      <c r="B14" s="191">
        <v>45077</v>
      </c>
      <c r="C14" s="2" t="s">
        <v>3177</v>
      </c>
      <c r="D14" t="s">
        <v>3176</v>
      </c>
      <c r="E14" t="s">
        <v>655</v>
      </c>
    </row>
    <row r="15" spans="1:5">
      <c r="A15" s="1010" t="s">
        <v>663</v>
      </c>
      <c r="B15" s="51">
        <v>45078</v>
      </c>
      <c r="C15" s="726" t="s">
        <v>3711</v>
      </c>
      <c r="D15" s="5" t="s">
        <v>658</v>
      </c>
      <c r="E15" s="5" t="s">
        <v>655</v>
      </c>
    </row>
    <row r="16" spans="1:5">
      <c r="A16" s="1010" t="s">
        <v>666</v>
      </c>
      <c r="B16" s="51">
        <v>45078</v>
      </c>
      <c r="C16" s="576" t="s">
        <v>1614</v>
      </c>
      <c r="D16" s="5" t="s">
        <v>3176</v>
      </c>
      <c r="E16" s="5" t="s">
        <v>651</v>
      </c>
    </row>
    <row r="17" spans="1:5">
      <c r="A17" s="1010" t="s">
        <v>666</v>
      </c>
      <c r="B17" s="191">
        <v>45078</v>
      </c>
      <c r="C17" s="5" t="s">
        <v>699</v>
      </c>
      <c r="D17" s="5" t="s">
        <v>678</v>
      </c>
      <c r="E17" s="5" t="s">
        <v>661</v>
      </c>
    </row>
    <row r="18" spans="1:5">
      <c r="A18" s="1010" t="s">
        <v>668</v>
      </c>
      <c r="B18" s="575">
        <v>45097</v>
      </c>
      <c r="C18" s="589" t="s">
        <v>818</v>
      </c>
      <c r="D18" s="590" t="s">
        <v>678</v>
      </c>
      <c r="E18" s="591" t="s">
        <v>655</v>
      </c>
    </row>
    <row r="19" spans="1:5">
      <c r="A19" s="1010" t="s">
        <v>686</v>
      </c>
      <c r="B19" s="188">
        <v>45097</v>
      </c>
      <c r="C19" s="576" t="s">
        <v>1614</v>
      </c>
      <c r="D19" s="585" t="s">
        <v>678</v>
      </c>
      <c r="E19" s="586" t="s">
        <v>651</v>
      </c>
    </row>
    <row r="20" spans="1:5">
      <c r="A20" s="1010" t="s">
        <v>686</v>
      </c>
      <c r="B20" s="742">
        <v>45097</v>
      </c>
      <c r="C20" s="1062" t="s">
        <v>700</v>
      </c>
      <c r="D20" s="1063" t="s">
        <v>678</v>
      </c>
      <c r="E20" s="1064" t="s">
        <v>661</v>
      </c>
    </row>
    <row r="21" spans="1:5" ht="57.6">
      <c r="A21" s="1010" t="s">
        <v>688</v>
      </c>
      <c r="B21" s="1010">
        <v>20230823</v>
      </c>
      <c r="C21" s="2" t="s">
        <v>4244</v>
      </c>
      <c r="D21" s="5" t="s">
        <v>3176</v>
      </c>
      <c r="E21" s="5" t="s">
        <v>655</v>
      </c>
    </row>
    <row r="22" spans="1:5">
      <c r="A22" s="1010" t="s">
        <v>688</v>
      </c>
      <c r="B22" s="1010">
        <v>20230904</v>
      </c>
      <c r="C22" t="s">
        <v>4245</v>
      </c>
      <c r="D22" s="5" t="s">
        <v>678</v>
      </c>
      <c r="E22" s="5" t="s">
        <v>655</v>
      </c>
    </row>
    <row r="23" spans="1:5">
      <c r="A23" s="1010" t="s">
        <v>690</v>
      </c>
      <c r="B23" s="1010">
        <v>20230904</v>
      </c>
      <c r="C23" t="s">
        <v>1614</v>
      </c>
      <c r="D23" s="5" t="s">
        <v>3176</v>
      </c>
      <c r="E23" s="5" t="s">
        <v>651</v>
      </c>
    </row>
    <row r="24" spans="1:5">
      <c r="A24" s="1010" t="s">
        <v>690</v>
      </c>
      <c r="B24" s="1065">
        <v>45205</v>
      </c>
      <c r="C24" s="1062" t="s">
        <v>701</v>
      </c>
      <c r="D24" s="1063" t="s">
        <v>678</v>
      </c>
      <c r="E24" s="1064" t="s">
        <v>661</v>
      </c>
    </row>
  </sheetData>
  <pageMargins left="0.7" right="0.7" top="0.75" bottom="0.75" header="0.3" footer="0.3"/>
  <headerFooter>
    <oddFooter>&amp;C_x000D_&amp;1#&amp;"Calibri"&amp;11&amp;KFF0000 Internal</oddFooter>
  </headerFooter>
  <tableParts count="1">
    <tablePart r:id="rId1"/>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3E352-6B3B-493E-8D7E-E355DC341636}">
  <sheetPr codeName="Sheet56"/>
  <dimension ref="A1:L32"/>
  <sheetViews>
    <sheetView zoomScale="85" zoomScaleNormal="85" workbookViewId="0">
      <pane ySplit="3" topLeftCell="A32" activePane="bottomLeft" state="frozen"/>
      <selection activeCell="J3" sqref="J3"/>
      <selection pane="bottomLeft" activeCell="H33" sqref="H33"/>
    </sheetView>
  </sheetViews>
  <sheetFormatPr defaultColWidth="9.15625" defaultRowHeight="14.4"/>
  <cols>
    <col min="1" max="1" width="34.68359375" customWidth="1"/>
    <col min="2" max="2" width="44.83984375" bestFit="1" customWidth="1"/>
    <col min="3" max="5" width="9.15625" bestFit="1" customWidth="1"/>
    <col min="6" max="6" width="42" style="2" customWidth="1"/>
    <col min="7" max="8" width="9.15625" bestFit="1" customWidth="1"/>
    <col min="9" max="10" width="22.68359375" customWidth="1"/>
    <col min="11" max="11" width="22.26171875" customWidth="1"/>
    <col min="12" max="12" width="24.578125" customWidth="1"/>
  </cols>
  <sheetData>
    <row r="1" spans="1:12">
      <c r="A1" s="23" t="s">
        <v>104</v>
      </c>
      <c r="B1" s="1280" t="s">
        <v>84</v>
      </c>
      <c r="C1" s="1708" t="s">
        <v>106</v>
      </c>
      <c r="D1" s="1709"/>
      <c r="E1" s="1362">
        <v>4</v>
      </c>
      <c r="F1" s="1466" t="s">
        <v>702</v>
      </c>
      <c r="G1" s="1362">
        <v>16960</v>
      </c>
      <c r="H1" s="1274"/>
      <c r="I1" s="1275" t="s">
        <v>69</v>
      </c>
      <c r="J1" s="1275" t="s">
        <v>703</v>
      </c>
      <c r="K1" s="1276" t="s">
        <v>4246</v>
      </c>
      <c r="L1" s="1276" t="s">
        <v>101</v>
      </c>
    </row>
    <row r="2" spans="1:12" ht="20.25" customHeight="1">
      <c r="A2" s="1525" t="s">
        <v>1529</v>
      </c>
      <c r="B2" s="1556"/>
      <c r="C2" s="1550" t="s">
        <v>1457</v>
      </c>
      <c r="D2" s="1551"/>
      <c r="E2" s="1551"/>
      <c r="F2" s="1551"/>
      <c r="G2" s="1551"/>
      <c r="H2" s="1551"/>
      <c r="I2" s="1552"/>
      <c r="J2" s="1390" t="s">
        <v>707</v>
      </c>
      <c r="K2" s="1277" t="s">
        <v>708</v>
      </c>
      <c r="L2" s="225"/>
    </row>
    <row r="3" spans="1:12">
      <c r="A3" s="1467" t="s">
        <v>709</v>
      </c>
      <c r="B3" s="1467" t="s">
        <v>710</v>
      </c>
      <c r="C3" s="118" t="s">
        <v>711</v>
      </c>
      <c r="D3" s="118" t="s">
        <v>712</v>
      </c>
      <c r="E3" s="118" t="s">
        <v>713</v>
      </c>
      <c r="F3" s="118" t="s">
        <v>714</v>
      </c>
      <c r="G3" s="119" t="s">
        <v>715</v>
      </c>
      <c r="H3" s="118" t="s">
        <v>716</v>
      </c>
      <c r="I3" s="118" t="s">
        <v>717</v>
      </c>
      <c r="J3" s="118" t="s">
        <v>718</v>
      </c>
      <c r="K3" s="118" t="s">
        <v>719</v>
      </c>
      <c r="L3" s="22" t="s">
        <v>720</v>
      </c>
    </row>
    <row r="4" spans="1:12">
      <c r="A4" s="1289" t="s">
        <v>4247</v>
      </c>
      <c r="B4" s="1290" t="s">
        <v>722</v>
      </c>
      <c r="C4" s="1291" t="s">
        <v>48</v>
      </c>
      <c r="D4" s="1291" t="s">
        <v>48</v>
      </c>
      <c r="E4" s="1291" t="s">
        <v>48</v>
      </c>
      <c r="F4" s="1291" t="s">
        <v>48</v>
      </c>
      <c r="G4" s="1291" t="s">
        <v>48</v>
      </c>
      <c r="H4" s="1291">
        <v>216</v>
      </c>
      <c r="I4" s="1468" t="s">
        <v>723</v>
      </c>
      <c r="J4" s="1291" t="s">
        <v>729</v>
      </c>
      <c r="K4" s="1699">
        <v>1</v>
      </c>
      <c r="L4" s="1701" t="s">
        <v>4248</v>
      </c>
    </row>
    <row r="5" spans="1:12">
      <c r="A5" s="1000" t="s">
        <v>4249</v>
      </c>
      <c r="B5" s="937" t="s">
        <v>4250</v>
      </c>
      <c r="C5" s="938" t="s">
        <v>48</v>
      </c>
      <c r="D5" s="938" t="s">
        <v>48</v>
      </c>
      <c r="E5" s="938" t="s">
        <v>48</v>
      </c>
      <c r="F5" s="938" t="s">
        <v>48</v>
      </c>
      <c r="G5" s="938" t="s">
        <v>48</v>
      </c>
      <c r="H5" s="1288">
        <v>8</v>
      </c>
      <c r="I5" s="1469" t="s">
        <v>827</v>
      </c>
      <c r="J5" s="1470" t="s">
        <v>729</v>
      </c>
      <c r="K5" s="1699"/>
      <c r="L5" s="1701"/>
    </row>
    <row r="6" spans="1:12" ht="33.75" customHeight="1">
      <c r="A6" s="1289" t="s">
        <v>4251</v>
      </c>
      <c r="B6" s="1290" t="s">
        <v>4252</v>
      </c>
      <c r="C6" s="1291" t="s">
        <v>48</v>
      </c>
      <c r="D6" s="1291">
        <v>0</v>
      </c>
      <c r="E6" s="1291">
        <v>255</v>
      </c>
      <c r="F6" s="1291" t="s">
        <v>4034</v>
      </c>
      <c r="G6" s="1291">
        <v>255</v>
      </c>
      <c r="H6" s="1291">
        <v>8</v>
      </c>
      <c r="I6" s="1468" t="s">
        <v>743</v>
      </c>
      <c r="J6" s="1291" t="s">
        <v>729</v>
      </c>
      <c r="K6" s="1699"/>
      <c r="L6" s="1701"/>
    </row>
    <row r="7" spans="1:12" ht="30.75" customHeight="1">
      <c r="A7" s="1000" t="s">
        <v>4253</v>
      </c>
      <c r="B7" s="937" t="s">
        <v>4254</v>
      </c>
      <c r="C7" s="938" t="s">
        <v>48</v>
      </c>
      <c r="D7" s="938">
        <v>0</v>
      </c>
      <c r="E7" s="938">
        <v>255</v>
      </c>
      <c r="F7" s="938" t="s">
        <v>4255</v>
      </c>
      <c r="G7" s="938">
        <v>255</v>
      </c>
      <c r="H7" s="1288">
        <v>8</v>
      </c>
      <c r="I7" s="1469" t="s">
        <v>743</v>
      </c>
      <c r="J7" s="1470" t="s">
        <v>729</v>
      </c>
      <c r="K7" s="1700"/>
      <c r="L7" s="1702"/>
    </row>
    <row r="8" spans="1:12" ht="27.75" customHeight="1">
      <c r="A8" s="1289" t="s">
        <v>4256</v>
      </c>
      <c r="B8" s="1290" t="s">
        <v>4257</v>
      </c>
      <c r="C8" s="1291" t="s">
        <v>48</v>
      </c>
      <c r="D8" s="1291" t="s">
        <v>48</v>
      </c>
      <c r="E8" s="1291" t="s">
        <v>48</v>
      </c>
      <c r="F8" s="1291" t="s">
        <v>48</v>
      </c>
      <c r="G8" s="1291" t="s">
        <v>48</v>
      </c>
      <c r="H8" s="1291">
        <v>16</v>
      </c>
      <c r="I8" s="1468" t="s">
        <v>1544</v>
      </c>
      <c r="J8" s="1468" t="s">
        <v>724</v>
      </c>
      <c r="K8" s="1663">
        <v>20</v>
      </c>
      <c r="L8" s="1703" t="s">
        <v>4258</v>
      </c>
    </row>
    <row r="9" spans="1:12">
      <c r="A9" s="1000" t="s">
        <v>4259</v>
      </c>
      <c r="B9" s="937" t="s">
        <v>4260</v>
      </c>
      <c r="C9" s="938" t="s">
        <v>48</v>
      </c>
      <c r="D9" s="938" t="s">
        <v>48</v>
      </c>
      <c r="E9" s="938" t="s">
        <v>48</v>
      </c>
      <c r="F9" s="938" t="s">
        <v>48</v>
      </c>
      <c r="G9" s="938" t="s">
        <v>48</v>
      </c>
      <c r="H9" s="1288">
        <v>8</v>
      </c>
      <c r="I9" s="1469" t="s">
        <v>1547</v>
      </c>
      <c r="J9" s="1471" t="s">
        <v>729</v>
      </c>
      <c r="K9" s="1706"/>
      <c r="L9" s="1704"/>
    </row>
    <row r="10" spans="1:12" ht="258.75" customHeight="1">
      <c r="A10" s="1289" t="s">
        <v>4261</v>
      </c>
      <c r="B10" s="1290" t="s">
        <v>4262</v>
      </c>
      <c r="C10" s="1291" t="s">
        <v>48</v>
      </c>
      <c r="D10" s="1291">
        <v>0</v>
      </c>
      <c r="E10" s="1291">
        <v>255</v>
      </c>
      <c r="F10" s="1291" t="s">
        <v>4263</v>
      </c>
      <c r="G10" s="1291">
        <v>255</v>
      </c>
      <c r="H10" s="1291">
        <v>8</v>
      </c>
      <c r="I10" s="1468" t="s">
        <v>743</v>
      </c>
      <c r="J10" s="1468" t="s">
        <v>729</v>
      </c>
      <c r="K10" s="1706"/>
      <c r="L10" s="1704"/>
    </row>
    <row r="11" spans="1:12">
      <c r="A11" s="1000" t="s">
        <v>4264</v>
      </c>
      <c r="B11" s="937" t="s">
        <v>4265</v>
      </c>
      <c r="C11" s="938" t="s">
        <v>48</v>
      </c>
      <c r="D11" s="938" t="s">
        <v>48</v>
      </c>
      <c r="E11" s="938" t="s">
        <v>48</v>
      </c>
      <c r="F11" s="938" t="s">
        <v>48</v>
      </c>
      <c r="G11" s="938" t="s">
        <v>48</v>
      </c>
      <c r="H11" s="1288">
        <v>8</v>
      </c>
      <c r="I11" s="1469" t="s">
        <v>1547</v>
      </c>
      <c r="J11" s="1471" t="s">
        <v>729</v>
      </c>
      <c r="K11" s="1706"/>
      <c r="L11" s="1704"/>
    </row>
    <row r="12" spans="1:12" ht="114.75" customHeight="1">
      <c r="A12" s="1289" t="s">
        <v>4266</v>
      </c>
      <c r="B12" s="1290" t="s">
        <v>4267</v>
      </c>
      <c r="C12" s="1291" t="s">
        <v>48</v>
      </c>
      <c r="D12" s="1291">
        <v>0</v>
      </c>
      <c r="E12" s="1291">
        <v>255</v>
      </c>
      <c r="F12" s="1291" t="s">
        <v>4268</v>
      </c>
      <c r="G12" s="1291">
        <v>255</v>
      </c>
      <c r="H12" s="1291">
        <v>8</v>
      </c>
      <c r="I12" s="1468" t="s">
        <v>743</v>
      </c>
      <c r="J12" s="1468" t="s">
        <v>729</v>
      </c>
      <c r="K12" s="1706"/>
      <c r="L12" s="1704"/>
    </row>
    <row r="13" spans="1:12" ht="260.25" customHeight="1">
      <c r="A13" s="1000" t="s">
        <v>4269</v>
      </c>
      <c r="B13" s="937" t="s">
        <v>4270</v>
      </c>
      <c r="C13" s="938" t="s">
        <v>48</v>
      </c>
      <c r="D13" s="938">
        <v>0</v>
      </c>
      <c r="E13" s="938">
        <v>255</v>
      </c>
      <c r="F13" s="938" t="s">
        <v>4271</v>
      </c>
      <c r="G13" s="938">
        <v>255</v>
      </c>
      <c r="H13" s="1288">
        <v>8</v>
      </c>
      <c r="I13" s="1469" t="s">
        <v>743</v>
      </c>
      <c r="J13" s="1471" t="s">
        <v>729</v>
      </c>
      <c r="K13" s="1706"/>
      <c r="L13" s="1704"/>
    </row>
    <row r="14" spans="1:12">
      <c r="A14" s="1289" t="s">
        <v>4272</v>
      </c>
      <c r="B14" s="1290" t="s">
        <v>4273</v>
      </c>
      <c r="C14" s="1291" t="s">
        <v>48</v>
      </c>
      <c r="D14" s="1291" t="s">
        <v>48</v>
      </c>
      <c r="E14" s="1291" t="s">
        <v>48</v>
      </c>
      <c r="F14" s="1291" t="s">
        <v>48</v>
      </c>
      <c r="G14" s="1291" t="s">
        <v>48</v>
      </c>
      <c r="H14" s="1291">
        <v>32</v>
      </c>
      <c r="I14" s="1468" t="s">
        <v>1583</v>
      </c>
      <c r="J14" s="1468" t="s">
        <v>729</v>
      </c>
      <c r="K14" s="1706"/>
      <c r="L14" s="1704"/>
    </row>
    <row r="15" spans="1:12" ht="25.8">
      <c r="A15" s="1000" t="s">
        <v>4274</v>
      </c>
      <c r="B15" s="937" t="s">
        <v>4275</v>
      </c>
      <c r="C15" s="938" t="s">
        <v>919</v>
      </c>
      <c r="D15" s="938">
        <v>-100</v>
      </c>
      <c r="E15" s="938" t="s">
        <v>920</v>
      </c>
      <c r="F15" s="938" t="s">
        <v>4276</v>
      </c>
      <c r="G15" s="938" t="s">
        <v>920</v>
      </c>
      <c r="H15" s="1288">
        <v>32</v>
      </c>
      <c r="I15" s="1469" t="s">
        <v>922</v>
      </c>
      <c r="J15" s="1471" t="s">
        <v>724</v>
      </c>
      <c r="K15" s="1706"/>
      <c r="L15" s="1704"/>
    </row>
    <row r="16" spans="1:12" ht="25.8">
      <c r="A16" s="1289" t="s">
        <v>4277</v>
      </c>
      <c r="B16" s="1290" t="s">
        <v>4278</v>
      </c>
      <c r="C16" s="1291" t="s">
        <v>919</v>
      </c>
      <c r="D16" s="1291">
        <v>0</v>
      </c>
      <c r="E16" s="1291" t="s">
        <v>920</v>
      </c>
      <c r="F16" s="1291" t="s">
        <v>4279</v>
      </c>
      <c r="G16" s="1291" t="s">
        <v>920</v>
      </c>
      <c r="H16" s="1291">
        <v>32</v>
      </c>
      <c r="I16" s="1468" t="s">
        <v>922</v>
      </c>
      <c r="J16" s="1468" t="s">
        <v>729</v>
      </c>
      <c r="K16" s="1706"/>
      <c r="L16" s="1704"/>
    </row>
    <row r="17" spans="1:12" ht="25.8">
      <c r="A17" s="1000" t="s">
        <v>4280</v>
      </c>
      <c r="B17" s="937" t="s">
        <v>4281</v>
      </c>
      <c r="C17" s="938" t="s">
        <v>919</v>
      </c>
      <c r="D17" s="938">
        <v>0</v>
      </c>
      <c r="E17" s="938" t="s">
        <v>920</v>
      </c>
      <c r="F17" s="938" t="s">
        <v>4282</v>
      </c>
      <c r="G17" s="938" t="s">
        <v>920</v>
      </c>
      <c r="H17" s="1288">
        <v>32</v>
      </c>
      <c r="I17" s="1469" t="s">
        <v>922</v>
      </c>
      <c r="J17" s="1471" t="s">
        <v>729</v>
      </c>
      <c r="K17" s="1706"/>
      <c r="L17" s="1704"/>
    </row>
    <row r="18" spans="1:12" ht="25.8">
      <c r="A18" s="1289" t="s">
        <v>4283</v>
      </c>
      <c r="B18" s="1290" t="s">
        <v>4284</v>
      </c>
      <c r="C18" s="1291" t="s">
        <v>919</v>
      </c>
      <c r="D18" s="1291">
        <v>0</v>
      </c>
      <c r="E18" s="1291" t="s">
        <v>920</v>
      </c>
      <c r="F18" s="1291" t="s">
        <v>4282</v>
      </c>
      <c r="G18" s="1291" t="s">
        <v>920</v>
      </c>
      <c r="H18" s="1291">
        <v>32</v>
      </c>
      <c r="I18" s="1468" t="s">
        <v>922</v>
      </c>
      <c r="J18" s="1468" t="s">
        <v>729</v>
      </c>
      <c r="K18" s="1706"/>
      <c r="L18" s="1704"/>
    </row>
    <row r="19" spans="1:12" ht="25.8">
      <c r="A19" s="1000" t="s">
        <v>4285</v>
      </c>
      <c r="B19" s="937" t="s">
        <v>4286</v>
      </c>
      <c r="C19" s="938" t="s">
        <v>919</v>
      </c>
      <c r="D19" s="938">
        <v>-500</v>
      </c>
      <c r="E19" s="938" t="s">
        <v>920</v>
      </c>
      <c r="F19" s="938" t="s">
        <v>4287</v>
      </c>
      <c r="G19" s="938" t="s">
        <v>920</v>
      </c>
      <c r="H19" s="1288">
        <v>32</v>
      </c>
      <c r="I19" s="1469" t="s">
        <v>922</v>
      </c>
      <c r="J19" s="1471" t="s">
        <v>724</v>
      </c>
      <c r="K19" s="1706"/>
      <c r="L19" s="1704"/>
    </row>
    <row r="20" spans="1:12" ht="25.8">
      <c r="A20" s="1289" t="s">
        <v>4288</v>
      </c>
      <c r="B20" s="1290" t="s">
        <v>4289</v>
      </c>
      <c r="C20" s="1291" t="s">
        <v>919</v>
      </c>
      <c r="D20" s="1291">
        <v>0</v>
      </c>
      <c r="E20" s="1291" t="s">
        <v>920</v>
      </c>
      <c r="F20" s="1291" t="s">
        <v>4290</v>
      </c>
      <c r="G20" s="1291" t="s">
        <v>920</v>
      </c>
      <c r="H20" s="1291">
        <v>32</v>
      </c>
      <c r="I20" s="1468" t="s">
        <v>922</v>
      </c>
      <c r="J20" s="1468" t="s">
        <v>729</v>
      </c>
      <c r="K20" s="1706"/>
      <c r="L20" s="1704"/>
    </row>
    <row r="21" spans="1:12" ht="95.25" customHeight="1">
      <c r="A21" s="1000" t="s">
        <v>4291</v>
      </c>
      <c r="B21" s="937" t="s">
        <v>4292</v>
      </c>
      <c r="C21" s="938" t="s">
        <v>48</v>
      </c>
      <c r="D21" s="938">
        <v>0</v>
      </c>
      <c r="E21" s="938">
        <v>255</v>
      </c>
      <c r="F21" s="1470" t="s">
        <v>1580</v>
      </c>
      <c r="G21" s="938">
        <v>255</v>
      </c>
      <c r="H21" s="1288">
        <v>8</v>
      </c>
      <c r="I21" s="1469" t="s">
        <v>743</v>
      </c>
      <c r="J21" s="1471" t="s">
        <v>729</v>
      </c>
      <c r="K21" s="1706"/>
      <c r="L21" s="1704"/>
    </row>
    <row r="22" spans="1:12" ht="207" customHeight="1">
      <c r="A22" s="1472" t="s">
        <v>4293</v>
      </c>
      <c r="B22" s="1473" t="s">
        <v>4294</v>
      </c>
      <c r="C22" s="1474" t="s">
        <v>48</v>
      </c>
      <c r="D22" s="1474">
        <v>0</v>
      </c>
      <c r="E22" s="1474">
        <v>255</v>
      </c>
      <c r="F22" s="1474" t="s">
        <v>4295</v>
      </c>
      <c r="G22" s="1474">
        <v>255</v>
      </c>
      <c r="H22" s="1474">
        <v>8</v>
      </c>
      <c r="I22" s="1475" t="s">
        <v>743</v>
      </c>
      <c r="J22" s="1475" t="s">
        <v>729</v>
      </c>
      <c r="K22" s="1707"/>
      <c r="L22" s="1705"/>
    </row>
    <row r="23" spans="1:12" ht="27.75" customHeight="1">
      <c r="A23" s="1005" t="s">
        <v>4296</v>
      </c>
      <c r="B23" s="991" t="s">
        <v>4297</v>
      </c>
      <c r="C23" s="992" t="s">
        <v>48</v>
      </c>
      <c r="D23" s="992" t="s">
        <v>48</v>
      </c>
      <c r="E23" s="992" t="s">
        <v>48</v>
      </c>
      <c r="F23" s="992" t="s">
        <v>48</v>
      </c>
      <c r="G23" s="992" t="s">
        <v>48</v>
      </c>
      <c r="H23" s="124">
        <v>16</v>
      </c>
      <c r="I23" s="986" t="s">
        <v>1544</v>
      </c>
      <c r="J23" s="1041" t="s">
        <v>729</v>
      </c>
      <c r="K23" s="1663">
        <v>50</v>
      </c>
      <c r="L23" s="1703" t="s">
        <v>4298</v>
      </c>
    </row>
    <row r="24" spans="1:12" ht="25.8">
      <c r="A24" s="1289" t="s">
        <v>4299</v>
      </c>
      <c r="B24" s="1290" t="s">
        <v>4300</v>
      </c>
      <c r="C24" s="1291" t="s">
        <v>48</v>
      </c>
      <c r="D24" s="1291" t="s">
        <v>48</v>
      </c>
      <c r="E24" s="1291" t="s">
        <v>48</v>
      </c>
      <c r="F24" s="1291" t="s">
        <v>48</v>
      </c>
      <c r="G24" s="1291" t="s">
        <v>48</v>
      </c>
      <c r="H24" s="1291">
        <v>16</v>
      </c>
      <c r="I24" s="1468" t="s">
        <v>1544</v>
      </c>
      <c r="J24" s="1468" t="s">
        <v>729</v>
      </c>
      <c r="K24" s="1706"/>
      <c r="L24" s="1704"/>
    </row>
    <row r="25" spans="1:12" ht="96.75" customHeight="1">
      <c r="A25" s="1000" t="s">
        <v>4301</v>
      </c>
      <c r="B25" s="937" t="s">
        <v>4302</v>
      </c>
      <c r="C25" s="938" t="s">
        <v>48</v>
      </c>
      <c r="D25" s="938">
        <v>0</v>
      </c>
      <c r="E25" s="938">
        <v>255</v>
      </c>
      <c r="F25" s="938" t="s">
        <v>4303</v>
      </c>
      <c r="G25" s="938">
        <v>255</v>
      </c>
      <c r="H25" s="1288">
        <v>8</v>
      </c>
      <c r="I25" s="1469" t="s">
        <v>743</v>
      </c>
      <c r="J25" s="1471" t="s">
        <v>729</v>
      </c>
      <c r="K25" s="1706"/>
      <c r="L25" s="1704"/>
    </row>
    <row r="26" spans="1:12">
      <c r="A26" s="1289" t="s">
        <v>4304</v>
      </c>
      <c r="B26" s="1290" t="s">
        <v>4305</v>
      </c>
      <c r="C26" s="1291" t="s">
        <v>48</v>
      </c>
      <c r="D26" s="1291" t="s">
        <v>48</v>
      </c>
      <c r="E26" s="1291" t="s">
        <v>48</v>
      </c>
      <c r="F26" s="1291" t="s">
        <v>48</v>
      </c>
      <c r="G26" s="1291" t="s">
        <v>48</v>
      </c>
      <c r="H26" s="1291">
        <v>32</v>
      </c>
      <c r="I26" s="1468" t="s">
        <v>1583</v>
      </c>
      <c r="J26" s="1468" t="s">
        <v>729</v>
      </c>
      <c r="K26" s="1706"/>
      <c r="L26" s="1704"/>
    </row>
    <row r="27" spans="1:12">
      <c r="A27" s="1000" t="s">
        <v>4306</v>
      </c>
      <c r="B27" s="937" t="s">
        <v>4307</v>
      </c>
      <c r="C27" s="938" t="s">
        <v>48</v>
      </c>
      <c r="D27" s="938" t="s">
        <v>48</v>
      </c>
      <c r="E27" s="938" t="s">
        <v>48</v>
      </c>
      <c r="F27" s="938" t="s">
        <v>48</v>
      </c>
      <c r="G27" s="938" t="s">
        <v>48</v>
      </c>
      <c r="H27" s="1288">
        <v>32</v>
      </c>
      <c r="I27" s="1469" t="s">
        <v>1583</v>
      </c>
      <c r="J27" s="1471" t="s">
        <v>729</v>
      </c>
      <c r="K27" s="1706"/>
      <c r="L27" s="1704"/>
    </row>
    <row r="28" spans="1:12">
      <c r="A28" s="1289" t="s">
        <v>4308</v>
      </c>
      <c r="B28" s="1290" t="s">
        <v>4309</v>
      </c>
      <c r="C28" s="1291" t="s">
        <v>48</v>
      </c>
      <c r="D28" s="1291" t="s">
        <v>48</v>
      </c>
      <c r="E28" s="1291" t="s">
        <v>48</v>
      </c>
      <c r="F28" s="1291" t="s">
        <v>48</v>
      </c>
      <c r="G28" s="1291" t="s">
        <v>48</v>
      </c>
      <c r="H28" s="1291">
        <v>32</v>
      </c>
      <c r="I28" s="1468" t="s">
        <v>1583</v>
      </c>
      <c r="J28" s="1468" t="s">
        <v>729</v>
      </c>
      <c r="K28" s="1706"/>
      <c r="L28" s="1704"/>
    </row>
    <row r="29" spans="1:12" ht="99" customHeight="1">
      <c r="A29" s="1000" t="s">
        <v>4310</v>
      </c>
      <c r="B29" s="937" t="s">
        <v>4311</v>
      </c>
      <c r="C29" s="938" t="s">
        <v>48</v>
      </c>
      <c r="D29" s="938">
        <v>0</v>
      </c>
      <c r="E29" s="938">
        <v>255</v>
      </c>
      <c r="F29" s="938" t="s">
        <v>4312</v>
      </c>
      <c r="G29" s="938">
        <v>255</v>
      </c>
      <c r="H29" s="1288">
        <v>8</v>
      </c>
      <c r="I29" s="1469" t="s">
        <v>743</v>
      </c>
      <c r="J29" s="1471" t="s">
        <v>729</v>
      </c>
      <c r="K29" s="1706"/>
      <c r="L29" s="1704"/>
    </row>
    <row r="30" spans="1:12" ht="330" customHeight="1">
      <c r="A30" s="1289" t="s">
        <v>4313</v>
      </c>
      <c r="B30" s="1290" t="s">
        <v>4314</v>
      </c>
      <c r="C30" s="1291" t="s">
        <v>48</v>
      </c>
      <c r="D30" s="1291">
        <v>0</v>
      </c>
      <c r="E30" s="1291">
        <v>255</v>
      </c>
      <c r="F30" s="1291" t="s">
        <v>4315</v>
      </c>
      <c r="G30" s="1291">
        <v>255</v>
      </c>
      <c r="H30" s="1291">
        <v>8</v>
      </c>
      <c r="I30" s="1468" t="s">
        <v>743</v>
      </c>
      <c r="J30" s="1468" t="s">
        <v>729</v>
      </c>
      <c r="K30" s="1706"/>
      <c r="L30" s="1704"/>
    </row>
    <row r="31" spans="1:12" ht="15" customHeight="1">
      <c r="A31" s="1476" t="s">
        <v>4316</v>
      </c>
      <c r="B31" s="1477" t="s">
        <v>4317</v>
      </c>
      <c r="C31" s="1470" t="s">
        <v>48</v>
      </c>
      <c r="D31" s="1470" t="s">
        <v>48</v>
      </c>
      <c r="E31" s="1470" t="s">
        <v>48</v>
      </c>
      <c r="F31" s="1470" t="s">
        <v>48</v>
      </c>
      <c r="G31" s="1470" t="s">
        <v>48</v>
      </c>
      <c r="H31" s="1470">
        <v>32</v>
      </c>
      <c r="I31" s="1471" t="s">
        <v>1583</v>
      </c>
      <c r="J31" s="1471" t="s">
        <v>729</v>
      </c>
      <c r="K31" s="1706"/>
      <c r="L31" s="1704"/>
    </row>
    <row r="32" spans="1:12" ht="82.5" customHeight="1">
      <c r="A32" s="998" t="s">
        <v>4318</v>
      </c>
      <c r="B32" s="935" t="s">
        <v>4319</v>
      </c>
      <c r="C32" s="936" t="s">
        <v>48</v>
      </c>
      <c r="D32" s="936" t="s">
        <v>48</v>
      </c>
      <c r="E32" s="936" t="s">
        <v>48</v>
      </c>
      <c r="F32" s="936" t="s">
        <v>48</v>
      </c>
      <c r="G32" s="936" t="s">
        <v>48</v>
      </c>
      <c r="H32" s="1291">
        <v>32</v>
      </c>
      <c r="I32" s="1468" t="s">
        <v>4320</v>
      </c>
      <c r="J32" s="1468" t="s">
        <v>729</v>
      </c>
      <c r="K32" s="1707"/>
      <c r="L32" s="1705"/>
    </row>
  </sheetData>
  <autoFilter ref="A3:L32" xr:uid="{6BD3E352-6B3B-493E-8D7E-E355DC341636}"/>
  <mergeCells count="9">
    <mergeCell ref="C1:D1"/>
    <mergeCell ref="C2:I2"/>
    <mergeCell ref="A2:B2"/>
    <mergeCell ref="K4:K7"/>
    <mergeCell ref="L4:L7"/>
    <mergeCell ref="L8:L22"/>
    <mergeCell ref="L23:L32"/>
    <mergeCell ref="K8:K22"/>
    <mergeCell ref="K23:K32"/>
  </mergeCells>
  <hyperlinks>
    <hyperlink ref="I1" location="'Revision Map'!A1" display="INDEX" xr:uid="{27DC8E76-5CA5-4699-8750-B9479BAE84CF}"/>
    <hyperlink ref="J1" location="'Cross-FCN_Definitions'!A1" display="Cross-FCN_Definitions" xr:uid="{04286E62-E301-4DCC-9F91-A608FE5700C7}"/>
    <hyperlink ref="K1" location="Traffic_Lights_Definitions!A1" display="Traffic_Lights_Definitions" xr:uid="{4B652278-E75F-4F0E-8E07-EEA736D18BEB}"/>
    <hyperlink ref="L1" location="'AVI_Traffic_Lights_Debug'!A1" display="AVI_Traffic_Lights_Debug" xr:uid="{CBE4C028-8577-448E-9759-A9CE450772FA}"/>
  </hyperlinks>
  <pageMargins left="0.7" right="0.7" top="0.75" bottom="0.75" header="0.3" footer="0.3"/>
  <pageSetup paperSize="9" orientation="portrait" r:id="rId1"/>
  <headerFooter>
    <oddFooter>&amp;C_x000D_&amp;1#&amp;"Calibri"&amp;11&amp;KFF0000 Internal</oddFoot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52CD7-2ECF-4488-B1D8-4C686F340E89}">
  <sheetPr codeName="Sheet57"/>
  <dimension ref="A1:E32"/>
  <sheetViews>
    <sheetView workbookViewId="0">
      <pane ySplit="1" topLeftCell="A22" activePane="bottomLeft" state="frozen"/>
      <selection activeCell="C22" activeCellId="1" sqref="A1:AS1 C22"/>
      <selection pane="bottomLeft" activeCell="B32" sqref="B32"/>
    </sheetView>
  </sheetViews>
  <sheetFormatPr defaultColWidth="9.15625" defaultRowHeight="14.4"/>
  <cols>
    <col min="1" max="1" width="8.68359375" style="1010" bestFit="1" customWidth="1"/>
    <col min="2" max="2" width="13.41796875" style="51" customWidth="1"/>
    <col min="3" max="3" width="62.83984375" style="2" customWidth="1"/>
    <col min="4" max="4" width="17.578125" bestFit="1" customWidth="1"/>
    <col min="5" max="5" width="9.68359375" bestFit="1" customWidth="1"/>
  </cols>
  <sheetData>
    <row r="1" spans="1:5">
      <c r="A1" s="1010" t="s">
        <v>644</v>
      </c>
      <c r="B1" s="51" t="s">
        <v>645</v>
      </c>
      <c r="C1" s="2" t="s">
        <v>646</v>
      </c>
      <c r="D1" t="s">
        <v>647</v>
      </c>
      <c r="E1" t="s">
        <v>648</v>
      </c>
    </row>
    <row r="2" spans="1:5" ht="43.2">
      <c r="A2" s="1010">
        <v>0.1</v>
      </c>
      <c r="B2" s="51">
        <v>44335</v>
      </c>
      <c r="C2" s="576" t="s">
        <v>4321</v>
      </c>
      <c r="D2" s="5" t="s">
        <v>658</v>
      </c>
      <c r="E2" s="5" t="s">
        <v>655</v>
      </c>
    </row>
    <row r="3" spans="1:5" ht="158.4">
      <c r="A3" s="1010">
        <v>0.2</v>
      </c>
      <c r="B3" s="51">
        <v>44671</v>
      </c>
      <c r="C3" s="576" t="s">
        <v>4322</v>
      </c>
      <c r="D3" s="5" t="s">
        <v>658</v>
      </c>
      <c r="E3" s="5" t="s">
        <v>655</v>
      </c>
    </row>
    <row r="4" spans="1:5" ht="28.8" hidden="1">
      <c r="A4" s="1010">
        <v>0.3</v>
      </c>
      <c r="B4" s="51">
        <v>44704</v>
      </c>
      <c r="C4" s="576" t="s">
        <v>4323</v>
      </c>
      <c r="D4" s="5" t="s">
        <v>654</v>
      </c>
      <c r="E4" s="5" t="s">
        <v>655</v>
      </c>
    </row>
    <row r="5" spans="1:5" ht="408" customHeight="1">
      <c r="A5" s="1010">
        <v>0.4</v>
      </c>
      <c r="B5" s="51">
        <v>44711</v>
      </c>
      <c r="C5" s="613" t="s">
        <v>4324</v>
      </c>
      <c r="D5" s="5" t="s">
        <v>683</v>
      </c>
      <c r="E5" s="5" t="s">
        <v>655</v>
      </c>
    </row>
    <row r="6" spans="1:5" ht="187.2">
      <c r="A6" s="1010">
        <v>0.4</v>
      </c>
      <c r="B6" s="51">
        <v>44713</v>
      </c>
      <c r="C6" s="576" t="s">
        <v>4325</v>
      </c>
      <c r="D6" s="5" t="s">
        <v>683</v>
      </c>
      <c r="E6" s="5" t="s">
        <v>655</v>
      </c>
    </row>
    <row r="7" spans="1:5">
      <c r="A7" s="1010">
        <v>0.4</v>
      </c>
      <c r="B7" s="51">
        <v>44713</v>
      </c>
      <c r="C7" s="576" t="s">
        <v>4326</v>
      </c>
      <c r="D7" s="5" t="s">
        <v>658</v>
      </c>
      <c r="E7" s="5" t="s">
        <v>655</v>
      </c>
    </row>
    <row r="8" spans="1:5" ht="61.5" customHeight="1">
      <c r="A8" s="1010">
        <v>1</v>
      </c>
      <c r="B8" s="51">
        <v>44713</v>
      </c>
      <c r="C8" s="645" t="s">
        <v>4327</v>
      </c>
      <c r="D8" s="5" t="s">
        <v>683</v>
      </c>
      <c r="E8" s="5" t="s">
        <v>651</v>
      </c>
    </row>
    <row r="9" spans="1:5">
      <c r="A9" s="1010">
        <v>1</v>
      </c>
      <c r="B9" s="51">
        <v>44719</v>
      </c>
      <c r="C9" s="645" t="s">
        <v>660</v>
      </c>
      <c r="D9" s="576" t="s">
        <v>654</v>
      </c>
      <c r="E9" s="5" t="s">
        <v>661</v>
      </c>
    </row>
    <row r="10" spans="1:5">
      <c r="A10" s="1010">
        <v>1</v>
      </c>
      <c r="B10" s="51">
        <v>44743</v>
      </c>
      <c r="C10" s="645" t="s">
        <v>667</v>
      </c>
      <c r="D10" s="576" t="s">
        <v>654</v>
      </c>
      <c r="E10" s="5" t="s">
        <v>661</v>
      </c>
    </row>
    <row r="11" spans="1:5" ht="28.8">
      <c r="A11" s="1010">
        <v>1.1000000000000001</v>
      </c>
      <c r="B11" s="191">
        <v>44895</v>
      </c>
      <c r="C11" s="594" t="s">
        <v>1363</v>
      </c>
      <c r="D11" s="595" t="s">
        <v>683</v>
      </c>
      <c r="E11" s="596" t="s">
        <v>655</v>
      </c>
    </row>
    <row r="12" spans="1:5">
      <c r="A12" s="1010">
        <v>1.1000000000000001</v>
      </c>
      <c r="B12" s="51">
        <v>44937</v>
      </c>
      <c r="C12" s="607" t="s">
        <v>677</v>
      </c>
      <c r="D12" s="5" t="s">
        <v>678</v>
      </c>
      <c r="E12" s="5" t="s">
        <v>655</v>
      </c>
    </row>
    <row r="13" spans="1:5">
      <c r="A13" s="1027">
        <v>1.2</v>
      </c>
      <c r="B13" s="672">
        <v>44945</v>
      </c>
      <c r="C13" s="673" t="s">
        <v>1373</v>
      </c>
      <c r="D13" s="674" t="s">
        <v>1001</v>
      </c>
      <c r="E13" s="675" t="s">
        <v>655</v>
      </c>
    </row>
    <row r="14" spans="1:5">
      <c r="A14" s="1010">
        <v>1.2</v>
      </c>
      <c r="B14" s="51">
        <v>44956</v>
      </c>
      <c r="C14" s="645" t="s">
        <v>4328</v>
      </c>
      <c r="D14" s="5" t="s">
        <v>658</v>
      </c>
      <c r="E14" s="5" t="s">
        <v>655</v>
      </c>
    </row>
    <row r="15" spans="1:5" ht="302.39999999999998">
      <c r="A15" s="1010">
        <v>1.3</v>
      </c>
      <c r="B15" s="51">
        <v>45058</v>
      </c>
      <c r="C15" s="645" t="s">
        <v>4329</v>
      </c>
      <c r="D15" s="576" t="s">
        <v>4330</v>
      </c>
      <c r="E15" s="5" t="s">
        <v>655</v>
      </c>
    </row>
    <row r="16" spans="1:5">
      <c r="A16" s="1010">
        <v>1.3</v>
      </c>
      <c r="B16" s="51">
        <v>45061</v>
      </c>
      <c r="C16" s="782" t="s">
        <v>4331</v>
      </c>
      <c r="D16" s="576" t="s">
        <v>678</v>
      </c>
      <c r="E16" s="5" t="s">
        <v>655</v>
      </c>
    </row>
    <row r="17" spans="1:5">
      <c r="A17" s="1010">
        <v>1.3</v>
      </c>
      <c r="B17" s="51">
        <v>45062</v>
      </c>
      <c r="C17" s="645" t="s">
        <v>4332</v>
      </c>
      <c r="D17" s="576" t="s">
        <v>4330</v>
      </c>
      <c r="E17" s="5" t="s">
        <v>655</v>
      </c>
    </row>
    <row r="18" spans="1:5">
      <c r="A18" s="1010">
        <v>1.4</v>
      </c>
      <c r="B18" s="51">
        <v>45063</v>
      </c>
      <c r="C18" s="645" t="s">
        <v>4332</v>
      </c>
      <c r="D18" s="583" t="s">
        <v>4330</v>
      </c>
      <c r="E18" s="5" t="s">
        <v>655</v>
      </c>
    </row>
    <row r="19" spans="1:5">
      <c r="A19" s="1010">
        <v>1.5</v>
      </c>
      <c r="B19" s="51">
        <v>45063</v>
      </c>
      <c r="C19" s="645" t="s">
        <v>4333</v>
      </c>
      <c r="D19" s="583" t="s">
        <v>4330</v>
      </c>
      <c r="E19" s="5" t="s">
        <v>655</v>
      </c>
    </row>
    <row r="20" spans="1:5">
      <c r="A20" s="1010">
        <v>1.5</v>
      </c>
      <c r="B20" s="51">
        <v>45064</v>
      </c>
      <c r="C20" s="576" t="s">
        <v>4334</v>
      </c>
      <c r="D20" s="576" t="s">
        <v>678</v>
      </c>
      <c r="E20" s="5" t="s">
        <v>655</v>
      </c>
    </row>
    <row r="21" spans="1:5">
      <c r="A21" s="1010" t="s">
        <v>4335</v>
      </c>
      <c r="B21" s="51">
        <v>45078</v>
      </c>
      <c r="C21" s="576" t="s">
        <v>4336</v>
      </c>
      <c r="D21" s="576" t="s">
        <v>678</v>
      </c>
      <c r="E21" s="5" t="s">
        <v>655</v>
      </c>
    </row>
    <row r="22" spans="1:5">
      <c r="A22" s="1010" t="s">
        <v>4335</v>
      </c>
      <c r="B22" s="51">
        <v>45078</v>
      </c>
      <c r="C22" s="576" t="s">
        <v>4334</v>
      </c>
      <c r="D22" s="5" t="s">
        <v>697</v>
      </c>
      <c r="E22" s="5" t="s">
        <v>655</v>
      </c>
    </row>
    <row r="23" spans="1:5" ht="28.8">
      <c r="A23" s="1010" t="s">
        <v>659</v>
      </c>
      <c r="B23" s="51">
        <v>45078</v>
      </c>
      <c r="C23" s="576" t="s">
        <v>4337</v>
      </c>
      <c r="D23" s="576" t="s">
        <v>678</v>
      </c>
      <c r="E23" s="5" t="s">
        <v>651</v>
      </c>
    </row>
    <row r="24" spans="1:5">
      <c r="A24" s="1010" t="s">
        <v>663</v>
      </c>
      <c r="B24" s="191">
        <v>45085</v>
      </c>
      <c r="C24" s="576" t="s">
        <v>4338</v>
      </c>
      <c r="D24" s="5" t="s">
        <v>658</v>
      </c>
      <c r="E24" s="5" t="s">
        <v>655</v>
      </c>
    </row>
    <row r="25" spans="1:5">
      <c r="A25" s="1010" t="s">
        <v>663</v>
      </c>
      <c r="B25" s="191">
        <v>45085</v>
      </c>
      <c r="C25" s="576" t="s">
        <v>3826</v>
      </c>
      <c r="D25" s="5" t="s">
        <v>676</v>
      </c>
      <c r="E25" s="5" t="s">
        <v>655</v>
      </c>
    </row>
    <row r="26" spans="1:5" ht="28.8">
      <c r="A26" s="1010" t="s">
        <v>666</v>
      </c>
      <c r="B26" s="191">
        <v>45085</v>
      </c>
      <c r="C26" s="576" t="s">
        <v>4337</v>
      </c>
      <c r="D26" s="5" t="s">
        <v>676</v>
      </c>
      <c r="E26" s="5" t="s">
        <v>651</v>
      </c>
    </row>
    <row r="27" spans="1:5">
      <c r="A27" s="1010" t="s">
        <v>666</v>
      </c>
      <c r="B27" s="191">
        <v>45085</v>
      </c>
      <c r="C27" s="576" t="s">
        <v>699</v>
      </c>
      <c r="D27" s="5" t="s">
        <v>676</v>
      </c>
      <c r="E27" s="5" t="s">
        <v>661</v>
      </c>
    </row>
    <row r="28" spans="1:5">
      <c r="A28" s="1010" t="s">
        <v>668</v>
      </c>
      <c r="B28" s="188">
        <v>45097</v>
      </c>
      <c r="C28" s="584" t="s">
        <v>818</v>
      </c>
      <c r="D28" s="585" t="s">
        <v>678</v>
      </c>
      <c r="E28" s="586" t="s">
        <v>655</v>
      </c>
    </row>
    <row r="29" spans="1:5">
      <c r="A29" s="628" t="s">
        <v>1347</v>
      </c>
      <c r="B29" s="575">
        <v>45097</v>
      </c>
      <c r="C29" s="589" t="s">
        <v>3656</v>
      </c>
      <c r="D29" s="590" t="s">
        <v>678</v>
      </c>
      <c r="E29" s="591" t="s">
        <v>655</v>
      </c>
    </row>
    <row r="30" spans="1:5" ht="28.8">
      <c r="A30" s="1010" t="s">
        <v>686</v>
      </c>
      <c r="B30" s="188">
        <v>45097</v>
      </c>
      <c r="C30" s="576" t="s">
        <v>4337</v>
      </c>
      <c r="D30" s="585" t="s">
        <v>678</v>
      </c>
      <c r="E30" s="586" t="s">
        <v>651</v>
      </c>
    </row>
    <row r="31" spans="1:5">
      <c r="A31" s="1010" t="s">
        <v>686</v>
      </c>
      <c r="B31" s="191">
        <v>45097</v>
      </c>
      <c r="C31" s="594" t="s">
        <v>700</v>
      </c>
      <c r="D31" s="595" t="s">
        <v>678</v>
      </c>
      <c r="E31" s="596" t="s">
        <v>661</v>
      </c>
    </row>
    <row r="32" spans="1:5">
      <c r="A32" s="1012" t="s">
        <v>686</v>
      </c>
      <c r="B32" s="1065">
        <v>45205</v>
      </c>
      <c r="C32" s="595" t="s">
        <v>701</v>
      </c>
      <c r="D32" s="595" t="s">
        <v>678</v>
      </c>
      <c r="E32" s="596" t="s">
        <v>661</v>
      </c>
    </row>
  </sheetData>
  <pageMargins left="0.7" right="0.7" top="0.75" bottom="0.75" header="0.3" footer="0.3"/>
  <headerFooter>
    <oddFooter>&amp;C_x000D_&amp;1#&amp;"Calibri"&amp;11&amp;KFF0000 Internal</oddFooter>
  </headerFooter>
  <tableParts count="1">
    <tablePart r:id="rId1"/>
  </tablePart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FB390-EFA3-478A-8711-9EF89B089163}">
  <sheetPr codeName="Sheet96"/>
  <dimension ref="A1:L6"/>
  <sheetViews>
    <sheetView workbookViewId="0">
      <selection activeCell="C2" sqref="C2:I2"/>
    </sheetView>
  </sheetViews>
  <sheetFormatPr defaultColWidth="9.15625" defaultRowHeight="14.4"/>
  <cols>
    <col min="1" max="1" width="36.578125" bestFit="1" customWidth="1"/>
    <col min="2" max="2" width="28.83984375" customWidth="1"/>
    <col min="6" max="6" width="17.26171875" customWidth="1"/>
    <col min="9" max="9" width="23.15625" customWidth="1"/>
    <col min="10" max="10" width="14" bestFit="1" customWidth="1"/>
    <col min="11" max="11" width="19.83984375" customWidth="1"/>
    <col min="12" max="12" width="32.41796875" customWidth="1"/>
  </cols>
  <sheetData>
    <row r="1" spans="1:12" ht="22.5" customHeight="1">
      <c r="A1" s="336" t="s">
        <v>104</v>
      </c>
      <c r="B1" s="339" t="s">
        <v>101</v>
      </c>
      <c r="C1" s="1564" t="s">
        <v>106</v>
      </c>
      <c r="D1" s="1565"/>
      <c r="E1" s="337">
        <v>3</v>
      </c>
      <c r="F1" s="1308" t="s">
        <v>702</v>
      </c>
      <c r="G1" s="1309">
        <v>1672</v>
      </c>
      <c r="H1" s="1308"/>
      <c r="I1" s="1308"/>
      <c r="J1" s="1310" t="s">
        <v>69</v>
      </c>
      <c r="K1" s="1310" t="s">
        <v>703</v>
      </c>
      <c r="L1" s="1356" t="s">
        <v>84</v>
      </c>
    </row>
    <row r="2" spans="1:12" ht="187.5" customHeight="1">
      <c r="A2" s="1566" t="s">
        <v>1615</v>
      </c>
      <c r="B2" s="1567"/>
      <c r="C2" s="1550" t="s">
        <v>1457</v>
      </c>
      <c r="D2" s="1551"/>
      <c r="E2" s="1551"/>
      <c r="F2" s="1551"/>
      <c r="G2" s="1551"/>
      <c r="H2" s="1551"/>
      <c r="I2" s="1552"/>
      <c r="J2" s="240" t="s">
        <v>707</v>
      </c>
      <c r="K2" s="1311" t="s">
        <v>4339</v>
      </c>
      <c r="L2" s="18"/>
    </row>
    <row r="3" spans="1:12" ht="25.8">
      <c r="A3" s="1312" t="s">
        <v>709</v>
      </c>
      <c r="B3" s="1313" t="s">
        <v>710</v>
      </c>
      <c r="C3" s="80" t="s">
        <v>711</v>
      </c>
      <c r="D3" s="80" t="s">
        <v>712</v>
      </c>
      <c r="E3" s="80" t="s">
        <v>713</v>
      </c>
      <c r="F3" s="80" t="s">
        <v>714</v>
      </c>
      <c r="G3" s="344" t="s">
        <v>715</v>
      </c>
      <c r="H3" s="80" t="s">
        <v>716</v>
      </c>
      <c r="I3" s="80" t="s">
        <v>717</v>
      </c>
      <c r="J3" s="80" t="s">
        <v>718</v>
      </c>
      <c r="K3" s="357" t="s">
        <v>719</v>
      </c>
      <c r="L3" s="80" t="s">
        <v>720</v>
      </c>
    </row>
    <row r="4" spans="1:12" ht="28.8">
      <c r="A4" s="1001" t="s">
        <v>4340</v>
      </c>
      <c r="B4" s="1001" t="s">
        <v>722</v>
      </c>
      <c r="C4" s="418" t="s">
        <v>48</v>
      </c>
      <c r="D4" s="418" t="s">
        <v>48</v>
      </c>
      <c r="E4" s="418" t="s">
        <v>48</v>
      </c>
      <c r="F4" s="418" t="s">
        <v>48</v>
      </c>
      <c r="G4" s="418" t="s">
        <v>48</v>
      </c>
      <c r="H4" s="418">
        <v>216</v>
      </c>
      <c r="I4" s="418" t="s">
        <v>723</v>
      </c>
      <c r="J4" s="345" t="s">
        <v>724</v>
      </c>
      <c r="K4" s="1710">
        <v>1</v>
      </c>
      <c r="L4" s="1668" t="s">
        <v>4341</v>
      </c>
    </row>
    <row r="5" spans="1:12" ht="28.8">
      <c r="A5" s="703" t="s">
        <v>4342</v>
      </c>
      <c r="B5" s="359" t="s">
        <v>1619</v>
      </c>
      <c r="C5" s="345" t="s">
        <v>48</v>
      </c>
      <c r="D5" s="345">
        <v>0</v>
      </c>
      <c r="E5" s="345">
        <v>65535</v>
      </c>
      <c r="F5" s="345" t="s">
        <v>1620</v>
      </c>
      <c r="G5" s="345">
        <v>65535</v>
      </c>
      <c r="H5" s="346">
        <v>16</v>
      </c>
      <c r="I5" s="347" t="s">
        <v>991</v>
      </c>
      <c r="J5" s="347" t="s">
        <v>729</v>
      </c>
      <c r="K5" s="1710"/>
      <c r="L5" s="1668"/>
    </row>
    <row r="6" spans="1:12" ht="43.2">
      <c r="A6" s="960" t="s">
        <v>4343</v>
      </c>
      <c r="B6" s="961" t="s">
        <v>4344</v>
      </c>
      <c r="C6" s="706" t="s">
        <v>48</v>
      </c>
      <c r="D6" s="706" t="s">
        <v>48</v>
      </c>
      <c r="E6" s="706" t="s">
        <v>48</v>
      </c>
      <c r="F6" s="706" t="s">
        <v>48</v>
      </c>
      <c r="G6" s="706" t="s">
        <v>48</v>
      </c>
      <c r="H6" s="706">
        <v>72</v>
      </c>
      <c r="I6" s="345" t="s">
        <v>1623</v>
      </c>
      <c r="J6" s="417" t="s">
        <v>729</v>
      </c>
      <c r="K6" s="416">
        <v>20</v>
      </c>
      <c r="L6" s="415" t="s">
        <v>4345</v>
      </c>
    </row>
  </sheetData>
  <mergeCells count="5">
    <mergeCell ref="L4:L5"/>
    <mergeCell ref="C1:D1"/>
    <mergeCell ref="A2:B2"/>
    <mergeCell ref="C2:I2"/>
    <mergeCell ref="K4:K5"/>
  </mergeCells>
  <conditionalFormatting sqref="B6:H6 C5:J5 J4 J6">
    <cfRule type="expression" dxfId="132" priority="3">
      <formula>MOD(ROW(), 2)=0</formula>
    </cfRule>
  </conditionalFormatting>
  <conditionalFormatting sqref="I6">
    <cfRule type="expression" dxfId="131" priority="1">
      <formula>MOD(ROW(), 2)=0</formula>
    </cfRule>
  </conditionalFormatting>
  <hyperlinks>
    <hyperlink ref="J1" location="'Revision Map'!A1" display="INDEX" xr:uid="{18C6B491-93D7-4AD8-BFA7-2A790FDB37AE}"/>
    <hyperlink ref="K1" location="'Cross-FCN_Definitions'!A1" display="Cross-FCN_Definitions" xr:uid="{A7D1C68D-8776-4EDC-89B5-94BF1F05D3D2}"/>
    <hyperlink ref="L1" location="'AVI_Traffic_Lights'!A1" display="AVI_Traffic_Lights" xr:uid="{170AEED3-62CE-41AC-93DB-E094A88B1D68}"/>
  </hyperlinks>
  <pageMargins left="0.7" right="0.7" top="0.75" bottom="0.75" header="0.3" footer="0.3"/>
  <headerFooter>
    <oddFooter>&amp;C_x000D_&amp;1#&amp;"Calibri"&amp;11&amp;KFF0000 Internal</oddFoot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147E7-84FE-4F78-8886-8440C00D0BB1}">
  <sheetPr codeName="Sheet97"/>
  <dimension ref="A1:E20"/>
  <sheetViews>
    <sheetView workbookViewId="0">
      <pane ySplit="1" topLeftCell="A9" activePane="bottomLeft" state="frozen"/>
      <selection pane="bottomLeft" activeCell="B20" sqref="B20"/>
    </sheetView>
  </sheetViews>
  <sheetFormatPr defaultColWidth="9.15625" defaultRowHeight="14.4"/>
  <cols>
    <col min="1" max="1" width="11" style="1010" bestFit="1" customWidth="1"/>
    <col min="2" max="2" width="10.41796875" bestFit="1" customWidth="1"/>
    <col min="3" max="3" width="87.26171875" bestFit="1" customWidth="1"/>
    <col min="4" max="4" width="17.578125" bestFit="1" customWidth="1"/>
    <col min="5" max="5" width="11.578125" bestFit="1" customWidth="1"/>
  </cols>
  <sheetData>
    <row r="1" spans="1:5">
      <c r="A1" s="670" t="s">
        <v>644</v>
      </c>
      <c r="B1" s="642" t="s">
        <v>645</v>
      </c>
      <c r="C1" s="643" t="s">
        <v>646</v>
      </c>
      <c r="D1" s="643" t="s">
        <v>647</v>
      </c>
      <c r="E1" s="644" t="s">
        <v>793</v>
      </c>
    </row>
    <row r="2" spans="1:5">
      <c r="A2" s="628">
        <v>0.1</v>
      </c>
      <c r="B2" s="356">
        <v>44945</v>
      </c>
      <c r="C2" s="589" t="s">
        <v>4346</v>
      </c>
      <c r="D2" s="590" t="s">
        <v>678</v>
      </c>
      <c r="E2" s="591" t="s">
        <v>655</v>
      </c>
    </row>
    <row r="3" spans="1:5">
      <c r="A3" s="1010">
        <v>0.1</v>
      </c>
      <c r="B3" s="51">
        <v>44953</v>
      </c>
      <c r="C3" s="5" t="s">
        <v>1966</v>
      </c>
      <c r="D3" s="5" t="s">
        <v>658</v>
      </c>
      <c r="E3" s="5" t="s">
        <v>655</v>
      </c>
    </row>
    <row r="4" spans="1:5" ht="86.4">
      <c r="A4" s="1011">
        <v>0.2</v>
      </c>
      <c r="B4" s="515">
        <v>44953</v>
      </c>
      <c r="C4" s="611" t="s">
        <v>4347</v>
      </c>
      <c r="D4" s="590" t="s">
        <v>678</v>
      </c>
      <c r="E4" s="591" t="s">
        <v>655</v>
      </c>
    </row>
    <row r="5" spans="1:5">
      <c r="A5" s="1010">
        <v>0.2</v>
      </c>
      <c r="B5" s="51">
        <v>44953</v>
      </c>
      <c r="C5" s="5" t="s">
        <v>3711</v>
      </c>
      <c r="D5" s="5" t="s">
        <v>658</v>
      </c>
      <c r="E5" s="5" t="s">
        <v>655</v>
      </c>
    </row>
    <row r="6" spans="1:5" ht="100.8">
      <c r="A6" s="1026">
        <v>0.3</v>
      </c>
      <c r="B6" s="575">
        <v>44987</v>
      </c>
      <c r="C6" s="739" t="s">
        <v>1630</v>
      </c>
      <c r="D6" s="740" t="s">
        <v>3176</v>
      </c>
      <c r="E6" s="741" t="s">
        <v>655</v>
      </c>
    </row>
    <row r="7" spans="1:5">
      <c r="A7" s="1010">
        <v>0.4</v>
      </c>
      <c r="B7" s="51">
        <v>44993</v>
      </c>
      <c r="C7" s="744" t="s">
        <v>1631</v>
      </c>
      <c r="D7" t="s">
        <v>3176</v>
      </c>
      <c r="E7" t="s">
        <v>655</v>
      </c>
    </row>
    <row r="8" spans="1:5">
      <c r="A8" s="1026">
        <v>0.4</v>
      </c>
      <c r="B8" s="575">
        <v>44993</v>
      </c>
      <c r="C8" s="410" t="s">
        <v>3711</v>
      </c>
      <c r="D8" s="410" t="s">
        <v>658</v>
      </c>
      <c r="E8" s="410" t="s">
        <v>655</v>
      </c>
    </row>
    <row r="9" spans="1:5">
      <c r="A9" s="629">
        <v>1</v>
      </c>
      <c r="B9" s="188">
        <v>44993</v>
      </c>
      <c r="C9" s="584" t="s">
        <v>1610</v>
      </c>
      <c r="D9" s="585" t="s">
        <v>3176</v>
      </c>
      <c r="E9" s="586" t="s">
        <v>651</v>
      </c>
    </row>
    <row r="10" spans="1:5" ht="43.2">
      <c r="A10" s="1026">
        <v>1.1000000000000001</v>
      </c>
      <c r="B10" s="575">
        <v>45071</v>
      </c>
      <c r="C10" s="788" t="s">
        <v>4348</v>
      </c>
      <c r="D10" s="740" t="s">
        <v>796</v>
      </c>
      <c r="E10" s="741" t="s">
        <v>655</v>
      </c>
    </row>
    <row r="11" spans="1:5">
      <c r="A11" s="1010">
        <v>1.1000000000000001</v>
      </c>
      <c r="B11" s="188">
        <v>45072</v>
      </c>
      <c r="C11" t="s">
        <v>1966</v>
      </c>
      <c r="D11" t="s">
        <v>678</v>
      </c>
      <c r="E11" t="s">
        <v>655</v>
      </c>
    </row>
    <row r="12" spans="1:5" ht="28.8">
      <c r="A12" s="1026">
        <v>1.2</v>
      </c>
      <c r="B12" s="575">
        <v>45077</v>
      </c>
      <c r="C12" s="788" t="s">
        <v>1633</v>
      </c>
      <c r="D12" s="740" t="s">
        <v>3176</v>
      </c>
      <c r="E12" s="741" t="s">
        <v>655</v>
      </c>
    </row>
    <row r="13" spans="1:5">
      <c r="A13" s="1010" t="s">
        <v>4349</v>
      </c>
      <c r="B13" s="188">
        <v>45077</v>
      </c>
      <c r="C13" t="s">
        <v>4350</v>
      </c>
      <c r="D13" t="s">
        <v>796</v>
      </c>
      <c r="E13" t="s">
        <v>655</v>
      </c>
    </row>
    <row r="14" spans="1:5">
      <c r="A14" s="1011" t="s">
        <v>4349</v>
      </c>
      <c r="B14" s="356">
        <v>45078</v>
      </c>
      <c r="C14" s="1034" t="s">
        <v>3711</v>
      </c>
      <c r="D14" s="1034" t="s">
        <v>658</v>
      </c>
      <c r="E14" s="1034" t="s">
        <v>655</v>
      </c>
    </row>
    <row r="15" spans="1:5">
      <c r="A15" s="1010" t="s">
        <v>659</v>
      </c>
      <c r="B15" s="188">
        <v>45078</v>
      </c>
      <c r="C15" s="584" t="s">
        <v>1614</v>
      </c>
      <c r="D15" t="s">
        <v>678</v>
      </c>
      <c r="E15" s="586" t="s">
        <v>651</v>
      </c>
    </row>
    <row r="16" spans="1:5">
      <c r="A16" s="1010" t="s">
        <v>659</v>
      </c>
      <c r="B16" s="191">
        <v>45078</v>
      </c>
      <c r="C16" s="5" t="s">
        <v>699</v>
      </c>
      <c r="D16" s="5" t="s">
        <v>678</v>
      </c>
      <c r="E16" s="5" t="s">
        <v>661</v>
      </c>
    </row>
    <row r="17" spans="1:5">
      <c r="A17" s="1010" t="s">
        <v>663</v>
      </c>
      <c r="B17" s="188">
        <v>45097</v>
      </c>
      <c r="C17" s="584" t="s">
        <v>818</v>
      </c>
      <c r="D17" s="585" t="s">
        <v>678</v>
      </c>
      <c r="E17" s="586" t="s">
        <v>655</v>
      </c>
    </row>
    <row r="18" spans="1:5">
      <c r="A18" s="1010" t="s">
        <v>666</v>
      </c>
      <c r="B18" s="188">
        <v>45097</v>
      </c>
      <c r="C18" s="584" t="s">
        <v>1614</v>
      </c>
      <c r="D18" s="585" t="s">
        <v>678</v>
      </c>
      <c r="E18" s="586" t="s">
        <v>651</v>
      </c>
    </row>
    <row r="19" spans="1:5">
      <c r="A19" s="1010" t="s">
        <v>666</v>
      </c>
      <c r="B19" s="191">
        <v>45097</v>
      </c>
      <c r="C19" s="594" t="s">
        <v>700</v>
      </c>
      <c r="D19" s="595" t="s">
        <v>678</v>
      </c>
      <c r="E19" s="596" t="s">
        <v>661</v>
      </c>
    </row>
    <row r="20" spans="1:5">
      <c r="A20" s="1010" t="s">
        <v>666</v>
      </c>
      <c r="B20" s="1065">
        <v>45205</v>
      </c>
      <c r="C20" s="595" t="s">
        <v>701</v>
      </c>
      <c r="D20" s="595" t="s">
        <v>678</v>
      </c>
      <c r="E20" s="596" t="s">
        <v>661</v>
      </c>
    </row>
  </sheetData>
  <pageMargins left="0.7" right="0.7" top="0.75" bottom="0.75" header="0.3" footer="0.3"/>
  <headerFooter>
    <oddFooter>&amp;C_x000D_&amp;1#&amp;"Calibri"&amp;11&amp;KFF0000 Internal</oddFooter>
  </headerFooter>
  <tableParts count="1">
    <tablePart r:id="rId1"/>
  </tableParts>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26C5F-4912-4A5C-88DD-A252E91650C2}">
  <sheetPr codeName="Sheet48"/>
  <dimension ref="A1:O41"/>
  <sheetViews>
    <sheetView zoomScaleNormal="100" workbookViewId="0">
      <pane xSplit="1" ySplit="3" topLeftCell="B32" activePane="bottomRight" state="frozen"/>
      <selection pane="topRight" activeCell="J3" sqref="J3"/>
      <selection pane="bottomLeft" activeCell="J3" sqref="J3"/>
      <selection pane="bottomRight" activeCell="C2" sqref="C2:I2"/>
    </sheetView>
  </sheetViews>
  <sheetFormatPr defaultColWidth="9.15625" defaultRowHeight="14.4"/>
  <cols>
    <col min="1" max="1" width="55.68359375" customWidth="1"/>
    <col min="2" max="2" width="36.41796875" style="5" customWidth="1"/>
    <col min="3" max="3" width="9" bestFit="1" customWidth="1"/>
    <col min="4" max="4" width="8.578125" bestFit="1" customWidth="1"/>
    <col min="5" max="5" width="8.83984375" bestFit="1" customWidth="1"/>
    <col min="6" max="6" width="42.15625" style="376" bestFit="1" customWidth="1"/>
    <col min="7" max="7" width="11.26171875" bestFit="1" customWidth="1"/>
    <col min="8" max="8" width="8.578125" bestFit="1" customWidth="1"/>
    <col min="9" max="10" width="19.68359375" bestFit="1" customWidth="1"/>
    <col min="11" max="12" width="22.41796875" bestFit="1" customWidth="1"/>
    <col min="13" max="16" width="9.15625" customWidth="1"/>
  </cols>
  <sheetData>
    <row r="1" spans="1:15">
      <c r="A1" s="23" t="s">
        <v>104</v>
      </c>
      <c r="B1" s="1478" t="s">
        <v>83</v>
      </c>
      <c r="C1" s="1527" t="s">
        <v>106</v>
      </c>
      <c r="D1" s="1528"/>
      <c r="E1" s="1020" t="str" cm="1">
        <f t="array" ref="E1">INDEX(Table137[[#All],[Revision]],COUNTA(Table137[[#All],[Revision]]))</f>
        <v>12</v>
      </c>
      <c r="F1" s="983" t="s">
        <v>702</v>
      </c>
      <c r="G1" s="176">
        <v>13704</v>
      </c>
      <c r="H1" s="176"/>
      <c r="I1" s="1310" t="s">
        <v>69</v>
      </c>
      <c r="J1" s="1314" t="s">
        <v>703</v>
      </c>
      <c r="K1" s="1356" t="s">
        <v>105</v>
      </c>
      <c r="L1" s="1356" t="s">
        <v>100</v>
      </c>
    </row>
    <row r="2" spans="1:15" ht="231.75" customHeight="1">
      <c r="A2" s="1525" t="s">
        <v>1529</v>
      </c>
      <c r="B2" s="1556"/>
      <c r="C2" s="1715" t="s">
        <v>4351</v>
      </c>
      <c r="D2" s="1716"/>
      <c r="E2" s="1716"/>
      <c r="F2" s="1716"/>
      <c r="G2" s="1716"/>
      <c r="H2" s="1716"/>
      <c r="I2" s="1717"/>
      <c r="J2" s="1390" t="s">
        <v>707</v>
      </c>
      <c r="K2" s="1277" t="s">
        <v>1384</v>
      </c>
      <c r="L2" s="226"/>
    </row>
    <row r="3" spans="1:15" ht="20.25" customHeight="1">
      <c r="A3" s="1479" t="s">
        <v>709</v>
      </c>
      <c r="B3" s="1480" t="s">
        <v>710</v>
      </c>
      <c r="C3" s="22" t="s">
        <v>711</v>
      </c>
      <c r="D3" s="22" t="s">
        <v>712</v>
      </c>
      <c r="E3" s="22" t="s">
        <v>713</v>
      </c>
      <c r="F3" s="984" t="s">
        <v>714</v>
      </c>
      <c r="G3" s="131" t="s">
        <v>715</v>
      </c>
      <c r="H3" s="22" t="s">
        <v>716</v>
      </c>
      <c r="I3" s="22" t="s">
        <v>717</v>
      </c>
      <c r="J3" s="22" t="s">
        <v>718</v>
      </c>
      <c r="K3" s="22" t="s">
        <v>719</v>
      </c>
      <c r="L3" s="22" t="s">
        <v>720</v>
      </c>
    </row>
    <row r="4" spans="1:15" ht="27.6" customHeight="1">
      <c r="A4" s="1006" t="s">
        <v>4352</v>
      </c>
      <c r="B4" s="962" t="s">
        <v>722</v>
      </c>
      <c r="C4" s="346" t="s">
        <v>48</v>
      </c>
      <c r="D4" s="346" t="s">
        <v>48</v>
      </c>
      <c r="E4" s="346" t="s">
        <v>48</v>
      </c>
      <c r="F4" s="155" t="s">
        <v>48</v>
      </c>
      <c r="G4" s="346" t="s">
        <v>48</v>
      </c>
      <c r="H4" s="346">
        <v>216</v>
      </c>
      <c r="I4" s="346" t="s">
        <v>723</v>
      </c>
      <c r="J4" s="124" t="s">
        <v>729</v>
      </c>
      <c r="K4" s="1553">
        <v>1</v>
      </c>
      <c r="L4" s="1713" t="s">
        <v>4353</v>
      </c>
    </row>
    <row r="5" spans="1:15" ht="27.6" customHeight="1">
      <c r="A5" s="1006" t="s">
        <v>4354</v>
      </c>
      <c r="B5" s="962" t="s">
        <v>4355</v>
      </c>
      <c r="C5" s="963" t="s">
        <v>48</v>
      </c>
      <c r="D5" s="963">
        <v>0</v>
      </c>
      <c r="E5" s="963">
        <v>255</v>
      </c>
      <c r="F5" s="962" t="s">
        <v>4356</v>
      </c>
      <c r="G5" s="963">
        <v>255</v>
      </c>
      <c r="H5" s="963">
        <v>8</v>
      </c>
      <c r="I5" s="963" t="s">
        <v>743</v>
      </c>
      <c r="J5" s="124" t="s">
        <v>729</v>
      </c>
      <c r="K5" s="1553"/>
      <c r="L5" s="1713"/>
    </row>
    <row r="6" spans="1:15" ht="14.5" customHeight="1">
      <c r="A6" s="1007" t="s">
        <v>4357</v>
      </c>
      <c r="B6" s="1007" t="s">
        <v>1395</v>
      </c>
      <c r="C6" s="964" t="s">
        <v>48</v>
      </c>
      <c r="D6" s="964" t="s">
        <v>48</v>
      </c>
      <c r="E6" s="964" t="s">
        <v>48</v>
      </c>
      <c r="F6" s="985" t="s">
        <v>48</v>
      </c>
      <c r="G6" s="965" t="s">
        <v>48</v>
      </c>
      <c r="H6" s="964">
        <v>8</v>
      </c>
      <c r="I6" s="965" t="s">
        <v>1396</v>
      </c>
      <c r="J6" s="124" t="s">
        <v>729</v>
      </c>
      <c r="K6" s="1712"/>
      <c r="L6" s="1714"/>
    </row>
    <row r="7" spans="1:15" ht="14.5" customHeight="1">
      <c r="A7" s="1481" t="s">
        <v>4358</v>
      </c>
      <c r="B7" s="1482" t="s">
        <v>1398</v>
      </c>
      <c r="C7" s="1483" t="s">
        <v>48</v>
      </c>
      <c r="D7" s="1483" t="s">
        <v>48</v>
      </c>
      <c r="E7" s="1483" t="s">
        <v>48</v>
      </c>
      <c r="F7" s="1484" t="s">
        <v>48</v>
      </c>
      <c r="G7" s="1485" t="s">
        <v>48</v>
      </c>
      <c r="H7" s="1483">
        <v>8</v>
      </c>
      <c r="I7" s="1485" t="s">
        <v>1399</v>
      </c>
      <c r="J7" s="124" t="s">
        <v>729</v>
      </c>
      <c r="K7" s="1712"/>
      <c r="L7" s="1714"/>
    </row>
    <row r="8" spans="1:15" ht="27.6" customHeight="1">
      <c r="A8" s="1481" t="s">
        <v>4359</v>
      </c>
      <c r="B8" s="1482" t="s">
        <v>4360</v>
      </c>
      <c r="C8" s="1483" t="s">
        <v>48</v>
      </c>
      <c r="D8" s="1483" t="s">
        <v>48</v>
      </c>
      <c r="E8" s="1483" t="s">
        <v>48</v>
      </c>
      <c r="F8" s="1484" t="s">
        <v>48</v>
      </c>
      <c r="G8" s="1483" t="s">
        <v>48</v>
      </c>
      <c r="H8" s="1483">
        <v>8</v>
      </c>
      <c r="I8" s="1485" t="s">
        <v>1402</v>
      </c>
      <c r="J8" s="124" t="s">
        <v>729</v>
      </c>
      <c r="K8" s="1712"/>
      <c r="L8" s="1714"/>
    </row>
    <row r="9" spans="1:15" ht="27.6" customHeight="1">
      <c r="A9" s="1481" t="s">
        <v>4361</v>
      </c>
      <c r="B9" s="1482" t="s">
        <v>4362</v>
      </c>
      <c r="C9" s="1483" t="s">
        <v>48</v>
      </c>
      <c r="D9" s="1483">
        <v>0</v>
      </c>
      <c r="E9" s="1483">
        <v>255</v>
      </c>
      <c r="F9" s="1484" t="s">
        <v>4363</v>
      </c>
      <c r="G9" s="1485">
        <v>0</v>
      </c>
      <c r="H9" s="1483">
        <v>8</v>
      </c>
      <c r="I9" s="1485" t="s">
        <v>743</v>
      </c>
      <c r="J9" s="124" t="s">
        <v>729</v>
      </c>
      <c r="K9" s="1712"/>
      <c r="L9" s="1714"/>
    </row>
    <row r="10" spans="1:15" ht="14.5" customHeight="1">
      <c r="A10" s="1481" t="s">
        <v>4364</v>
      </c>
      <c r="B10" s="1482" t="s">
        <v>4365</v>
      </c>
      <c r="C10" s="1483" t="s">
        <v>48</v>
      </c>
      <c r="D10" s="1483">
        <v>0</v>
      </c>
      <c r="E10" s="1483">
        <v>255</v>
      </c>
      <c r="F10" s="1484" t="s">
        <v>4363</v>
      </c>
      <c r="G10" s="1483">
        <v>0</v>
      </c>
      <c r="H10" s="1483">
        <v>8</v>
      </c>
      <c r="I10" s="1485" t="s">
        <v>743</v>
      </c>
      <c r="J10" s="124" t="s">
        <v>729</v>
      </c>
      <c r="K10" s="1712"/>
      <c r="L10" s="1714"/>
    </row>
    <row r="11" spans="1:15" ht="41.5" customHeight="1">
      <c r="A11" s="1486" t="s">
        <v>4366</v>
      </c>
      <c r="B11" s="1484" t="s">
        <v>4367</v>
      </c>
      <c r="C11" s="1483" t="s">
        <v>48</v>
      </c>
      <c r="D11" s="1483" t="s">
        <v>48</v>
      </c>
      <c r="E11" s="1483" t="s">
        <v>48</v>
      </c>
      <c r="F11" s="1484" t="s">
        <v>48</v>
      </c>
      <c r="G11" s="1483" t="s">
        <v>48</v>
      </c>
      <c r="H11" s="1483">
        <v>32</v>
      </c>
      <c r="I11" s="1483" t="s">
        <v>728</v>
      </c>
      <c r="J11" s="986" t="s">
        <v>729</v>
      </c>
      <c r="K11" s="1553">
        <v>20</v>
      </c>
      <c r="L11" s="1711" t="s">
        <v>4368</v>
      </c>
    </row>
    <row r="12" spans="1:15">
      <c r="A12" s="1006" t="s">
        <v>4369</v>
      </c>
      <c r="B12" s="962" t="s">
        <v>4370</v>
      </c>
      <c r="C12" s="963" t="s">
        <v>48</v>
      </c>
      <c r="D12" s="133" t="s">
        <v>48</v>
      </c>
      <c r="E12" s="133" t="s">
        <v>48</v>
      </c>
      <c r="F12" s="751" t="s">
        <v>48</v>
      </c>
      <c r="G12" s="133" t="s">
        <v>48</v>
      </c>
      <c r="H12" s="133">
        <v>16</v>
      </c>
      <c r="I12" s="963" t="s">
        <v>1544</v>
      </c>
      <c r="J12" s="986" t="s">
        <v>729</v>
      </c>
      <c r="K12" s="1553"/>
      <c r="L12" s="1711"/>
    </row>
    <row r="13" spans="1:15" ht="27.6" customHeight="1">
      <c r="A13" s="1006" t="s">
        <v>4371</v>
      </c>
      <c r="B13" s="962" t="s">
        <v>4372</v>
      </c>
      <c r="C13" s="963" t="s">
        <v>48</v>
      </c>
      <c r="D13" s="963">
        <v>0</v>
      </c>
      <c r="E13" s="963">
        <v>65535</v>
      </c>
      <c r="F13" s="962" t="s">
        <v>4373</v>
      </c>
      <c r="G13" s="963">
        <v>65535</v>
      </c>
      <c r="H13" s="963">
        <v>16</v>
      </c>
      <c r="I13" s="963" t="s">
        <v>991</v>
      </c>
      <c r="J13" s="986" t="s">
        <v>729</v>
      </c>
      <c r="K13" s="1553"/>
      <c r="L13" s="1711"/>
      <c r="O13" s="322"/>
    </row>
    <row r="14" spans="1:15" ht="14.5" customHeight="1">
      <c r="A14" s="1006" t="s">
        <v>4374</v>
      </c>
      <c r="B14" s="962" t="s">
        <v>4375</v>
      </c>
      <c r="C14" s="963" t="s">
        <v>48</v>
      </c>
      <c r="D14" s="963" t="s">
        <v>48</v>
      </c>
      <c r="E14" s="963" t="s">
        <v>48</v>
      </c>
      <c r="F14" s="751" t="s">
        <v>48</v>
      </c>
      <c r="G14" s="963" t="s">
        <v>48</v>
      </c>
      <c r="H14" s="963">
        <v>32</v>
      </c>
      <c r="I14" s="963" t="s">
        <v>1583</v>
      </c>
      <c r="J14" s="986" t="s">
        <v>729</v>
      </c>
      <c r="K14" s="1553"/>
      <c r="L14" s="1711"/>
      <c r="O14" s="322"/>
    </row>
    <row r="15" spans="1:15" ht="33" customHeight="1">
      <c r="A15" s="1007" t="s">
        <v>4376</v>
      </c>
      <c r="B15" s="966" t="s">
        <v>4377</v>
      </c>
      <c r="C15" s="965" t="s">
        <v>48</v>
      </c>
      <c r="D15" s="965" t="s">
        <v>48</v>
      </c>
      <c r="E15" s="965" t="s">
        <v>48</v>
      </c>
      <c r="F15" s="966" t="s">
        <v>48</v>
      </c>
      <c r="G15" s="965" t="s">
        <v>48</v>
      </c>
      <c r="H15" s="965">
        <v>32</v>
      </c>
      <c r="I15" s="965" t="s">
        <v>1577</v>
      </c>
      <c r="J15" s="986" t="s">
        <v>729</v>
      </c>
      <c r="K15" s="1553"/>
      <c r="L15" s="1711"/>
      <c r="O15" s="322"/>
    </row>
    <row r="16" spans="1:15" ht="193.15" customHeight="1">
      <c r="A16" s="1006" t="s">
        <v>4378</v>
      </c>
      <c r="B16" s="962" t="s">
        <v>4379</v>
      </c>
      <c r="C16" s="963" t="s">
        <v>48</v>
      </c>
      <c r="D16" s="963">
        <v>0</v>
      </c>
      <c r="E16" s="963">
        <v>255</v>
      </c>
      <c r="F16" s="962" t="s">
        <v>4380</v>
      </c>
      <c r="G16" s="963">
        <v>255</v>
      </c>
      <c r="H16" s="963">
        <v>8</v>
      </c>
      <c r="I16" s="963" t="s">
        <v>743</v>
      </c>
      <c r="J16" s="986" t="s">
        <v>729</v>
      </c>
      <c r="K16" s="1553"/>
      <c r="L16" s="1711"/>
      <c r="O16" s="322"/>
    </row>
    <row r="17" spans="1:12" ht="14.5" customHeight="1">
      <c r="A17" s="1008" t="s">
        <v>4381</v>
      </c>
      <c r="B17" s="967" t="s">
        <v>4382</v>
      </c>
      <c r="C17" s="120" t="s">
        <v>48</v>
      </c>
      <c r="D17" s="120" t="s">
        <v>48</v>
      </c>
      <c r="E17" s="120" t="s">
        <v>48</v>
      </c>
      <c r="F17" s="967" t="s">
        <v>48</v>
      </c>
      <c r="G17" s="120" t="s">
        <v>48</v>
      </c>
      <c r="H17" s="124">
        <v>32</v>
      </c>
      <c r="I17" s="120" t="s">
        <v>1583</v>
      </c>
      <c r="J17" s="986" t="s">
        <v>729</v>
      </c>
      <c r="K17" s="1553"/>
      <c r="L17" s="1711"/>
    </row>
    <row r="18" spans="1:12" ht="27.6" customHeight="1">
      <c r="A18" s="1286" t="s">
        <v>4383</v>
      </c>
      <c r="B18" s="1287" t="s">
        <v>4384</v>
      </c>
      <c r="C18" s="1288" t="s">
        <v>48</v>
      </c>
      <c r="D18" s="1288">
        <v>0</v>
      </c>
      <c r="E18" s="1288">
        <v>255</v>
      </c>
      <c r="F18" s="1376" t="s">
        <v>4385</v>
      </c>
      <c r="G18" s="1288">
        <v>255</v>
      </c>
      <c r="H18" s="1288">
        <v>8</v>
      </c>
      <c r="I18" s="1288" t="s">
        <v>743</v>
      </c>
      <c r="J18" s="986" t="s">
        <v>729</v>
      </c>
      <c r="K18" s="1553"/>
      <c r="L18" s="1711"/>
    </row>
    <row r="19" spans="1:12" ht="14.5" customHeight="1">
      <c r="A19" s="1286" t="s">
        <v>4386</v>
      </c>
      <c r="B19" s="1287" t="s">
        <v>4387</v>
      </c>
      <c r="C19" s="1288" t="s">
        <v>48</v>
      </c>
      <c r="D19" s="1487" t="s">
        <v>48</v>
      </c>
      <c r="E19" s="1487" t="s">
        <v>48</v>
      </c>
      <c r="F19" s="1376" t="s">
        <v>48</v>
      </c>
      <c r="G19" s="1288" t="s">
        <v>48</v>
      </c>
      <c r="H19" s="1487">
        <v>32</v>
      </c>
      <c r="I19" s="1288" t="s">
        <v>1583</v>
      </c>
      <c r="J19" s="986" t="s">
        <v>729</v>
      </c>
      <c r="K19" s="1553"/>
      <c r="L19" s="1711"/>
    </row>
    <row r="20" spans="1:12" ht="82.9" customHeight="1">
      <c r="A20" s="1488" t="s">
        <v>4388</v>
      </c>
      <c r="B20" s="1376" t="s">
        <v>4389</v>
      </c>
      <c r="C20" s="1487" t="s">
        <v>48</v>
      </c>
      <c r="D20" s="1487">
        <v>1</v>
      </c>
      <c r="E20" s="1487">
        <v>255</v>
      </c>
      <c r="F20" s="1376" t="s">
        <v>4390</v>
      </c>
      <c r="G20" s="1487">
        <v>255</v>
      </c>
      <c r="H20" s="1288">
        <v>8</v>
      </c>
      <c r="I20" s="1487" t="s">
        <v>743</v>
      </c>
      <c r="J20" s="986" t="s">
        <v>729</v>
      </c>
      <c r="K20" s="1553"/>
      <c r="L20" s="1711"/>
    </row>
    <row r="21" spans="1:12" ht="64.900000000000006" customHeight="1">
      <c r="A21" s="1488" t="s">
        <v>4391</v>
      </c>
      <c r="B21" s="1376" t="s">
        <v>4392</v>
      </c>
      <c r="C21" s="1487" t="s">
        <v>48</v>
      </c>
      <c r="D21" s="1487">
        <v>0</v>
      </c>
      <c r="E21" s="1487">
        <v>255</v>
      </c>
      <c r="F21" s="1376" t="s">
        <v>4393</v>
      </c>
      <c r="G21" s="1487">
        <v>255</v>
      </c>
      <c r="H21" s="1288">
        <v>8</v>
      </c>
      <c r="I21" s="1487" t="s">
        <v>743</v>
      </c>
      <c r="J21" s="986" t="s">
        <v>729</v>
      </c>
      <c r="K21" s="1553"/>
      <c r="L21" s="1711"/>
    </row>
    <row r="22" spans="1:12" ht="14.5" customHeight="1">
      <c r="A22" s="1488" t="s">
        <v>4394</v>
      </c>
      <c r="B22" s="1376" t="s">
        <v>4387</v>
      </c>
      <c r="C22" s="1487" t="s">
        <v>48</v>
      </c>
      <c r="D22" s="1487" t="s">
        <v>48</v>
      </c>
      <c r="E22" s="1487" t="s">
        <v>48</v>
      </c>
      <c r="F22" s="1376" t="s">
        <v>48</v>
      </c>
      <c r="G22" s="1487" t="s">
        <v>48</v>
      </c>
      <c r="H22" s="1487">
        <v>32</v>
      </c>
      <c r="I22" s="1487" t="s">
        <v>1583</v>
      </c>
      <c r="J22" s="986" t="s">
        <v>729</v>
      </c>
      <c r="K22" s="1553"/>
      <c r="L22" s="1711"/>
    </row>
    <row r="23" spans="1:12" ht="82.9" customHeight="1">
      <c r="A23" s="1484" t="s">
        <v>4395</v>
      </c>
      <c r="B23" s="1482" t="s">
        <v>4389</v>
      </c>
      <c r="C23" s="1485" t="s">
        <v>48</v>
      </c>
      <c r="D23" s="1485">
        <v>1</v>
      </c>
      <c r="E23" s="1485">
        <v>255</v>
      </c>
      <c r="F23" s="1484" t="s">
        <v>4396</v>
      </c>
      <c r="G23" s="1">
        <v>255</v>
      </c>
      <c r="H23" s="1485">
        <v>8</v>
      </c>
      <c r="I23" s="1485" t="s">
        <v>743</v>
      </c>
      <c r="J23" s="986" t="s">
        <v>729</v>
      </c>
      <c r="K23" s="1553"/>
      <c r="L23" s="1711"/>
    </row>
    <row r="24" spans="1:12" ht="116.1">
      <c r="A24" s="1006" t="s">
        <v>4397</v>
      </c>
      <c r="B24" s="962" t="s">
        <v>4398</v>
      </c>
      <c r="C24" s="963" t="s">
        <v>48</v>
      </c>
      <c r="D24" s="963">
        <v>0</v>
      </c>
      <c r="E24" s="963">
        <v>255</v>
      </c>
      <c r="F24" s="962" t="s">
        <v>4399</v>
      </c>
      <c r="G24" s="963">
        <v>255</v>
      </c>
      <c r="H24" s="963">
        <v>8</v>
      </c>
      <c r="I24" s="963" t="s">
        <v>743</v>
      </c>
      <c r="J24" s="986" t="s">
        <v>729</v>
      </c>
      <c r="K24" s="1553"/>
      <c r="L24" s="1711"/>
    </row>
    <row r="25" spans="1:12" ht="82.9" customHeight="1">
      <c r="A25" s="1007" t="s">
        <v>4400</v>
      </c>
      <c r="B25" s="966" t="s">
        <v>4401</v>
      </c>
      <c r="C25" s="965" t="s">
        <v>48</v>
      </c>
      <c r="D25" s="965">
        <v>0</v>
      </c>
      <c r="E25" s="965">
        <v>255</v>
      </c>
      <c r="F25" s="966" t="s">
        <v>4402</v>
      </c>
      <c r="G25" s="965">
        <v>255</v>
      </c>
      <c r="H25" s="965">
        <v>8</v>
      </c>
      <c r="I25" s="965" t="s">
        <v>743</v>
      </c>
      <c r="J25" s="986" t="s">
        <v>729</v>
      </c>
      <c r="K25" s="1553"/>
      <c r="L25" s="1711"/>
    </row>
    <row r="26" spans="1:12" ht="77.400000000000006">
      <c r="A26" s="968" t="s">
        <v>4403</v>
      </c>
      <c r="B26" s="751" t="s">
        <v>4404</v>
      </c>
      <c r="C26" s="133" t="s">
        <v>48</v>
      </c>
      <c r="D26" s="133">
        <v>1</v>
      </c>
      <c r="E26" s="133">
        <v>255</v>
      </c>
      <c r="F26" s="751" t="s">
        <v>1580</v>
      </c>
      <c r="G26" s="133">
        <v>255</v>
      </c>
      <c r="H26" s="963">
        <v>8</v>
      </c>
      <c r="I26" s="963" t="s">
        <v>743</v>
      </c>
      <c r="J26" s="986" t="s">
        <v>729</v>
      </c>
      <c r="K26" s="1553"/>
      <c r="L26" s="1711"/>
    </row>
    <row r="27" spans="1:12" ht="41.5" customHeight="1">
      <c r="A27" s="969" t="s">
        <v>4405</v>
      </c>
      <c r="B27" s="970" t="s">
        <v>4406</v>
      </c>
      <c r="C27" s="124" t="s">
        <v>936</v>
      </c>
      <c r="D27" s="124">
        <v>0</v>
      </c>
      <c r="E27" s="124" t="s">
        <v>920</v>
      </c>
      <c r="F27" s="967" t="s">
        <v>4407</v>
      </c>
      <c r="G27" s="120" t="s">
        <v>920</v>
      </c>
      <c r="H27" s="124">
        <v>32</v>
      </c>
      <c r="I27" s="124" t="s">
        <v>922</v>
      </c>
      <c r="J27" s="986" t="s">
        <v>729</v>
      </c>
      <c r="K27" s="1553"/>
      <c r="L27" s="1711"/>
    </row>
    <row r="28" spans="1:12" ht="27.6" customHeight="1">
      <c r="A28" s="1286" t="s">
        <v>4408</v>
      </c>
      <c r="B28" s="1287" t="s">
        <v>4409</v>
      </c>
      <c r="C28" s="1288" t="s">
        <v>48</v>
      </c>
      <c r="D28" s="1288" t="s">
        <v>48</v>
      </c>
      <c r="E28" s="1288" t="s">
        <v>48</v>
      </c>
      <c r="F28" s="1287" t="s">
        <v>48</v>
      </c>
      <c r="G28" s="1288" t="s">
        <v>48</v>
      </c>
      <c r="H28" s="1487">
        <v>8</v>
      </c>
      <c r="I28" s="1288" t="s">
        <v>1547</v>
      </c>
      <c r="J28" s="986" t="s">
        <v>729</v>
      </c>
      <c r="K28" s="1553"/>
      <c r="L28" s="1711"/>
    </row>
    <row r="29" spans="1:12" ht="27.6" customHeight="1">
      <c r="A29" s="1286" t="s">
        <v>4410</v>
      </c>
      <c r="B29" s="1287" t="s">
        <v>4411</v>
      </c>
      <c r="C29" s="1288" t="s">
        <v>48</v>
      </c>
      <c r="D29" s="1288" t="s">
        <v>48</v>
      </c>
      <c r="E29" s="1288" t="s">
        <v>48</v>
      </c>
      <c r="F29" s="1287" t="s">
        <v>48</v>
      </c>
      <c r="G29" s="1288" t="s">
        <v>48</v>
      </c>
      <c r="H29" s="1487">
        <v>8</v>
      </c>
      <c r="I29" s="1288" t="s">
        <v>1547</v>
      </c>
      <c r="J29" s="986" t="s">
        <v>729</v>
      </c>
      <c r="K29" s="1553"/>
      <c r="L29" s="1711"/>
    </row>
    <row r="30" spans="1:12" ht="170.25" customHeight="1">
      <c r="A30" s="1286" t="s">
        <v>4412</v>
      </c>
      <c r="B30" s="1287" t="s">
        <v>4413</v>
      </c>
      <c r="C30" s="1288" t="s">
        <v>48</v>
      </c>
      <c r="D30" s="1288">
        <v>0</v>
      </c>
      <c r="E30" s="1288">
        <v>255</v>
      </c>
      <c r="F30" s="1287" t="s">
        <v>4295</v>
      </c>
      <c r="G30" s="1288">
        <v>255</v>
      </c>
      <c r="H30" s="1487">
        <v>8</v>
      </c>
      <c r="I30" s="1288" t="s">
        <v>743</v>
      </c>
      <c r="J30" s="986" t="s">
        <v>729</v>
      </c>
      <c r="K30" s="1553"/>
      <c r="L30" s="1711"/>
    </row>
    <row r="31" spans="1:12" ht="69" customHeight="1">
      <c r="A31" s="1481" t="s">
        <v>4414</v>
      </c>
      <c r="B31" s="1482" t="s">
        <v>4415</v>
      </c>
      <c r="C31" s="1485" t="s">
        <v>48</v>
      </c>
      <c r="D31" s="1485">
        <v>1</v>
      </c>
      <c r="E31" s="1485">
        <v>255</v>
      </c>
      <c r="F31" s="1482" t="s">
        <v>4416</v>
      </c>
      <c r="G31" s="1485">
        <v>255</v>
      </c>
      <c r="H31" s="1483">
        <v>8</v>
      </c>
      <c r="I31" s="1485" t="s">
        <v>743</v>
      </c>
      <c r="J31" s="986" t="s">
        <v>729</v>
      </c>
      <c r="K31" s="1553"/>
      <c r="L31" s="1711"/>
    </row>
    <row r="32" spans="1:12" ht="25.8">
      <c r="A32" s="1006" t="s">
        <v>4417</v>
      </c>
      <c r="B32" s="962" t="s">
        <v>4418</v>
      </c>
      <c r="C32" s="963" t="s">
        <v>919</v>
      </c>
      <c r="D32" s="963">
        <v>-100</v>
      </c>
      <c r="E32" s="133" t="s">
        <v>920</v>
      </c>
      <c r="F32" s="962" t="s">
        <v>4419</v>
      </c>
      <c r="G32" s="133" t="s">
        <v>920</v>
      </c>
      <c r="H32" s="963">
        <v>32</v>
      </c>
      <c r="I32" s="963" t="s">
        <v>922</v>
      </c>
      <c r="J32" s="986" t="s">
        <v>729</v>
      </c>
      <c r="K32" s="1553"/>
      <c r="L32" s="1711"/>
    </row>
    <row r="33" spans="1:12" ht="27.6" customHeight="1">
      <c r="A33" s="1007" t="s">
        <v>4420</v>
      </c>
      <c r="B33" s="966" t="s">
        <v>4421</v>
      </c>
      <c r="C33" s="965" t="s">
        <v>919</v>
      </c>
      <c r="D33" s="965">
        <v>0</v>
      </c>
      <c r="E33" s="965" t="s">
        <v>920</v>
      </c>
      <c r="F33" s="966" t="s">
        <v>4422</v>
      </c>
      <c r="G33" s="965" t="s">
        <v>920</v>
      </c>
      <c r="H33" s="965">
        <v>32</v>
      </c>
      <c r="I33" s="965" t="s">
        <v>922</v>
      </c>
      <c r="J33" s="986" t="s">
        <v>729</v>
      </c>
      <c r="K33" s="1553"/>
      <c r="L33" s="1711"/>
    </row>
    <row r="34" spans="1:12" ht="25.8">
      <c r="A34" s="1006" t="s">
        <v>4423</v>
      </c>
      <c r="B34" s="962" t="s">
        <v>4424</v>
      </c>
      <c r="C34" s="963" t="s">
        <v>919</v>
      </c>
      <c r="D34" s="963">
        <v>-32</v>
      </c>
      <c r="E34" s="133" t="s">
        <v>920</v>
      </c>
      <c r="F34" s="751" t="s">
        <v>4425</v>
      </c>
      <c r="G34" s="133" t="s">
        <v>920</v>
      </c>
      <c r="H34" s="963">
        <v>32</v>
      </c>
      <c r="I34" s="963" t="s">
        <v>922</v>
      </c>
      <c r="J34" s="986" t="s">
        <v>729</v>
      </c>
      <c r="K34" s="1553"/>
      <c r="L34" s="1711"/>
    </row>
    <row r="35" spans="1:12" ht="27.6" customHeight="1">
      <c r="A35" s="1007" t="s">
        <v>4426</v>
      </c>
      <c r="B35" s="966" t="s">
        <v>4427</v>
      </c>
      <c r="C35" s="965" t="s">
        <v>919</v>
      </c>
      <c r="D35" s="965">
        <v>0</v>
      </c>
      <c r="E35" s="965" t="s">
        <v>920</v>
      </c>
      <c r="F35" s="966" t="s">
        <v>4428</v>
      </c>
      <c r="G35" s="965" t="s">
        <v>920</v>
      </c>
      <c r="H35" s="965">
        <v>32</v>
      </c>
      <c r="I35" s="965" t="s">
        <v>922</v>
      </c>
      <c r="J35" s="986" t="s">
        <v>729</v>
      </c>
      <c r="K35" s="1553"/>
      <c r="L35" s="1711"/>
    </row>
    <row r="36" spans="1:12" ht="25.8">
      <c r="A36" s="1006" t="s">
        <v>4429</v>
      </c>
      <c r="B36" s="962" t="s">
        <v>4430</v>
      </c>
      <c r="C36" s="963" t="s">
        <v>919</v>
      </c>
      <c r="D36" s="963">
        <v>-15</v>
      </c>
      <c r="E36" s="133" t="s">
        <v>920</v>
      </c>
      <c r="F36" s="751" t="s">
        <v>4431</v>
      </c>
      <c r="G36" s="133" t="s">
        <v>920</v>
      </c>
      <c r="H36" s="963">
        <v>32</v>
      </c>
      <c r="I36" s="963" t="s">
        <v>922</v>
      </c>
      <c r="J36" s="986" t="s">
        <v>729</v>
      </c>
      <c r="K36" s="1553"/>
      <c r="L36" s="1711"/>
    </row>
    <row r="37" spans="1:12" ht="27.6" customHeight="1">
      <c r="A37" s="1007" t="s">
        <v>4432</v>
      </c>
      <c r="B37" s="966" t="s">
        <v>4433</v>
      </c>
      <c r="C37" s="965" t="s">
        <v>919</v>
      </c>
      <c r="D37" s="965">
        <v>0</v>
      </c>
      <c r="E37" s="965" t="s">
        <v>920</v>
      </c>
      <c r="F37" s="966" t="s">
        <v>1915</v>
      </c>
      <c r="G37" s="965" t="s">
        <v>920</v>
      </c>
      <c r="H37" s="965">
        <v>32</v>
      </c>
      <c r="I37" s="965" t="s">
        <v>922</v>
      </c>
      <c r="J37" s="986" t="s">
        <v>729</v>
      </c>
      <c r="K37" s="1553"/>
      <c r="L37" s="1711"/>
    </row>
    <row r="38" spans="1:12" ht="25.8">
      <c r="A38" s="1006" t="s">
        <v>4434</v>
      </c>
      <c r="B38" s="962" t="s">
        <v>4435</v>
      </c>
      <c r="C38" s="963" t="s">
        <v>919</v>
      </c>
      <c r="D38" s="963">
        <v>0</v>
      </c>
      <c r="E38" s="133" t="s">
        <v>920</v>
      </c>
      <c r="F38" s="751" t="s">
        <v>4436</v>
      </c>
      <c r="G38" s="133" t="s">
        <v>920</v>
      </c>
      <c r="H38" s="963">
        <v>32</v>
      </c>
      <c r="I38" s="963" t="s">
        <v>922</v>
      </c>
      <c r="J38" s="986" t="s">
        <v>729</v>
      </c>
      <c r="K38" s="1553"/>
      <c r="L38" s="1711"/>
    </row>
    <row r="39" spans="1:12" ht="27.6" customHeight="1">
      <c r="A39" s="1007" t="s">
        <v>4437</v>
      </c>
      <c r="B39" s="966" t="s">
        <v>4438</v>
      </c>
      <c r="C39" s="965" t="s">
        <v>919</v>
      </c>
      <c r="D39" s="965">
        <v>0</v>
      </c>
      <c r="E39" s="965" t="s">
        <v>920</v>
      </c>
      <c r="F39" s="966" t="s">
        <v>4436</v>
      </c>
      <c r="G39" s="965" t="s">
        <v>920</v>
      </c>
      <c r="H39" s="965">
        <v>32</v>
      </c>
      <c r="I39" s="965" t="s">
        <v>922</v>
      </c>
      <c r="J39" s="986" t="s">
        <v>729</v>
      </c>
      <c r="K39" s="1553"/>
      <c r="L39" s="1711"/>
    </row>
    <row r="40" spans="1:12" ht="25.8">
      <c r="A40" s="993" t="s">
        <v>4439</v>
      </c>
      <c r="B40" s="987" t="s">
        <v>4440</v>
      </c>
      <c r="C40" s="988" t="s">
        <v>919</v>
      </c>
      <c r="D40" s="988">
        <v>0</v>
      </c>
      <c r="E40" s="301" t="s">
        <v>920</v>
      </c>
      <c r="F40" s="989" t="s">
        <v>4436</v>
      </c>
      <c r="G40" s="301" t="s">
        <v>920</v>
      </c>
      <c r="H40" s="988">
        <v>32</v>
      </c>
      <c r="I40" s="988" t="s">
        <v>922</v>
      </c>
      <c r="J40" s="990" t="s">
        <v>729</v>
      </c>
      <c r="K40" s="1553"/>
      <c r="L40" s="1711"/>
    </row>
    <row r="41" spans="1:12" ht="27.6" customHeight="1">
      <c r="A41" s="1006" t="s">
        <v>4441</v>
      </c>
      <c r="B41" s="962" t="s">
        <v>4442</v>
      </c>
      <c r="C41" s="963" t="s">
        <v>919</v>
      </c>
      <c r="D41" s="963">
        <v>0</v>
      </c>
      <c r="E41" s="963" t="s">
        <v>920</v>
      </c>
      <c r="F41" s="962" t="s">
        <v>4436</v>
      </c>
      <c r="G41" s="963" t="s">
        <v>920</v>
      </c>
      <c r="H41" s="963">
        <v>32</v>
      </c>
      <c r="I41" s="963" t="s">
        <v>922</v>
      </c>
      <c r="J41" s="963" t="s">
        <v>729</v>
      </c>
      <c r="K41" s="1699"/>
      <c r="L41" s="1711"/>
    </row>
  </sheetData>
  <mergeCells count="7">
    <mergeCell ref="K11:K41"/>
    <mergeCell ref="L11:L41"/>
    <mergeCell ref="C1:D1"/>
    <mergeCell ref="A2:B2"/>
    <mergeCell ref="K4:K10"/>
    <mergeCell ref="L4:L10"/>
    <mergeCell ref="C2:I2"/>
  </mergeCells>
  <hyperlinks>
    <hyperlink ref="L1" location="'AVI_Traffic_Signs_Debug'!A1" display="AVI_Traffic_Signs_Debug" xr:uid="{08C4F723-82FE-45AD-BA28-0B2727D18166}"/>
    <hyperlink ref="I1" location="'Revision Map'!A1" display="INDEX" xr:uid="{79D5CE66-1EAE-4A3D-8738-701150870F51}"/>
    <hyperlink ref="J1" location="'Cross-FCN_Definitions'!A1" display="Cross-FCN_Definitions" xr:uid="{7971BFDC-02D8-4D79-A435-C75BD9B7B343}"/>
    <hyperlink ref="K1" location="Aptiv_Traffic_Info_Enum!A1" display="AVI_Traffic_Info_Enum" xr:uid="{CFF955FB-78C3-483C-A31A-4FDE76F0E53E}"/>
  </hyperlinks>
  <pageMargins left="0.7" right="0.7" top="0.75" bottom="0.75" header="0.3" footer="0.3"/>
  <pageSetup paperSize="9" orientation="portrait" r:id="rId1"/>
  <headerFooter>
    <oddFooter>&amp;C_x000D_&amp;1#&amp;"Calibri"&amp;11&amp;KFF0000 Internal</oddFooter>
  </headerFooter>
  <tableParts count="1">
    <tablePart r:id="rId2"/>
  </tablePart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
  <dimension ref="A1:E72"/>
  <sheetViews>
    <sheetView workbookViewId="0">
      <pane ySplit="1" topLeftCell="A65" activePane="bottomLeft" state="frozen"/>
      <selection activeCell="C22" activeCellId="1" sqref="A1:AS1 C22"/>
      <selection pane="bottomLeft" activeCell="B72" sqref="B72"/>
    </sheetView>
  </sheetViews>
  <sheetFormatPr defaultColWidth="9.15625" defaultRowHeight="14.4"/>
  <cols>
    <col min="1" max="1" width="10.26171875" style="1014" bestFit="1" customWidth="1"/>
    <col min="2" max="2" width="9.83984375" style="40" bestFit="1" customWidth="1"/>
    <col min="3" max="3" width="55.15625" style="2" customWidth="1"/>
    <col min="4" max="4" width="22.26171875" bestFit="1" customWidth="1"/>
    <col min="5" max="5" width="10.15625" customWidth="1"/>
  </cols>
  <sheetData>
    <row r="1" spans="1:5">
      <c r="A1" s="1014" t="s">
        <v>644</v>
      </c>
      <c r="B1" s="40" t="s">
        <v>645</v>
      </c>
      <c r="C1" s="2" t="s">
        <v>646</v>
      </c>
      <c r="D1" t="s">
        <v>647</v>
      </c>
      <c r="E1" t="s">
        <v>648</v>
      </c>
    </row>
    <row r="2" spans="1:5" ht="43.2">
      <c r="A2" s="1010" t="s">
        <v>655</v>
      </c>
      <c r="B2" s="51">
        <v>44138</v>
      </c>
      <c r="C2" s="576" t="s">
        <v>4443</v>
      </c>
      <c r="D2" s="5" t="s">
        <v>650</v>
      </c>
      <c r="E2" s="5" t="s">
        <v>655</v>
      </c>
    </row>
    <row r="3" spans="1:5" ht="28.8">
      <c r="A3" s="1010" t="s">
        <v>655</v>
      </c>
      <c r="B3" s="51">
        <v>43942</v>
      </c>
      <c r="C3" s="576" t="s">
        <v>4444</v>
      </c>
      <c r="D3" s="5" t="s">
        <v>650</v>
      </c>
      <c r="E3" s="5" t="s">
        <v>655</v>
      </c>
    </row>
    <row r="4" spans="1:5" ht="28.8">
      <c r="A4" s="1010" t="s">
        <v>655</v>
      </c>
      <c r="B4" s="51">
        <v>43944</v>
      </c>
      <c r="C4" s="576" t="s">
        <v>4445</v>
      </c>
      <c r="D4" s="5" t="s">
        <v>650</v>
      </c>
      <c r="E4" s="5" t="s">
        <v>655</v>
      </c>
    </row>
    <row r="5" spans="1:5" ht="28.8">
      <c r="A5" s="1010" t="s">
        <v>655</v>
      </c>
      <c r="B5" s="51">
        <v>43951</v>
      </c>
      <c r="C5" s="576" t="s">
        <v>4446</v>
      </c>
      <c r="D5" s="5" t="s">
        <v>650</v>
      </c>
      <c r="E5" s="5" t="s">
        <v>655</v>
      </c>
    </row>
    <row r="6" spans="1:5" ht="28.8">
      <c r="A6" s="1010" t="s">
        <v>655</v>
      </c>
      <c r="B6" s="51">
        <v>43972</v>
      </c>
      <c r="C6" s="576" t="s">
        <v>4447</v>
      </c>
      <c r="D6" s="5" t="s">
        <v>650</v>
      </c>
      <c r="E6" s="5" t="s">
        <v>655</v>
      </c>
    </row>
    <row r="7" spans="1:5" ht="28.8">
      <c r="A7" s="1010" t="s">
        <v>655</v>
      </c>
      <c r="B7" s="51">
        <v>44011</v>
      </c>
      <c r="C7" s="576" t="s">
        <v>4448</v>
      </c>
      <c r="D7" s="5" t="s">
        <v>650</v>
      </c>
      <c r="E7" s="5" t="s">
        <v>655</v>
      </c>
    </row>
    <row r="8" spans="1:5" ht="61.5" customHeight="1">
      <c r="A8" s="1010" t="s">
        <v>655</v>
      </c>
      <c r="B8" s="175">
        <v>44022</v>
      </c>
      <c r="C8" s="576" t="s">
        <v>4449</v>
      </c>
      <c r="D8" s="5" t="s">
        <v>650</v>
      </c>
      <c r="E8" s="5" t="s">
        <v>651</v>
      </c>
    </row>
    <row r="9" spans="1:5" ht="43.2">
      <c r="A9" s="1010" t="s">
        <v>4450</v>
      </c>
      <c r="B9" s="51">
        <v>44082</v>
      </c>
      <c r="C9" s="576" t="s">
        <v>4451</v>
      </c>
      <c r="D9" s="5" t="s">
        <v>650</v>
      </c>
      <c r="E9" s="5" t="s">
        <v>651</v>
      </c>
    </row>
    <row r="10" spans="1:5" ht="43.2">
      <c r="A10" s="1010" t="s">
        <v>652</v>
      </c>
      <c r="B10" s="51">
        <v>44210</v>
      </c>
      <c r="C10" s="583" t="s">
        <v>4452</v>
      </c>
      <c r="D10" s="5" t="s">
        <v>1341</v>
      </c>
      <c r="E10" s="5"/>
    </row>
    <row r="11" spans="1:5" ht="43.2">
      <c r="A11" s="1010" t="s">
        <v>656</v>
      </c>
      <c r="B11" s="51">
        <v>44260</v>
      </c>
      <c r="C11" s="582" t="s">
        <v>4453</v>
      </c>
      <c r="D11" s="5" t="s">
        <v>1343</v>
      </c>
      <c r="E11" s="5"/>
    </row>
    <row r="12" spans="1:5">
      <c r="A12" s="1010">
        <v>2</v>
      </c>
      <c r="B12" s="51">
        <v>44284</v>
      </c>
      <c r="C12" s="576" t="s">
        <v>4454</v>
      </c>
      <c r="D12" s="5" t="s">
        <v>796</v>
      </c>
      <c r="E12" s="5" t="s">
        <v>661</v>
      </c>
    </row>
    <row r="13" spans="1:5">
      <c r="A13" s="1010">
        <v>2</v>
      </c>
      <c r="B13" s="51">
        <v>44307</v>
      </c>
      <c r="C13" s="576" t="s">
        <v>4455</v>
      </c>
      <c r="D13" s="5" t="s">
        <v>796</v>
      </c>
      <c r="E13" s="5"/>
    </row>
    <row r="14" spans="1:5" ht="28.8">
      <c r="A14" s="1010" t="s">
        <v>663</v>
      </c>
      <c r="B14" s="51">
        <v>44334</v>
      </c>
      <c r="C14" s="576" t="s">
        <v>4456</v>
      </c>
      <c r="D14" s="5" t="s">
        <v>658</v>
      </c>
      <c r="E14" s="5" t="s">
        <v>655</v>
      </c>
    </row>
    <row r="15" spans="1:5">
      <c r="A15" s="1010" t="s">
        <v>2694</v>
      </c>
      <c r="B15" s="51">
        <v>44335</v>
      </c>
      <c r="C15" s="576" t="s">
        <v>4457</v>
      </c>
      <c r="D15" s="5" t="s">
        <v>658</v>
      </c>
      <c r="E15" s="5" t="s">
        <v>655</v>
      </c>
    </row>
    <row r="16" spans="1:5">
      <c r="A16" s="1010" t="s">
        <v>2695</v>
      </c>
      <c r="B16" s="51">
        <v>44335</v>
      </c>
      <c r="C16" s="576" t="s">
        <v>1680</v>
      </c>
      <c r="D16" s="5" t="s">
        <v>658</v>
      </c>
      <c r="E16" s="5" t="s">
        <v>655</v>
      </c>
    </row>
    <row r="17" spans="1:5">
      <c r="A17" s="1010">
        <v>3</v>
      </c>
      <c r="B17" s="51">
        <v>44335</v>
      </c>
      <c r="C17" s="576"/>
      <c r="D17" s="5" t="s">
        <v>658</v>
      </c>
      <c r="E17" s="5" t="s">
        <v>651</v>
      </c>
    </row>
    <row r="18" spans="1:5">
      <c r="A18" s="1010">
        <v>3</v>
      </c>
      <c r="B18" s="51">
        <v>44341</v>
      </c>
      <c r="C18" s="576"/>
      <c r="D18" s="5" t="s">
        <v>654</v>
      </c>
      <c r="E18" s="5" t="s">
        <v>661</v>
      </c>
    </row>
    <row r="19" spans="1:5" ht="43.2">
      <c r="A19" s="1010" t="s">
        <v>668</v>
      </c>
      <c r="B19" s="51">
        <v>44378</v>
      </c>
      <c r="C19" s="576" t="s">
        <v>4458</v>
      </c>
      <c r="D19" s="5" t="s">
        <v>796</v>
      </c>
      <c r="E19" s="5" t="s">
        <v>655</v>
      </c>
    </row>
    <row r="20" spans="1:5">
      <c r="A20" s="1010">
        <v>4</v>
      </c>
      <c r="B20" s="51">
        <v>44449</v>
      </c>
      <c r="C20" s="576"/>
      <c r="D20" s="5" t="s">
        <v>796</v>
      </c>
      <c r="E20" s="5" t="s">
        <v>651</v>
      </c>
    </row>
    <row r="21" spans="1:5">
      <c r="A21" s="1010">
        <v>4</v>
      </c>
      <c r="B21" s="51">
        <v>44452</v>
      </c>
      <c r="C21" s="576" t="s">
        <v>1345</v>
      </c>
      <c r="D21" s="5" t="s">
        <v>654</v>
      </c>
      <c r="E21" s="5" t="s">
        <v>661</v>
      </c>
    </row>
    <row r="22" spans="1:5" ht="57.6">
      <c r="A22" s="1010" t="s">
        <v>688</v>
      </c>
      <c r="B22" s="51">
        <v>44671</v>
      </c>
      <c r="C22" s="576" t="s">
        <v>4459</v>
      </c>
      <c r="D22" s="5" t="s">
        <v>658</v>
      </c>
      <c r="E22" s="5" t="s">
        <v>655</v>
      </c>
    </row>
    <row r="23" spans="1:5" ht="43.2">
      <c r="A23" s="1010" t="s">
        <v>1364</v>
      </c>
      <c r="B23" s="51">
        <v>44686</v>
      </c>
      <c r="C23" s="576" t="s">
        <v>4460</v>
      </c>
      <c r="D23" s="5" t="s">
        <v>658</v>
      </c>
      <c r="E23" s="5" t="s">
        <v>655</v>
      </c>
    </row>
    <row r="24" spans="1:5">
      <c r="A24" s="1010" t="s">
        <v>1364</v>
      </c>
      <c r="B24" s="51">
        <v>44691</v>
      </c>
      <c r="C24" s="576" t="s">
        <v>999</v>
      </c>
      <c r="D24" s="5" t="s">
        <v>654</v>
      </c>
      <c r="E24" s="5" t="s">
        <v>655</v>
      </c>
    </row>
    <row r="25" spans="1:5">
      <c r="A25" s="1010" t="s">
        <v>1367</v>
      </c>
      <c r="B25" s="51">
        <v>44691</v>
      </c>
      <c r="C25" s="576" t="s">
        <v>4461</v>
      </c>
      <c r="D25" s="5" t="s">
        <v>658</v>
      </c>
      <c r="E25" s="5" t="s">
        <v>655</v>
      </c>
    </row>
    <row r="26" spans="1:5">
      <c r="A26" s="1010">
        <v>5</v>
      </c>
      <c r="B26" s="51">
        <v>44691</v>
      </c>
      <c r="C26" s="576"/>
      <c r="D26" s="5" t="s">
        <v>658</v>
      </c>
      <c r="E26" s="5" t="s">
        <v>651</v>
      </c>
    </row>
    <row r="27" spans="1:5" ht="86.4">
      <c r="A27" s="1010" t="s">
        <v>693</v>
      </c>
      <c r="B27" s="51">
        <v>44693</v>
      </c>
      <c r="C27" s="576" t="s">
        <v>4462</v>
      </c>
      <c r="D27" s="5" t="s">
        <v>658</v>
      </c>
      <c r="E27" s="5" t="s">
        <v>655</v>
      </c>
    </row>
    <row r="28" spans="1:5">
      <c r="A28" s="1010" t="s">
        <v>1376</v>
      </c>
      <c r="B28" s="51">
        <v>44693</v>
      </c>
      <c r="C28" s="576" t="s">
        <v>4463</v>
      </c>
      <c r="D28" s="5" t="s">
        <v>658</v>
      </c>
      <c r="E28" s="5" t="s">
        <v>655</v>
      </c>
    </row>
    <row r="29" spans="1:5">
      <c r="A29" s="1010" t="s">
        <v>1376</v>
      </c>
      <c r="B29" s="51">
        <v>44693</v>
      </c>
      <c r="C29" s="576" t="s">
        <v>1352</v>
      </c>
      <c r="D29" s="5" t="s">
        <v>654</v>
      </c>
      <c r="E29" s="5" t="s">
        <v>655</v>
      </c>
    </row>
    <row r="30" spans="1:5">
      <c r="A30" s="1010" t="s">
        <v>4464</v>
      </c>
      <c r="B30" s="51">
        <v>44693</v>
      </c>
      <c r="C30" s="576" t="s">
        <v>4465</v>
      </c>
      <c r="D30" s="5" t="s">
        <v>658</v>
      </c>
      <c r="E30" s="5" t="s">
        <v>655</v>
      </c>
    </row>
    <row r="31" spans="1:5">
      <c r="A31" s="1010" t="s">
        <v>4466</v>
      </c>
      <c r="B31" s="51">
        <v>44694</v>
      </c>
      <c r="C31" s="576" t="s">
        <v>4467</v>
      </c>
      <c r="D31" s="5" t="s">
        <v>658</v>
      </c>
      <c r="E31" s="5" t="s">
        <v>655</v>
      </c>
    </row>
    <row r="32" spans="1:5" ht="28.8">
      <c r="A32" s="1010" t="s">
        <v>4468</v>
      </c>
      <c r="B32" s="51">
        <v>44704</v>
      </c>
      <c r="C32" s="576" t="s">
        <v>4469</v>
      </c>
      <c r="D32" s="5" t="s">
        <v>658</v>
      </c>
      <c r="E32" s="5" t="s">
        <v>655</v>
      </c>
    </row>
    <row r="33" spans="1:5">
      <c r="A33" s="1010" t="s">
        <v>4470</v>
      </c>
      <c r="B33" s="51">
        <v>44706</v>
      </c>
      <c r="C33" s="576" t="s">
        <v>1357</v>
      </c>
      <c r="D33" s="5" t="s">
        <v>658</v>
      </c>
      <c r="E33" s="5" t="s">
        <v>655</v>
      </c>
    </row>
    <row r="34" spans="1:5">
      <c r="A34" s="1010" t="s">
        <v>4470</v>
      </c>
      <c r="B34" s="51">
        <v>44711</v>
      </c>
      <c r="C34" s="576" t="s">
        <v>3205</v>
      </c>
      <c r="D34" s="5" t="s">
        <v>654</v>
      </c>
      <c r="E34" s="5" t="s">
        <v>655</v>
      </c>
    </row>
    <row r="35" spans="1:5">
      <c r="A35" s="1010" t="s">
        <v>698</v>
      </c>
      <c r="B35" s="51">
        <v>44711</v>
      </c>
      <c r="C35" s="576" t="s">
        <v>4471</v>
      </c>
      <c r="D35" s="5" t="s">
        <v>658</v>
      </c>
      <c r="E35" s="5" t="s">
        <v>651</v>
      </c>
    </row>
    <row r="36" spans="1:5" ht="43.2">
      <c r="A36" s="1010" t="s">
        <v>1759</v>
      </c>
      <c r="B36" s="51">
        <v>44711</v>
      </c>
      <c r="C36" s="576" t="s">
        <v>4472</v>
      </c>
      <c r="D36" s="5" t="s">
        <v>658</v>
      </c>
      <c r="E36" s="5" t="s">
        <v>655</v>
      </c>
    </row>
    <row r="37" spans="1:5" ht="28.8">
      <c r="A37" s="1010">
        <v>7</v>
      </c>
      <c r="B37" s="51">
        <v>44711</v>
      </c>
      <c r="C37" s="576" t="s">
        <v>4473</v>
      </c>
      <c r="D37" s="5" t="s">
        <v>658</v>
      </c>
      <c r="E37" s="5" t="s">
        <v>651</v>
      </c>
    </row>
    <row r="38" spans="1:5">
      <c r="A38" s="1010">
        <v>7</v>
      </c>
      <c r="B38" s="51">
        <v>44719</v>
      </c>
      <c r="C38" s="576" t="s">
        <v>660</v>
      </c>
      <c r="D38" s="5" t="s">
        <v>654</v>
      </c>
      <c r="E38" s="5" t="s">
        <v>661</v>
      </c>
    </row>
    <row r="39" spans="1:5" ht="187.2">
      <c r="A39" s="1010" t="s">
        <v>59</v>
      </c>
      <c r="B39" s="51">
        <v>44729</v>
      </c>
      <c r="C39" s="576" t="s">
        <v>4474</v>
      </c>
      <c r="D39" s="5" t="s">
        <v>658</v>
      </c>
      <c r="E39" s="5" t="s">
        <v>655</v>
      </c>
    </row>
    <row r="40" spans="1:5">
      <c r="A40" s="1010" t="s">
        <v>59</v>
      </c>
      <c r="B40" s="51">
        <v>44741</v>
      </c>
      <c r="C40" s="646" t="s">
        <v>4475</v>
      </c>
      <c r="D40" s="5" t="s">
        <v>654</v>
      </c>
      <c r="E40" s="5" t="s">
        <v>655</v>
      </c>
    </row>
    <row r="41" spans="1:5" ht="43.2">
      <c r="A41" s="1010" t="s">
        <v>1762</v>
      </c>
      <c r="B41" s="51">
        <v>44742</v>
      </c>
      <c r="C41" s="576" t="s">
        <v>4476</v>
      </c>
      <c r="D41" s="5" t="s">
        <v>658</v>
      </c>
      <c r="E41" s="5" t="s">
        <v>655</v>
      </c>
    </row>
    <row r="42" spans="1:5" ht="28.8">
      <c r="A42" s="1010" t="s">
        <v>1454</v>
      </c>
      <c r="B42" s="51">
        <v>44742</v>
      </c>
      <c r="C42" s="576" t="s">
        <v>4477</v>
      </c>
      <c r="D42" s="5" t="s">
        <v>658</v>
      </c>
      <c r="E42" s="5" t="s">
        <v>651</v>
      </c>
    </row>
    <row r="43" spans="1:5">
      <c r="A43" s="1010">
        <v>8</v>
      </c>
      <c r="B43" s="51">
        <v>44742</v>
      </c>
      <c r="C43" s="576" t="s">
        <v>667</v>
      </c>
      <c r="D43" s="5" t="s">
        <v>654</v>
      </c>
      <c r="E43" s="5" t="s">
        <v>661</v>
      </c>
    </row>
    <row r="44" spans="1:5">
      <c r="A44" s="1010">
        <v>8</v>
      </c>
      <c r="B44" s="51">
        <v>44789</v>
      </c>
      <c r="C44" s="576" t="s">
        <v>4478</v>
      </c>
      <c r="D44" s="5" t="s">
        <v>796</v>
      </c>
      <c r="E44" s="5" t="s">
        <v>655</v>
      </c>
    </row>
    <row r="45" spans="1:5">
      <c r="A45" s="1010" t="s">
        <v>62</v>
      </c>
      <c r="B45" s="51">
        <v>44804</v>
      </c>
      <c r="C45" s="576" t="s">
        <v>4479</v>
      </c>
      <c r="D45" s="5" t="s">
        <v>658</v>
      </c>
      <c r="E45" s="5" t="s">
        <v>655</v>
      </c>
    </row>
    <row r="46" spans="1:5" ht="28.8">
      <c r="A46" s="1010" t="s">
        <v>64</v>
      </c>
      <c r="B46" s="191">
        <v>44895</v>
      </c>
      <c r="C46" s="594" t="s">
        <v>1363</v>
      </c>
      <c r="D46" s="595" t="s">
        <v>683</v>
      </c>
      <c r="E46" s="596" t="s">
        <v>655</v>
      </c>
    </row>
    <row r="47" spans="1:5">
      <c r="A47" s="1010" t="s">
        <v>4480</v>
      </c>
      <c r="B47" s="51">
        <v>44899</v>
      </c>
      <c r="C47" s="576" t="s">
        <v>4481</v>
      </c>
      <c r="D47" s="5" t="s">
        <v>654</v>
      </c>
      <c r="E47" s="5" t="s">
        <v>655</v>
      </c>
    </row>
    <row r="48" spans="1:5">
      <c r="A48" s="1010" t="s">
        <v>4482</v>
      </c>
      <c r="B48" s="51">
        <v>44900</v>
      </c>
      <c r="C48" s="576" t="s">
        <v>4483</v>
      </c>
      <c r="D48" s="5" t="s">
        <v>654</v>
      </c>
      <c r="E48" s="5" t="s">
        <v>695</v>
      </c>
    </row>
    <row r="49" spans="1:5">
      <c r="A49" s="1010" t="s">
        <v>4482</v>
      </c>
      <c r="B49" s="188">
        <v>44903</v>
      </c>
      <c r="C49" s="576" t="s">
        <v>1599</v>
      </c>
      <c r="D49" s="5" t="s">
        <v>676</v>
      </c>
      <c r="E49" s="5" t="s">
        <v>655</v>
      </c>
    </row>
    <row r="50" spans="1:5" ht="28.8">
      <c r="A50" s="1010" t="s">
        <v>4484</v>
      </c>
      <c r="B50" s="51">
        <v>44903</v>
      </c>
      <c r="C50" s="576" t="s">
        <v>4485</v>
      </c>
      <c r="D50" s="5" t="s">
        <v>683</v>
      </c>
      <c r="E50" s="5" t="s">
        <v>655</v>
      </c>
    </row>
    <row r="51" spans="1:5">
      <c r="A51" s="1010" t="s">
        <v>4484</v>
      </c>
      <c r="B51" s="51">
        <v>44914</v>
      </c>
      <c r="C51" s="576" t="s">
        <v>3210</v>
      </c>
      <c r="D51" s="5" t="s">
        <v>1627</v>
      </c>
      <c r="E51" s="5" t="s">
        <v>655</v>
      </c>
    </row>
    <row r="52" spans="1:5">
      <c r="A52" s="1010" t="s">
        <v>4484</v>
      </c>
      <c r="B52" s="51">
        <v>44937</v>
      </c>
      <c r="C52" s="607" t="s">
        <v>677</v>
      </c>
      <c r="D52" s="5" t="s">
        <v>678</v>
      </c>
      <c r="E52" s="5" t="s">
        <v>655</v>
      </c>
    </row>
    <row r="53" spans="1:5">
      <c r="A53" s="1021" t="s">
        <v>4486</v>
      </c>
      <c r="B53" s="638">
        <v>44945</v>
      </c>
      <c r="C53" s="639" t="s">
        <v>1373</v>
      </c>
      <c r="D53" s="640" t="s">
        <v>1001</v>
      </c>
      <c r="E53" s="641" t="s">
        <v>655</v>
      </c>
    </row>
    <row r="54" spans="1:5">
      <c r="A54" s="1010" t="s">
        <v>4486</v>
      </c>
      <c r="B54" s="51">
        <v>44956</v>
      </c>
      <c r="C54" s="576" t="s">
        <v>4487</v>
      </c>
      <c r="D54" s="5" t="s">
        <v>658</v>
      </c>
      <c r="E54" s="5" t="s">
        <v>655</v>
      </c>
    </row>
    <row r="55" spans="1:5">
      <c r="A55" s="1010" t="s">
        <v>4488</v>
      </c>
      <c r="B55" s="51">
        <v>44957</v>
      </c>
      <c r="C55" s="576" t="s">
        <v>4489</v>
      </c>
      <c r="D55" s="5" t="s">
        <v>685</v>
      </c>
      <c r="E55" s="5" t="s">
        <v>655</v>
      </c>
    </row>
    <row r="56" spans="1:5">
      <c r="A56" s="1010" t="s">
        <v>4488</v>
      </c>
      <c r="B56" s="51">
        <v>44957</v>
      </c>
      <c r="C56" s="576" t="s">
        <v>4487</v>
      </c>
      <c r="D56" s="5" t="s">
        <v>658</v>
      </c>
      <c r="E56" s="5" t="s">
        <v>655</v>
      </c>
    </row>
    <row r="57" spans="1:5" ht="28.8">
      <c r="A57" s="1010" t="s">
        <v>1382</v>
      </c>
      <c r="B57" s="51">
        <v>44957</v>
      </c>
      <c r="C57" s="576" t="s">
        <v>4490</v>
      </c>
      <c r="D57" s="5" t="s">
        <v>685</v>
      </c>
      <c r="E57" s="5" t="s">
        <v>651</v>
      </c>
    </row>
    <row r="58" spans="1:5">
      <c r="A58" s="1010">
        <v>9</v>
      </c>
      <c r="B58" s="51">
        <v>44957</v>
      </c>
      <c r="C58" s="5" t="s">
        <v>687</v>
      </c>
      <c r="D58" s="5" t="s">
        <v>676</v>
      </c>
      <c r="E58" s="5" t="s">
        <v>661</v>
      </c>
    </row>
    <row r="59" spans="1:5" ht="28.8">
      <c r="A59" s="1010">
        <v>10</v>
      </c>
      <c r="B59" s="51">
        <v>44967</v>
      </c>
      <c r="C59" s="576" t="s">
        <v>4491</v>
      </c>
      <c r="D59" s="5" t="s">
        <v>685</v>
      </c>
      <c r="E59" s="5" t="s">
        <v>651</v>
      </c>
    </row>
    <row r="60" spans="1:5">
      <c r="A60" s="1010">
        <v>10</v>
      </c>
      <c r="B60" s="51">
        <v>44970</v>
      </c>
      <c r="C60" s="576" t="s">
        <v>691</v>
      </c>
      <c r="D60" s="5" t="s">
        <v>676</v>
      </c>
      <c r="E60" s="5" t="s">
        <v>661</v>
      </c>
    </row>
    <row r="61" spans="1:5" ht="28.8">
      <c r="A61" s="1010">
        <v>11</v>
      </c>
      <c r="B61" s="51">
        <v>44994</v>
      </c>
      <c r="C61" s="576" t="s">
        <v>4492</v>
      </c>
      <c r="D61" s="5" t="s">
        <v>683</v>
      </c>
      <c r="E61" s="5" t="s">
        <v>651</v>
      </c>
    </row>
    <row r="62" spans="1:5">
      <c r="A62" s="1010">
        <v>11</v>
      </c>
      <c r="B62" s="191">
        <v>44998</v>
      </c>
      <c r="C62" s="2" t="s">
        <v>692</v>
      </c>
      <c r="D62" s="5" t="s">
        <v>678</v>
      </c>
      <c r="E62" s="5" t="s">
        <v>661</v>
      </c>
    </row>
    <row r="63" spans="1:5" ht="43.2">
      <c r="A63" s="1010" t="s">
        <v>2051</v>
      </c>
      <c r="B63" s="51">
        <v>45068</v>
      </c>
      <c r="C63" s="576" t="s">
        <v>4493</v>
      </c>
      <c r="D63" s="5" t="s">
        <v>685</v>
      </c>
      <c r="E63" s="5" t="s">
        <v>695</v>
      </c>
    </row>
    <row r="64" spans="1:5">
      <c r="A64" s="1010" t="s">
        <v>2051</v>
      </c>
      <c r="B64" s="51">
        <v>45069</v>
      </c>
      <c r="C64" s="576" t="s">
        <v>4494</v>
      </c>
      <c r="D64" s="5" t="s">
        <v>697</v>
      </c>
      <c r="E64" s="5" t="s">
        <v>655</v>
      </c>
    </row>
    <row r="65" spans="1:5">
      <c r="A65" s="1010" t="s">
        <v>2052</v>
      </c>
      <c r="B65" s="51">
        <v>45069</v>
      </c>
      <c r="C65" s="576" t="s">
        <v>4495</v>
      </c>
      <c r="D65" s="5" t="s">
        <v>685</v>
      </c>
      <c r="E65" s="5" t="s">
        <v>695</v>
      </c>
    </row>
    <row r="66" spans="1:5">
      <c r="A66" s="1010" t="s">
        <v>2052</v>
      </c>
      <c r="B66" s="51">
        <v>45069</v>
      </c>
      <c r="C66" s="576" t="s">
        <v>4020</v>
      </c>
      <c r="D66" s="5" t="s">
        <v>697</v>
      </c>
      <c r="E66" s="5" t="s">
        <v>655</v>
      </c>
    </row>
    <row r="67" spans="1:5">
      <c r="A67" s="1010" t="s">
        <v>4496</v>
      </c>
      <c r="B67" s="51">
        <v>45076</v>
      </c>
      <c r="C67" s="576" t="s">
        <v>4497</v>
      </c>
      <c r="D67" s="5" t="s">
        <v>685</v>
      </c>
      <c r="E67" s="5" t="s">
        <v>695</v>
      </c>
    </row>
    <row r="68" spans="1:5">
      <c r="A68" s="1010" t="s">
        <v>4498</v>
      </c>
      <c r="B68" s="51">
        <v>45077</v>
      </c>
      <c r="C68" s="576" t="s">
        <v>4487</v>
      </c>
      <c r="D68" s="5" t="s">
        <v>658</v>
      </c>
      <c r="E68" s="5" t="s">
        <v>655</v>
      </c>
    </row>
    <row r="69" spans="1:5" ht="28.8">
      <c r="A69" s="1010" t="s">
        <v>2053</v>
      </c>
      <c r="B69" s="51">
        <v>45077</v>
      </c>
      <c r="C69" s="576" t="s">
        <v>4499</v>
      </c>
      <c r="D69" s="5" t="s">
        <v>685</v>
      </c>
      <c r="E69" s="5" t="s">
        <v>651</v>
      </c>
    </row>
    <row r="70" spans="1:5">
      <c r="A70" s="1010" t="s">
        <v>2053</v>
      </c>
      <c r="B70" s="191">
        <v>45078</v>
      </c>
      <c r="C70" s="5" t="s">
        <v>699</v>
      </c>
      <c r="D70" s="5" t="s">
        <v>678</v>
      </c>
      <c r="E70" s="5" t="s">
        <v>661</v>
      </c>
    </row>
    <row r="71" spans="1:5">
      <c r="A71" s="1010" t="s">
        <v>2053</v>
      </c>
      <c r="B71" s="191">
        <v>45097</v>
      </c>
      <c r="C71" s="5" t="s">
        <v>700</v>
      </c>
      <c r="D71" s="5" t="s">
        <v>678</v>
      </c>
      <c r="E71" s="5" t="s">
        <v>661</v>
      </c>
    </row>
    <row r="72" spans="1:5">
      <c r="A72" s="1010" t="s">
        <v>2053</v>
      </c>
      <c r="B72" s="1065">
        <v>45205</v>
      </c>
      <c r="C72" s="595" t="s">
        <v>701</v>
      </c>
      <c r="D72" s="595" t="s">
        <v>678</v>
      </c>
      <c r="E72" s="596" t="s">
        <v>661</v>
      </c>
    </row>
  </sheetData>
  <pageMargins left="0.7" right="0.7" top="0.75" bottom="0.75" header="0.3" footer="0.3"/>
  <headerFooter>
    <oddFooter>&amp;C_x000D_&amp;1#&amp;"Calibri"&amp;11&amp;KFF0000 Internal</oddFooter>
  </headerFooter>
  <tableParts count="1">
    <tablePart r:id="rId1"/>
  </tablePart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306A9-E2B0-47C2-9C22-0426B76B7B26}">
  <sheetPr codeName="Sheet98"/>
  <dimension ref="A1:L6"/>
  <sheetViews>
    <sheetView workbookViewId="0">
      <selection activeCell="I5" sqref="I5"/>
    </sheetView>
  </sheetViews>
  <sheetFormatPr defaultColWidth="9.15625" defaultRowHeight="14.4"/>
  <cols>
    <col min="1" max="1" width="36.578125" bestFit="1" customWidth="1"/>
    <col min="2" max="2" width="35.15625" customWidth="1"/>
    <col min="6" max="6" width="18.83984375" customWidth="1"/>
    <col min="9" max="9" width="22.26171875" customWidth="1"/>
    <col min="10" max="10" width="17" customWidth="1"/>
    <col min="11" max="11" width="19.83984375" customWidth="1"/>
    <col min="12" max="12" width="29.68359375" customWidth="1"/>
  </cols>
  <sheetData>
    <row r="1" spans="1:12">
      <c r="A1" s="336" t="s">
        <v>104</v>
      </c>
      <c r="B1" s="339" t="s">
        <v>100</v>
      </c>
      <c r="C1" s="1564" t="s">
        <v>106</v>
      </c>
      <c r="D1" s="1565"/>
      <c r="E1" s="1022" t="s">
        <v>686</v>
      </c>
      <c r="F1" s="1308" t="s">
        <v>702</v>
      </c>
      <c r="G1" s="1309">
        <v>1672</v>
      </c>
      <c r="H1" s="1308"/>
      <c r="I1" s="1308"/>
      <c r="J1" s="1314" t="s">
        <v>69</v>
      </c>
      <c r="K1" s="1314" t="s">
        <v>703</v>
      </c>
      <c r="L1" s="1356" t="s">
        <v>83</v>
      </c>
    </row>
    <row r="2" spans="1:12" ht="173.25" customHeight="1">
      <c r="A2" s="1566" t="s">
        <v>1615</v>
      </c>
      <c r="B2" s="1567"/>
      <c r="C2" s="1550" t="s">
        <v>1457</v>
      </c>
      <c r="D2" s="1551"/>
      <c r="E2" s="1551"/>
      <c r="F2" s="1551"/>
      <c r="G2" s="1551"/>
      <c r="H2" s="1551"/>
      <c r="I2" s="1552"/>
      <c r="J2" s="240" t="s">
        <v>707</v>
      </c>
      <c r="K2" s="1311" t="s">
        <v>1384</v>
      </c>
      <c r="L2" s="18"/>
    </row>
    <row r="3" spans="1:12" ht="25.8">
      <c r="A3" s="1312" t="s">
        <v>709</v>
      </c>
      <c r="B3" s="1313" t="s">
        <v>710</v>
      </c>
      <c r="C3" s="80" t="s">
        <v>711</v>
      </c>
      <c r="D3" s="80" t="s">
        <v>712</v>
      </c>
      <c r="E3" s="80" t="s">
        <v>713</v>
      </c>
      <c r="F3" s="80" t="s">
        <v>714</v>
      </c>
      <c r="G3" s="344" t="s">
        <v>715</v>
      </c>
      <c r="H3" s="80" t="s">
        <v>716</v>
      </c>
      <c r="I3" s="80" t="s">
        <v>717</v>
      </c>
      <c r="J3" s="53" t="s">
        <v>718</v>
      </c>
      <c r="K3" s="338" t="s">
        <v>719</v>
      </c>
      <c r="L3" s="80" t="s">
        <v>720</v>
      </c>
    </row>
    <row r="4" spans="1:12" ht="28.8">
      <c r="A4" s="1001" t="s">
        <v>4500</v>
      </c>
      <c r="B4" s="1001" t="s">
        <v>722</v>
      </c>
      <c r="C4" s="418" t="s">
        <v>48</v>
      </c>
      <c r="D4" s="418" t="s">
        <v>48</v>
      </c>
      <c r="E4" s="418" t="s">
        <v>48</v>
      </c>
      <c r="F4" s="418" t="s">
        <v>48</v>
      </c>
      <c r="G4" s="418" t="s">
        <v>48</v>
      </c>
      <c r="H4" s="418">
        <v>216</v>
      </c>
      <c r="I4" s="418" t="s">
        <v>723</v>
      </c>
      <c r="J4" s="345" t="s">
        <v>724</v>
      </c>
      <c r="K4" s="1568">
        <v>1</v>
      </c>
      <c r="L4" s="1570" t="s">
        <v>4501</v>
      </c>
    </row>
    <row r="5" spans="1:12" ht="28.8">
      <c r="A5" s="360" t="s">
        <v>4502</v>
      </c>
      <c r="B5" s="359" t="s">
        <v>3930</v>
      </c>
      <c r="C5" s="345" t="s">
        <v>48</v>
      </c>
      <c r="D5" s="345">
        <v>0</v>
      </c>
      <c r="E5" s="345">
        <v>65535</v>
      </c>
      <c r="F5" s="345" t="s">
        <v>1620</v>
      </c>
      <c r="G5" s="345">
        <v>65535</v>
      </c>
      <c r="H5" s="346">
        <v>16</v>
      </c>
      <c r="I5" s="347" t="s">
        <v>991</v>
      </c>
      <c r="J5" s="348" t="s">
        <v>729</v>
      </c>
      <c r="K5" s="1569"/>
      <c r="L5" s="1571"/>
    </row>
    <row r="6" spans="1:12" ht="28.8">
      <c r="A6" s="957" t="s">
        <v>4503</v>
      </c>
      <c r="B6" s="958" t="s">
        <v>1622</v>
      </c>
      <c r="C6" s="846" t="s">
        <v>48</v>
      </c>
      <c r="D6" s="846" t="s">
        <v>48</v>
      </c>
      <c r="E6" s="846" t="s">
        <v>48</v>
      </c>
      <c r="F6" s="846" t="s">
        <v>48</v>
      </c>
      <c r="G6" s="846" t="s">
        <v>48</v>
      </c>
      <c r="H6" s="846">
        <v>72</v>
      </c>
      <c r="I6" s="846" t="s">
        <v>1623</v>
      </c>
      <c r="J6" s="847" t="s">
        <v>729</v>
      </c>
      <c r="K6" s="1009">
        <v>20</v>
      </c>
      <c r="L6" s="354" t="s">
        <v>4504</v>
      </c>
    </row>
  </sheetData>
  <mergeCells count="5">
    <mergeCell ref="C1:D1"/>
    <mergeCell ref="A2:B2"/>
    <mergeCell ref="C2:I2"/>
    <mergeCell ref="K4:K5"/>
    <mergeCell ref="L4:L5"/>
  </mergeCells>
  <conditionalFormatting sqref="B6:H6 C5:J5 J6">
    <cfRule type="expression" dxfId="107" priority="4">
      <formula>MOD(ROW(), 2)=0</formula>
    </cfRule>
  </conditionalFormatting>
  <conditionalFormatting sqref="K4">
    <cfRule type="expression" dxfId="106" priority="3">
      <formula>MOD(ROW(), 2)=0</formula>
    </cfRule>
  </conditionalFormatting>
  <conditionalFormatting sqref="J4">
    <cfRule type="expression" dxfId="105" priority="2">
      <formula>MOD(ROW(), 2)=0</formula>
    </cfRule>
  </conditionalFormatting>
  <conditionalFormatting sqref="I6">
    <cfRule type="expression" dxfId="104" priority="1">
      <formula>MOD(ROW(), 2)=0</formula>
    </cfRule>
  </conditionalFormatting>
  <hyperlinks>
    <hyperlink ref="J1" location="'Revision Map'!A1" display="INDEX" xr:uid="{359ACD94-5F82-41A1-ADEB-2F261707E6C2}"/>
    <hyperlink ref="K1" location="'Cross-FCN_Definitions'!A1" display="Cross-FCN_Definitions" xr:uid="{DA40012E-CF75-470B-B0C9-33B83EAA7814}"/>
    <hyperlink ref="L1" location="'AVI_Traffic_Signs'!A1" display="AVI_Traffic_Signs" xr:uid="{42365876-428A-49D9-9B94-DC5208DE5F61}"/>
  </hyperlinks>
  <pageMargins left="0.7" right="0.7" top="0.75" bottom="0.75" header="0.3" footer="0.3"/>
  <headerFooter>
    <oddFooter>&amp;C_x000D_&amp;1#&amp;"Calibri"&amp;11&amp;KFF0000 Internal</oddFooter>
  </headerFooter>
  <tableParts count="1">
    <tablePart r:id="rId1"/>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B1E49-6C8D-421A-B2B6-89133B3F5797}">
  <sheetPr codeName="Sheet99"/>
  <dimension ref="A1:E21"/>
  <sheetViews>
    <sheetView workbookViewId="0">
      <pane ySplit="1" topLeftCell="A15" activePane="bottomLeft" state="frozen"/>
      <selection pane="bottomLeft" activeCell="B21" sqref="B21"/>
    </sheetView>
  </sheetViews>
  <sheetFormatPr defaultColWidth="9.15625" defaultRowHeight="14.4"/>
  <cols>
    <col min="1" max="1" width="9.83984375" style="1014" customWidth="1"/>
    <col min="2" max="2" width="10.41796875" style="40" bestFit="1" customWidth="1"/>
    <col min="3" max="3" width="50.15625" bestFit="1" customWidth="1"/>
    <col min="4" max="4" width="17.578125" bestFit="1" customWidth="1"/>
    <col min="5" max="5" width="10.578125" customWidth="1"/>
  </cols>
  <sheetData>
    <row r="1" spans="1:5">
      <c r="A1" s="670" t="s">
        <v>644</v>
      </c>
      <c r="B1" s="642" t="s">
        <v>645</v>
      </c>
      <c r="C1" s="643" t="s">
        <v>646</v>
      </c>
      <c r="D1" s="643" t="s">
        <v>647</v>
      </c>
      <c r="E1" s="644" t="s">
        <v>793</v>
      </c>
    </row>
    <row r="2" spans="1:5">
      <c r="A2" s="628" t="s">
        <v>794</v>
      </c>
      <c r="B2" s="356">
        <v>44944</v>
      </c>
      <c r="C2" s="589" t="s">
        <v>4505</v>
      </c>
      <c r="D2" s="590" t="s">
        <v>678</v>
      </c>
      <c r="E2" s="591" t="s">
        <v>655</v>
      </c>
    </row>
    <row r="3" spans="1:5">
      <c r="A3" s="1010" t="s">
        <v>794</v>
      </c>
      <c r="B3" s="414">
        <v>44952</v>
      </c>
      <c r="C3" s="576" t="s">
        <v>4506</v>
      </c>
      <c r="D3" s="5" t="s">
        <v>1001</v>
      </c>
      <c r="E3" s="5" t="s">
        <v>655</v>
      </c>
    </row>
    <row r="4" spans="1:5" ht="72">
      <c r="A4" s="1011" t="s">
        <v>800</v>
      </c>
      <c r="B4" s="515">
        <v>44953</v>
      </c>
      <c r="C4" s="611" t="s">
        <v>4507</v>
      </c>
      <c r="D4" s="590" t="s">
        <v>678</v>
      </c>
      <c r="E4" s="591" t="s">
        <v>655</v>
      </c>
    </row>
    <row r="5" spans="1:5">
      <c r="A5" s="1010" t="s">
        <v>800</v>
      </c>
      <c r="B5" s="51">
        <v>44953</v>
      </c>
      <c r="C5" s="5" t="s">
        <v>3711</v>
      </c>
      <c r="D5" s="5" t="s">
        <v>658</v>
      </c>
      <c r="E5" s="5" t="s">
        <v>655</v>
      </c>
    </row>
    <row r="6" spans="1:5">
      <c r="A6" s="1010" t="s">
        <v>49</v>
      </c>
      <c r="B6" s="515">
        <v>44957</v>
      </c>
      <c r="C6" s="5" t="s">
        <v>4508</v>
      </c>
      <c r="D6" s="5" t="s">
        <v>685</v>
      </c>
      <c r="E6" s="5" t="s">
        <v>651</v>
      </c>
    </row>
    <row r="7" spans="1:5">
      <c r="A7" s="1010" t="s">
        <v>49</v>
      </c>
      <c r="B7" s="51">
        <v>44957</v>
      </c>
      <c r="C7" s="5" t="s">
        <v>687</v>
      </c>
      <c r="D7" s="5" t="s">
        <v>676</v>
      </c>
      <c r="E7" s="5" t="s">
        <v>661</v>
      </c>
    </row>
    <row r="8" spans="1:5">
      <c r="A8" s="1010" t="s">
        <v>49</v>
      </c>
      <c r="B8" s="51">
        <v>44970</v>
      </c>
      <c r="C8" s="576" t="s">
        <v>691</v>
      </c>
      <c r="D8" s="5" t="s">
        <v>676</v>
      </c>
      <c r="E8" s="5" t="s">
        <v>661</v>
      </c>
    </row>
    <row r="9" spans="1:5" ht="100.8">
      <c r="A9" s="1012" t="s">
        <v>652</v>
      </c>
      <c r="B9" s="191">
        <v>44987</v>
      </c>
      <c r="C9" s="594" t="s">
        <v>1630</v>
      </c>
      <c r="D9" s="595" t="s">
        <v>3176</v>
      </c>
      <c r="E9" s="596" t="s">
        <v>655</v>
      </c>
    </row>
    <row r="10" spans="1:5" ht="28.8">
      <c r="A10" s="1010" t="s">
        <v>656</v>
      </c>
      <c r="B10" s="742">
        <v>44993</v>
      </c>
      <c r="C10" s="2" t="s">
        <v>3935</v>
      </c>
      <c r="D10" s="5" t="s">
        <v>3176</v>
      </c>
      <c r="E10" s="5" t="s">
        <v>655</v>
      </c>
    </row>
    <row r="11" spans="1:5">
      <c r="A11" s="1010" t="s">
        <v>656</v>
      </c>
      <c r="B11" s="51">
        <v>44993</v>
      </c>
      <c r="C11" s="5" t="s">
        <v>3711</v>
      </c>
      <c r="D11" s="5" t="s">
        <v>658</v>
      </c>
      <c r="E11" s="5" t="s">
        <v>655</v>
      </c>
    </row>
    <row r="12" spans="1:5">
      <c r="A12" s="1012" t="s">
        <v>659</v>
      </c>
      <c r="B12" s="191">
        <v>44993</v>
      </c>
      <c r="C12" s="594" t="s">
        <v>1610</v>
      </c>
      <c r="D12" s="595" t="s">
        <v>3176</v>
      </c>
      <c r="E12" s="596" t="s">
        <v>651</v>
      </c>
    </row>
    <row r="13" spans="1:5">
      <c r="A13" s="1010" t="s">
        <v>659</v>
      </c>
      <c r="B13" s="191">
        <v>44998</v>
      </c>
      <c r="C13" s="576" t="s">
        <v>692</v>
      </c>
      <c r="D13" s="5" t="s">
        <v>678</v>
      </c>
      <c r="E13" s="5" t="s">
        <v>661</v>
      </c>
    </row>
    <row r="14" spans="1:5" ht="28.8">
      <c r="A14" s="1010" t="s">
        <v>663</v>
      </c>
      <c r="B14" s="191">
        <v>45077</v>
      </c>
      <c r="C14" s="576" t="s">
        <v>1633</v>
      </c>
      <c r="D14" s="5" t="s">
        <v>3176</v>
      </c>
      <c r="E14" s="5" t="s">
        <v>655</v>
      </c>
    </row>
    <row r="15" spans="1:5">
      <c r="A15" s="1010" t="s">
        <v>663</v>
      </c>
      <c r="B15" s="51">
        <v>45077</v>
      </c>
      <c r="C15" s="594" t="s">
        <v>682</v>
      </c>
      <c r="D15" s="5" t="s">
        <v>658</v>
      </c>
      <c r="E15" s="5" t="s">
        <v>655</v>
      </c>
    </row>
    <row r="16" spans="1:5">
      <c r="A16" s="1010" t="s">
        <v>666</v>
      </c>
      <c r="B16" s="51">
        <v>45077</v>
      </c>
      <c r="C16" s="594" t="s">
        <v>1614</v>
      </c>
      <c r="D16" s="5" t="s">
        <v>685</v>
      </c>
      <c r="E16" s="5" t="s">
        <v>651</v>
      </c>
    </row>
    <row r="17" spans="1:5">
      <c r="A17" s="1010" t="s">
        <v>666</v>
      </c>
      <c r="B17" s="191">
        <v>45078</v>
      </c>
      <c r="C17" s="5" t="s">
        <v>699</v>
      </c>
      <c r="D17" s="5" t="s">
        <v>678</v>
      </c>
      <c r="E17" s="5" t="s">
        <v>661</v>
      </c>
    </row>
    <row r="18" spans="1:5">
      <c r="A18" s="1010" t="s">
        <v>668</v>
      </c>
      <c r="B18" s="188">
        <v>45097</v>
      </c>
      <c r="C18" s="584" t="s">
        <v>818</v>
      </c>
      <c r="D18" s="585" t="s">
        <v>678</v>
      </c>
      <c r="E18" s="586" t="s">
        <v>655</v>
      </c>
    </row>
    <row r="19" spans="1:5" ht="14.25" customHeight="1">
      <c r="A19" s="1010" t="s">
        <v>686</v>
      </c>
      <c r="B19" s="188">
        <v>45097</v>
      </c>
      <c r="C19" s="594" t="s">
        <v>1614</v>
      </c>
      <c r="D19" s="585" t="s">
        <v>678</v>
      </c>
      <c r="E19" s="586" t="s">
        <v>651</v>
      </c>
    </row>
    <row r="20" spans="1:5">
      <c r="A20" s="1010" t="s">
        <v>686</v>
      </c>
      <c r="B20" s="191">
        <v>45097</v>
      </c>
      <c r="C20" s="594" t="s">
        <v>700</v>
      </c>
      <c r="D20" s="595" t="s">
        <v>678</v>
      </c>
      <c r="E20" s="596" t="s">
        <v>661</v>
      </c>
    </row>
    <row r="21" spans="1:5">
      <c r="A21" s="1010" t="s">
        <v>686</v>
      </c>
      <c r="B21" s="1065">
        <v>45205</v>
      </c>
      <c r="C21" s="595" t="s">
        <v>701</v>
      </c>
      <c r="D21" s="595" t="s">
        <v>678</v>
      </c>
      <c r="E21" s="596" t="s">
        <v>661</v>
      </c>
    </row>
  </sheetData>
  <pageMargins left="0.7" right="0.7" top="0.75" bottom="0.75" header="0.3" footer="0.3"/>
  <headerFooter>
    <oddFooter>&amp;C_x000D_&amp;1#&amp;"Calibri"&amp;11&amp;KFF0000 Internal</oddFooter>
  </headerFooter>
  <tableParts count="1">
    <tablePart r:id="rId1"/>
  </tableParts>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A0432-0B9E-4988-A208-DCD371ACCAC9}">
  <sheetPr codeName="Sheet66"/>
  <dimension ref="A1:K63"/>
  <sheetViews>
    <sheetView zoomScaleNormal="100" workbookViewId="0">
      <pane xSplit="1" ySplit="3" topLeftCell="B21" activePane="bottomRight" state="frozen"/>
      <selection pane="topRight" activeCell="C22" activeCellId="1" sqref="A1:AS1 C22"/>
      <selection pane="bottomLeft" activeCell="C22" activeCellId="1" sqref="A1:AS1 C22"/>
      <selection pane="bottomRight" activeCell="A24" sqref="A24:A62"/>
    </sheetView>
  </sheetViews>
  <sheetFormatPr defaultColWidth="9.15625" defaultRowHeight="14.4"/>
  <cols>
    <col min="1" max="1" width="27.41796875" customWidth="1"/>
    <col min="2" max="2" width="43.68359375" customWidth="1"/>
    <col min="3" max="3" width="66.41796875" customWidth="1"/>
    <col min="4" max="4" width="9" bestFit="1" customWidth="1"/>
    <col min="5" max="5" width="7.15625" customWidth="1"/>
    <col min="6" max="6" width="14.578125" customWidth="1"/>
    <col min="7" max="7" width="27.83984375" customWidth="1"/>
    <col min="8" max="8" width="23.26171875" bestFit="1" customWidth="1"/>
    <col min="9" max="9" width="20.41796875" bestFit="1" customWidth="1"/>
    <col min="10" max="10" width="9.578125" bestFit="1" customWidth="1"/>
    <col min="11" max="11" width="20.26171875" style="165" customWidth="1"/>
  </cols>
  <sheetData>
    <row r="1" spans="1:11">
      <c r="A1" s="264" t="s">
        <v>4509</v>
      </c>
      <c r="B1" s="1721" t="s">
        <v>704</v>
      </c>
      <c r="C1" s="1722"/>
      <c r="D1" s="1723" t="s">
        <v>106</v>
      </c>
      <c r="E1" s="1724"/>
      <c r="F1" s="250">
        <v>3</v>
      </c>
      <c r="G1" s="266"/>
      <c r="H1" s="272"/>
      <c r="I1" s="272" t="s">
        <v>82</v>
      </c>
      <c r="J1" s="430"/>
      <c r="K1" s="434"/>
    </row>
    <row r="2" spans="1:11">
      <c r="A2" s="1489"/>
      <c r="B2" s="105"/>
      <c r="C2" s="105"/>
      <c r="D2" s="105"/>
      <c r="E2" s="105"/>
      <c r="F2" s="105"/>
      <c r="G2" s="107"/>
      <c r="H2" s="105"/>
      <c r="I2" s="105"/>
      <c r="J2" s="946"/>
      <c r="K2" s="947"/>
    </row>
    <row r="3" spans="1:11" ht="28.8">
      <c r="A3" s="62" t="s">
        <v>4510</v>
      </c>
      <c r="B3" s="63" t="s">
        <v>4511</v>
      </c>
      <c r="C3" s="101" t="s">
        <v>710</v>
      </c>
      <c r="D3" s="64" t="s">
        <v>711</v>
      </c>
      <c r="E3" s="64" t="s">
        <v>712</v>
      </c>
      <c r="F3" s="64" t="s">
        <v>713</v>
      </c>
      <c r="G3" s="64" t="s">
        <v>714</v>
      </c>
      <c r="H3" s="66" t="s">
        <v>715</v>
      </c>
      <c r="I3" s="64" t="s">
        <v>716</v>
      </c>
      <c r="J3" s="67" t="s">
        <v>717</v>
      </c>
      <c r="K3" s="442" t="s">
        <v>4512</v>
      </c>
    </row>
    <row r="4" spans="1:11" ht="25.8">
      <c r="A4" s="1725" t="s">
        <v>776</v>
      </c>
      <c r="B4" s="84" t="s">
        <v>4513</v>
      </c>
      <c r="C4" s="350" t="s">
        <v>4514</v>
      </c>
      <c r="D4" s="77" t="s">
        <v>936</v>
      </c>
      <c r="E4" s="77">
        <v>-3.14</v>
      </c>
      <c r="F4" s="77" t="s">
        <v>920</v>
      </c>
      <c r="G4" s="77" t="s">
        <v>4515</v>
      </c>
      <c r="H4" s="77" t="s">
        <v>920</v>
      </c>
      <c r="I4" s="78">
        <v>32</v>
      </c>
      <c r="J4" s="707" t="s">
        <v>922</v>
      </c>
      <c r="K4" s="435">
        <v>1</v>
      </c>
    </row>
    <row r="5" spans="1:11" ht="25.8">
      <c r="A5" s="1726"/>
      <c r="B5" s="1490" t="s">
        <v>4516</v>
      </c>
      <c r="C5" s="1491" t="s">
        <v>4517</v>
      </c>
      <c r="D5" s="1492" t="s">
        <v>936</v>
      </c>
      <c r="E5" s="1492">
        <v>-3.14</v>
      </c>
      <c r="F5" s="1492" t="s">
        <v>920</v>
      </c>
      <c r="G5" s="1492" t="s">
        <v>4515</v>
      </c>
      <c r="H5" s="1492" t="s">
        <v>920</v>
      </c>
      <c r="I5" s="1493">
        <v>32</v>
      </c>
      <c r="J5" s="1494" t="s">
        <v>922</v>
      </c>
      <c r="K5" s="1495">
        <v>1</v>
      </c>
    </row>
    <row r="6" spans="1:11" ht="25.8">
      <c r="A6" s="1726"/>
      <c r="B6" s="1490" t="s">
        <v>4518</v>
      </c>
      <c r="C6" s="1491" t="s">
        <v>4519</v>
      </c>
      <c r="D6" s="1492" t="s">
        <v>880</v>
      </c>
      <c r="E6" s="1492">
        <v>-500</v>
      </c>
      <c r="F6" s="1492" t="s">
        <v>920</v>
      </c>
      <c r="G6" s="77" t="s">
        <v>4520</v>
      </c>
      <c r="H6" s="1492" t="s">
        <v>920</v>
      </c>
      <c r="I6" s="1493">
        <v>32</v>
      </c>
      <c r="J6" s="1494" t="s">
        <v>922</v>
      </c>
      <c r="K6" s="1495">
        <v>1</v>
      </c>
    </row>
    <row r="7" spans="1:11" ht="25.8">
      <c r="A7" s="1726"/>
      <c r="B7" s="1490" t="s">
        <v>4521</v>
      </c>
      <c r="C7" s="1491" t="s">
        <v>4522</v>
      </c>
      <c r="D7" s="1492" t="s">
        <v>880</v>
      </c>
      <c r="E7" s="1492">
        <v>-500</v>
      </c>
      <c r="F7" s="1492" t="s">
        <v>920</v>
      </c>
      <c r="G7" s="1492" t="s">
        <v>4520</v>
      </c>
      <c r="H7" s="1492" t="s">
        <v>920</v>
      </c>
      <c r="I7" s="1493">
        <v>32</v>
      </c>
      <c r="J7" s="1496" t="s">
        <v>922</v>
      </c>
      <c r="K7" s="1495">
        <v>1</v>
      </c>
    </row>
    <row r="8" spans="1:11" ht="25.8">
      <c r="A8" s="1726"/>
      <c r="B8" s="1490" t="s">
        <v>4523</v>
      </c>
      <c r="C8" s="1491" t="s">
        <v>4524</v>
      </c>
      <c r="D8" s="1492" t="s">
        <v>936</v>
      </c>
      <c r="E8" s="1492">
        <v>-0.05</v>
      </c>
      <c r="F8" s="1492" t="s">
        <v>920</v>
      </c>
      <c r="G8" s="1492" t="s">
        <v>4525</v>
      </c>
      <c r="H8" s="1492" t="s">
        <v>920</v>
      </c>
      <c r="I8" s="1493">
        <v>32</v>
      </c>
      <c r="J8" s="1496" t="s">
        <v>922</v>
      </c>
      <c r="K8" s="1495">
        <v>1</v>
      </c>
    </row>
    <row r="9" spans="1:11" ht="25.8">
      <c r="A9" s="1727"/>
      <c r="B9" s="1497" t="s">
        <v>4526</v>
      </c>
      <c r="C9" s="1498" t="s">
        <v>4527</v>
      </c>
      <c r="D9" s="1499" t="s">
        <v>919</v>
      </c>
      <c r="E9" s="1499">
        <v>0.5</v>
      </c>
      <c r="F9" s="1499" t="s">
        <v>920</v>
      </c>
      <c r="G9" s="1499" t="s">
        <v>4528</v>
      </c>
      <c r="H9" s="1499" t="s">
        <v>920</v>
      </c>
      <c r="I9" s="1499">
        <v>32</v>
      </c>
      <c r="J9" s="1500" t="s">
        <v>922</v>
      </c>
      <c r="K9" s="1501">
        <v>1</v>
      </c>
    </row>
    <row r="10" spans="1:11" ht="25.8">
      <c r="A10" s="1728" t="s">
        <v>746</v>
      </c>
      <c r="B10" s="443" t="s">
        <v>4529</v>
      </c>
      <c r="C10" s="99" t="s">
        <v>4530</v>
      </c>
      <c r="D10" s="100" t="s">
        <v>48</v>
      </c>
      <c r="E10" s="100">
        <v>0</v>
      </c>
      <c r="F10" s="100">
        <v>1</v>
      </c>
      <c r="G10" s="100" t="s">
        <v>1055</v>
      </c>
      <c r="H10" s="100">
        <v>0</v>
      </c>
      <c r="I10" s="83">
        <v>8</v>
      </c>
      <c r="J10" s="708" t="s">
        <v>1056</v>
      </c>
      <c r="K10" s="435">
        <v>1</v>
      </c>
    </row>
    <row r="11" spans="1:11" ht="25.8">
      <c r="A11" s="1728"/>
      <c r="B11" s="444" t="s">
        <v>4531</v>
      </c>
      <c r="C11" s="97" t="s">
        <v>4532</v>
      </c>
      <c r="D11" s="98" t="s">
        <v>48</v>
      </c>
      <c r="E11" s="98">
        <v>0</v>
      </c>
      <c r="F11" s="98">
        <v>1</v>
      </c>
      <c r="G11" s="98" t="s">
        <v>1055</v>
      </c>
      <c r="H11" s="98">
        <v>0</v>
      </c>
      <c r="I11" s="82">
        <v>8</v>
      </c>
      <c r="J11" s="709" t="s">
        <v>1056</v>
      </c>
      <c r="K11" s="1495">
        <v>1</v>
      </c>
    </row>
    <row r="12" spans="1:11" ht="25.8">
      <c r="A12" s="1728"/>
      <c r="B12" s="444" t="s">
        <v>4533</v>
      </c>
      <c r="C12" s="97" t="s">
        <v>4534</v>
      </c>
      <c r="D12" s="98" t="s">
        <v>48</v>
      </c>
      <c r="E12" s="98">
        <v>0</v>
      </c>
      <c r="F12" s="98">
        <v>1</v>
      </c>
      <c r="G12" s="98" t="s">
        <v>1055</v>
      </c>
      <c r="H12" s="98">
        <v>0</v>
      </c>
      <c r="I12" s="82">
        <v>8</v>
      </c>
      <c r="J12" s="709" t="s">
        <v>1056</v>
      </c>
      <c r="K12" s="1495">
        <v>1</v>
      </c>
    </row>
    <row r="13" spans="1:11" ht="25.8">
      <c r="A13" s="1728"/>
      <c r="B13" s="444" t="s">
        <v>4535</v>
      </c>
      <c r="C13" s="97" t="s">
        <v>4536</v>
      </c>
      <c r="D13" s="98" t="s">
        <v>48</v>
      </c>
      <c r="E13" s="98">
        <v>0</v>
      </c>
      <c r="F13" s="98">
        <v>1</v>
      </c>
      <c r="G13" s="98" t="s">
        <v>1055</v>
      </c>
      <c r="H13" s="98">
        <v>0</v>
      </c>
      <c r="I13" s="82">
        <v>8</v>
      </c>
      <c r="J13" s="98" t="s">
        <v>1056</v>
      </c>
      <c r="K13" s="1495">
        <v>1</v>
      </c>
    </row>
    <row r="14" spans="1:11" ht="25.8">
      <c r="A14" s="1728"/>
      <c r="B14" s="445" t="s">
        <v>4537</v>
      </c>
      <c r="C14" s="97" t="s">
        <v>4538</v>
      </c>
      <c r="D14" s="98" t="s">
        <v>48</v>
      </c>
      <c r="E14" s="98">
        <v>0</v>
      </c>
      <c r="F14" s="98">
        <v>1</v>
      </c>
      <c r="G14" s="98" t="s">
        <v>1055</v>
      </c>
      <c r="H14" s="98">
        <v>0</v>
      </c>
      <c r="I14" s="82">
        <v>8</v>
      </c>
      <c r="J14" s="98" t="s">
        <v>1056</v>
      </c>
      <c r="K14" s="1495">
        <v>1</v>
      </c>
    </row>
    <row r="15" spans="1:11" ht="25.8">
      <c r="A15" s="1728"/>
      <c r="B15" s="445" t="s">
        <v>4539</v>
      </c>
      <c r="C15" s="294" t="s">
        <v>4540</v>
      </c>
      <c r="D15" s="295" t="s">
        <v>48</v>
      </c>
      <c r="E15" s="295">
        <v>0</v>
      </c>
      <c r="F15" s="295">
        <v>1</v>
      </c>
      <c r="G15" s="295" t="s">
        <v>1055</v>
      </c>
      <c r="H15" s="295">
        <v>0</v>
      </c>
      <c r="I15" s="291">
        <v>8</v>
      </c>
      <c r="J15" s="295" t="s">
        <v>1056</v>
      </c>
      <c r="K15" s="1495">
        <v>1</v>
      </c>
    </row>
    <row r="16" spans="1:11" ht="25.8">
      <c r="A16" s="1729" t="s">
        <v>749</v>
      </c>
      <c r="B16" s="775" t="s">
        <v>4541</v>
      </c>
      <c r="C16" s="776" t="s">
        <v>4542</v>
      </c>
      <c r="D16" s="767" t="s">
        <v>48</v>
      </c>
      <c r="E16" s="768">
        <v>0</v>
      </c>
      <c r="F16" s="768">
        <v>1</v>
      </c>
      <c r="G16" s="768" t="s">
        <v>1055</v>
      </c>
      <c r="H16" s="768">
        <v>0</v>
      </c>
      <c r="I16" s="771">
        <v>8</v>
      </c>
      <c r="J16" s="25" t="s">
        <v>1056</v>
      </c>
      <c r="K16" s="1502">
        <v>1</v>
      </c>
    </row>
    <row r="17" spans="1:11" ht="25.8">
      <c r="A17" s="1729"/>
      <c r="B17" s="777" t="s">
        <v>4543</v>
      </c>
      <c r="C17" s="778" t="s">
        <v>4544</v>
      </c>
      <c r="D17" s="769" t="s">
        <v>48</v>
      </c>
      <c r="E17" s="769">
        <v>0</v>
      </c>
      <c r="F17" s="769">
        <v>1</v>
      </c>
      <c r="G17" s="769" t="s">
        <v>1055</v>
      </c>
      <c r="H17" s="769">
        <v>0</v>
      </c>
      <c r="I17" s="772">
        <v>8</v>
      </c>
      <c r="J17" s="769" t="s">
        <v>1056</v>
      </c>
      <c r="K17" s="773">
        <v>1</v>
      </c>
    </row>
    <row r="18" spans="1:11" ht="25.8">
      <c r="A18" s="1729"/>
      <c r="B18" s="775" t="s">
        <v>4545</v>
      </c>
      <c r="C18" s="776" t="s">
        <v>4546</v>
      </c>
      <c r="D18" s="767" t="s">
        <v>48</v>
      </c>
      <c r="E18" s="768">
        <v>0</v>
      </c>
      <c r="F18" s="768">
        <v>1</v>
      </c>
      <c r="G18" s="768" t="s">
        <v>1055</v>
      </c>
      <c r="H18" s="768">
        <v>0</v>
      </c>
      <c r="I18" s="771">
        <v>8</v>
      </c>
      <c r="J18" s="768" t="s">
        <v>1056</v>
      </c>
      <c r="K18" s="1502">
        <v>1</v>
      </c>
    </row>
    <row r="19" spans="1:11" ht="25.8">
      <c r="A19" s="1729"/>
      <c r="B19" s="777" t="s">
        <v>4547</v>
      </c>
      <c r="C19" s="778" t="s">
        <v>4546</v>
      </c>
      <c r="D19" s="770" t="s">
        <v>48</v>
      </c>
      <c r="E19" s="770">
        <v>0</v>
      </c>
      <c r="F19" s="770">
        <v>1</v>
      </c>
      <c r="G19" s="770" t="s">
        <v>1055</v>
      </c>
      <c r="H19" s="770">
        <v>0</v>
      </c>
      <c r="I19" s="774">
        <v>8</v>
      </c>
      <c r="J19" s="770" t="s">
        <v>1056</v>
      </c>
      <c r="K19" s="773">
        <v>1</v>
      </c>
    </row>
    <row r="20" spans="1:11" ht="114.75" customHeight="1">
      <c r="A20" s="764" t="s">
        <v>736</v>
      </c>
      <c r="B20" s="765" t="s">
        <v>48</v>
      </c>
      <c r="C20" s="766" t="s">
        <v>4548</v>
      </c>
      <c r="D20" s="76" t="s">
        <v>48</v>
      </c>
      <c r="E20" s="76">
        <v>0</v>
      </c>
      <c r="F20" s="76">
        <v>4294967295</v>
      </c>
      <c r="G20" s="710" t="s">
        <v>4549</v>
      </c>
      <c r="H20" s="76">
        <f>2^32-1</f>
        <v>4294967295</v>
      </c>
      <c r="I20" s="76">
        <v>32</v>
      </c>
      <c r="J20" s="76" t="s">
        <v>1032</v>
      </c>
      <c r="K20" s="439" t="s">
        <v>48</v>
      </c>
    </row>
    <row r="21" spans="1:11" ht="25.8">
      <c r="A21" s="288" t="s">
        <v>752</v>
      </c>
      <c r="B21" s="90" t="s">
        <v>48</v>
      </c>
      <c r="C21" s="91" t="s">
        <v>4550</v>
      </c>
      <c r="D21" s="352" t="s">
        <v>48</v>
      </c>
      <c r="E21" s="297">
        <v>0</v>
      </c>
      <c r="F21" s="93">
        <v>255</v>
      </c>
      <c r="G21" s="96" t="s">
        <v>4551</v>
      </c>
      <c r="H21" s="297">
        <v>255</v>
      </c>
      <c r="I21" s="290">
        <v>8</v>
      </c>
      <c r="J21" s="431" t="s">
        <v>743</v>
      </c>
      <c r="K21" s="440" t="s">
        <v>48</v>
      </c>
    </row>
    <row r="22" spans="1:11" ht="25.8">
      <c r="A22" s="287" t="s">
        <v>758</v>
      </c>
      <c r="B22" s="85" t="s">
        <v>48</v>
      </c>
      <c r="C22" s="88" t="s">
        <v>4552</v>
      </c>
      <c r="D22" s="89" t="s">
        <v>996</v>
      </c>
      <c r="E22" s="89">
        <v>0</v>
      </c>
      <c r="F22" s="89">
        <v>65535</v>
      </c>
      <c r="G22" s="113" t="s">
        <v>4553</v>
      </c>
      <c r="H22" s="89">
        <v>65535</v>
      </c>
      <c r="I22" s="76">
        <v>16</v>
      </c>
      <c r="J22" s="432" t="s">
        <v>991</v>
      </c>
      <c r="K22" s="439" t="s">
        <v>48</v>
      </c>
    </row>
    <row r="23" spans="1:11" ht="25.8">
      <c r="A23" s="288" t="s">
        <v>755</v>
      </c>
      <c r="B23" s="86" t="s">
        <v>48</v>
      </c>
      <c r="C23" s="92" t="s">
        <v>4554</v>
      </c>
      <c r="D23" s="93" t="s">
        <v>919</v>
      </c>
      <c r="E23" s="93">
        <v>0</v>
      </c>
      <c r="F23" s="93">
        <v>65535</v>
      </c>
      <c r="G23" s="113" t="s">
        <v>4555</v>
      </c>
      <c r="H23" s="93">
        <v>65535</v>
      </c>
      <c r="I23" s="93">
        <v>16</v>
      </c>
      <c r="J23" s="433" t="s">
        <v>991</v>
      </c>
      <c r="K23" s="441" t="s">
        <v>48</v>
      </c>
    </row>
    <row r="24" spans="1:11" ht="25.8">
      <c r="A24" s="1718" t="s">
        <v>739</v>
      </c>
      <c r="B24" s="443" t="s">
        <v>4556</v>
      </c>
      <c r="C24" s="292" t="s">
        <v>4557</v>
      </c>
      <c r="D24" s="83" t="s">
        <v>48</v>
      </c>
      <c r="E24" s="83">
        <v>0</v>
      </c>
      <c r="F24" s="83">
        <v>1</v>
      </c>
      <c r="G24" s="293" t="s">
        <v>1055</v>
      </c>
      <c r="H24" s="83">
        <v>0</v>
      </c>
      <c r="I24" s="83">
        <v>8</v>
      </c>
      <c r="J24" s="83" t="s">
        <v>1056</v>
      </c>
      <c r="K24" s="436">
        <v>1</v>
      </c>
    </row>
    <row r="25" spans="1:11" ht="25.8">
      <c r="A25" s="1719"/>
      <c r="B25" s="444" t="s">
        <v>4558</v>
      </c>
      <c r="C25" s="152" t="s">
        <v>4559</v>
      </c>
      <c r="D25" s="82" t="s">
        <v>48</v>
      </c>
      <c r="E25" s="82">
        <v>0</v>
      </c>
      <c r="F25" s="82">
        <v>1</v>
      </c>
      <c r="G25" s="133" t="s">
        <v>1055</v>
      </c>
      <c r="H25" s="82">
        <v>0</v>
      </c>
      <c r="I25" s="82">
        <v>8</v>
      </c>
      <c r="J25" s="82" t="s">
        <v>1056</v>
      </c>
      <c r="K25" s="437">
        <v>1</v>
      </c>
    </row>
    <row r="26" spans="1:11" ht="25.8">
      <c r="A26" s="1719"/>
      <c r="B26" s="444" t="s">
        <v>4560</v>
      </c>
      <c r="C26" s="152" t="s">
        <v>4561</v>
      </c>
      <c r="D26" s="82" t="s">
        <v>48</v>
      </c>
      <c r="E26" s="82">
        <v>0</v>
      </c>
      <c r="F26" s="82">
        <v>1</v>
      </c>
      <c r="G26" s="133" t="s">
        <v>1055</v>
      </c>
      <c r="H26" s="82">
        <v>0</v>
      </c>
      <c r="I26" s="82">
        <v>8</v>
      </c>
      <c r="J26" s="82" t="s">
        <v>1056</v>
      </c>
      <c r="K26" s="437">
        <v>1</v>
      </c>
    </row>
    <row r="27" spans="1:11" ht="25.8">
      <c r="A27" s="1719"/>
      <c r="B27" s="444" t="s">
        <v>4562</v>
      </c>
      <c r="C27" s="152" t="s">
        <v>4563</v>
      </c>
      <c r="D27" s="82" t="s">
        <v>48</v>
      </c>
      <c r="E27" s="82">
        <v>0</v>
      </c>
      <c r="F27" s="82">
        <v>1</v>
      </c>
      <c r="G27" s="133" t="s">
        <v>1055</v>
      </c>
      <c r="H27" s="82">
        <v>0</v>
      </c>
      <c r="I27" s="82">
        <v>8</v>
      </c>
      <c r="J27" s="82" t="s">
        <v>1056</v>
      </c>
      <c r="K27" s="437">
        <v>1</v>
      </c>
    </row>
    <row r="28" spans="1:11" ht="25.8">
      <c r="A28" s="1719"/>
      <c r="B28" s="444" t="s">
        <v>4564</v>
      </c>
      <c r="C28" s="152" t="s">
        <v>4565</v>
      </c>
      <c r="D28" s="82" t="s">
        <v>48</v>
      </c>
      <c r="E28" s="82">
        <v>0</v>
      </c>
      <c r="F28" s="82">
        <v>1</v>
      </c>
      <c r="G28" s="133" t="s">
        <v>1055</v>
      </c>
      <c r="H28" s="82">
        <v>0</v>
      </c>
      <c r="I28" s="82">
        <v>8</v>
      </c>
      <c r="J28" s="82" t="s">
        <v>1056</v>
      </c>
      <c r="K28" s="437">
        <v>1</v>
      </c>
    </row>
    <row r="29" spans="1:11" ht="25.8">
      <c r="A29" s="1719"/>
      <c r="B29" s="444" t="s">
        <v>4566</v>
      </c>
      <c r="C29" s="152" t="s">
        <v>4567</v>
      </c>
      <c r="D29" s="82" t="s">
        <v>48</v>
      </c>
      <c r="E29" s="82">
        <v>0</v>
      </c>
      <c r="F29" s="82">
        <v>1</v>
      </c>
      <c r="G29" s="133" t="s">
        <v>1055</v>
      </c>
      <c r="H29" s="82">
        <v>0</v>
      </c>
      <c r="I29" s="82">
        <v>8</v>
      </c>
      <c r="J29" s="82" t="s">
        <v>1056</v>
      </c>
      <c r="K29" s="437">
        <v>1</v>
      </c>
    </row>
    <row r="30" spans="1:11" ht="25.8">
      <c r="A30" s="1719"/>
      <c r="B30" s="444" t="s">
        <v>4568</v>
      </c>
      <c r="C30" s="152" t="s">
        <v>4569</v>
      </c>
      <c r="D30" s="82" t="s">
        <v>48</v>
      </c>
      <c r="E30" s="82">
        <v>0</v>
      </c>
      <c r="F30" s="82">
        <v>1</v>
      </c>
      <c r="G30" s="133" t="s">
        <v>1055</v>
      </c>
      <c r="H30" s="82">
        <v>0</v>
      </c>
      <c r="I30" s="82">
        <v>8</v>
      </c>
      <c r="J30" s="82" t="s">
        <v>1056</v>
      </c>
      <c r="K30" s="437">
        <v>1</v>
      </c>
    </row>
    <row r="31" spans="1:11" ht="25.8">
      <c r="A31" s="1719"/>
      <c r="B31" s="444" t="s">
        <v>4570</v>
      </c>
      <c r="C31" s="152" t="s">
        <v>4571</v>
      </c>
      <c r="D31" s="82" t="s">
        <v>48</v>
      </c>
      <c r="E31" s="82">
        <v>0</v>
      </c>
      <c r="F31" s="82">
        <v>1</v>
      </c>
      <c r="G31" s="133" t="s">
        <v>1055</v>
      </c>
      <c r="H31" s="82">
        <v>0</v>
      </c>
      <c r="I31" s="82">
        <v>8</v>
      </c>
      <c r="J31" s="82" t="s">
        <v>1056</v>
      </c>
      <c r="K31" s="437">
        <v>1</v>
      </c>
    </row>
    <row r="32" spans="1:11" ht="25.8">
      <c r="A32" s="1719"/>
      <c r="B32" s="444" t="s">
        <v>4572</v>
      </c>
      <c r="C32" s="152" t="s">
        <v>4573</v>
      </c>
      <c r="D32" s="82" t="s">
        <v>48</v>
      </c>
      <c r="E32" s="82">
        <v>0</v>
      </c>
      <c r="F32" s="82">
        <v>1</v>
      </c>
      <c r="G32" s="133" t="s">
        <v>1055</v>
      </c>
      <c r="H32" s="82">
        <v>0</v>
      </c>
      <c r="I32" s="82">
        <v>8</v>
      </c>
      <c r="J32" s="82" t="s">
        <v>1056</v>
      </c>
      <c r="K32" s="437">
        <v>1</v>
      </c>
    </row>
    <row r="33" spans="1:11" ht="25.8">
      <c r="A33" s="1719"/>
      <c r="B33" s="444" t="s">
        <v>4574</v>
      </c>
      <c r="C33" s="152" t="s">
        <v>4575</v>
      </c>
      <c r="D33" s="82" t="s">
        <v>48</v>
      </c>
      <c r="E33" s="82">
        <v>0</v>
      </c>
      <c r="F33" s="82">
        <v>1</v>
      </c>
      <c r="G33" s="133" t="s">
        <v>1055</v>
      </c>
      <c r="H33" s="82">
        <v>0</v>
      </c>
      <c r="I33" s="82">
        <v>8</v>
      </c>
      <c r="J33" s="82" t="s">
        <v>1056</v>
      </c>
      <c r="K33" s="437">
        <v>1</v>
      </c>
    </row>
    <row r="34" spans="1:11" ht="25.8">
      <c r="A34" s="1719"/>
      <c r="B34" s="444" t="s">
        <v>4576</v>
      </c>
      <c r="C34" s="152" t="s">
        <v>4577</v>
      </c>
      <c r="D34" s="82" t="s">
        <v>48</v>
      </c>
      <c r="E34" s="82">
        <v>0</v>
      </c>
      <c r="F34" s="82">
        <v>1</v>
      </c>
      <c r="G34" s="133" t="s">
        <v>1055</v>
      </c>
      <c r="H34" s="82">
        <v>0</v>
      </c>
      <c r="I34" s="82">
        <v>8</v>
      </c>
      <c r="J34" s="82" t="s">
        <v>1056</v>
      </c>
      <c r="K34" s="437">
        <v>1</v>
      </c>
    </row>
    <row r="35" spans="1:11" ht="25.8">
      <c r="A35" s="1719"/>
      <c r="B35" s="444" t="s">
        <v>4578</v>
      </c>
      <c r="C35" s="152" t="s">
        <v>4579</v>
      </c>
      <c r="D35" s="82" t="s">
        <v>48</v>
      </c>
      <c r="E35" s="82">
        <v>0</v>
      </c>
      <c r="F35" s="82">
        <v>1</v>
      </c>
      <c r="G35" s="133" t="s">
        <v>1055</v>
      </c>
      <c r="H35" s="82">
        <v>0</v>
      </c>
      <c r="I35" s="82">
        <v>8</v>
      </c>
      <c r="J35" s="82" t="s">
        <v>1056</v>
      </c>
      <c r="K35" s="437">
        <v>1</v>
      </c>
    </row>
    <row r="36" spans="1:11" ht="25.8">
      <c r="A36" s="1719"/>
      <c r="B36" s="444" t="s">
        <v>4580</v>
      </c>
      <c r="C36" s="152" t="s">
        <v>4581</v>
      </c>
      <c r="D36" s="82" t="s">
        <v>48</v>
      </c>
      <c r="E36" s="82">
        <v>0</v>
      </c>
      <c r="F36" s="82">
        <v>1</v>
      </c>
      <c r="G36" s="133" t="s">
        <v>1055</v>
      </c>
      <c r="H36" s="82">
        <v>0</v>
      </c>
      <c r="I36" s="82">
        <v>8</v>
      </c>
      <c r="J36" s="82" t="s">
        <v>1056</v>
      </c>
      <c r="K36" s="437">
        <v>1</v>
      </c>
    </row>
    <row r="37" spans="1:11" ht="25.8">
      <c r="A37" s="1719"/>
      <c r="B37" s="444" t="s">
        <v>4582</v>
      </c>
      <c r="C37" s="152" t="s">
        <v>4583</v>
      </c>
      <c r="D37" s="82" t="s">
        <v>48</v>
      </c>
      <c r="E37" s="82">
        <v>0</v>
      </c>
      <c r="F37" s="82">
        <v>1</v>
      </c>
      <c r="G37" s="133" t="s">
        <v>1055</v>
      </c>
      <c r="H37" s="82">
        <v>0</v>
      </c>
      <c r="I37" s="82">
        <v>8</v>
      </c>
      <c r="J37" s="82" t="s">
        <v>1056</v>
      </c>
      <c r="K37" s="437">
        <v>1</v>
      </c>
    </row>
    <row r="38" spans="1:11" ht="25.8">
      <c r="A38" s="1719"/>
      <c r="B38" s="444" t="s">
        <v>4584</v>
      </c>
      <c r="C38" s="152" t="s">
        <v>4585</v>
      </c>
      <c r="D38" s="82" t="s">
        <v>48</v>
      </c>
      <c r="E38" s="82">
        <v>0</v>
      </c>
      <c r="F38" s="82">
        <v>1</v>
      </c>
      <c r="G38" s="133" t="s">
        <v>1055</v>
      </c>
      <c r="H38" s="82">
        <v>0</v>
      </c>
      <c r="I38" s="82">
        <v>8</v>
      </c>
      <c r="J38" s="82" t="s">
        <v>1056</v>
      </c>
      <c r="K38" s="437">
        <v>1</v>
      </c>
    </row>
    <row r="39" spans="1:11" ht="25.8">
      <c r="A39" s="1719"/>
      <c r="B39" s="444" t="s">
        <v>4586</v>
      </c>
      <c r="C39" s="152" t="s">
        <v>4587</v>
      </c>
      <c r="D39" s="82" t="s">
        <v>48</v>
      </c>
      <c r="E39" s="82">
        <v>0</v>
      </c>
      <c r="F39" s="82">
        <v>1</v>
      </c>
      <c r="G39" s="133" t="s">
        <v>1055</v>
      </c>
      <c r="H39" s="82">
        <v>0</v>
      </c>
      <c r="I39" s="82">
        <v>8</v>
      </c>
      <c r="J39" s="82" t="s">
        <v>1056</v>
      </c>
      <c r="K39" s="437">
        <v>1</v>
      </c>
    </row>
    <row r="40" spans="1:11" ht="25.8">
      <c r="A40" s="1719"/>
      <c r="B40" s="444" t="s">
        <v>4588</v>
      </c>
      <c r="C40" s="152" t="s">
        <v>4589</v>
      </c>
      <c r="D40" s="82" t="s">
        <v>48</v>
      </c>
      <c r="E40" s="82">
        <v>0</v>
      </c>
      <c r="F40" s="82">
        <v>1</v>
      </c>
      <c r="G40" s="133" t="s">
        <v>1055</v>
      </c>
      <c r="H40" s="82">
        <v>0</v>
      </c>
      <c r="I40" s="82">
        <v>8</v>
      </c>
      <c r="J40" s="82" t="s">
        <v>1056</v>
      </c>
      <c r="K40" s="437">
        <v>1</v>
      </c>
    </row>
    <row r="41" spans="1:11" ht="25.8">
      <c r="A41" s="1719"/>
      <c r="B41" s="444" t="s">
        <v>4590</v>
      </c>
      <c r="C41" s="152" t="s">
        <v>4591</v>
      </c>
      <c r="D41" s="82" t="s">
        <v>48</v>
      </c>
      <c r="E41" s="82">
        <v>0</v>
      </c>
      <c r="F41" s="82">
        <v>1</v>
      </c>
      <c r="G41" s="133" t="s">
        <v>1055</v>
      </c>
      <c r="H41" s="82">
        <v>0</v>
      </c>
      <c r="I41" s="82">
        <v>8</v>
      </c>
      <c r="J41" s="82" t="s">
        <v>1056</v>
      </c>
      <c r="K41" s="437">
        <v>1</v>
      </c>
    </row>
    <row r="42" spans="1:11" ht="25.8">
      <c r="A42" s="1719"/>
      <c r="B42" s="444" t="s">
        <v>4592</v>
      </c>
      <c r="C42" s="152" t="s">
        <v>4593</v>
      </c>
      <c r="D42" s="82" t="s">
        <v>48</v>
      </c>
      <c r="E42" s="82">
        <v>0</v>
      </c>
      <c r="F42" s="82">
        <v>1</v>
      </c>
      <c r="G42" s="133" t="s">
        <v>1055</v>
      </c>
      <c r="H42" s="82">
        <v>0</v>
      </c>
      <c r="I42" s="82">
        <v>8</v>
      </c>
      <c r="J42" s="82" t="s">
        <v>1056</v>
      </c>
      <c r="K42" s="437">
        <v>1</v>
      </c>
    </row>
    <row r="43" spans="1:11" ht="25.8">
      <c r="A43" s="1719"/>
      <c r="B43" s="444" t="s">
        <v>4594</v>
      </c>
      <c r="C43" s="152" t="s">
        <v>4595</v>
      </c>
      <c r="D43" s="82" t="s">
        <v>48</v>
      </c>
      <c r="E43" s="82">
        <v>0</v>
      </c>
      <c r="F43" s="82">
        <v>1</v>
      </c>
      <c r="G43" s="133" t="s">
        <v>1055</v>
      </c>
      <c r="H43" s="82">
        <v>0</v>
      </c>
      <c r="I43" s="82">
        <v>8</v>
      </c>
      <c r="J43" s="82" t="s">
        <v>1056</v>
      </c>
      <c r="K43" s="437">
        <v>1</v>
      </c>
    </row>
    <row r="44" spans="1:11" ht="25.8">
      <c r="A44" s="1719"/>
      <c r="B44" s="444" t="s">
        <v>4596</v>
      </c>
      <c r="C44" s="152" t="s">
        <v>4597</v>
      </c>
      <c r="D44" s="82" t="s">
        <v>48</v>
      </c>
      <c r="E44" s="82">
        <v>0</v>
      </c>
      <c r="F44" s="82">
        <v>1</v>
      </c>
      <c r="G44" s="133" t="s">
        <v>1055</v>
      </c>
      <c r="H44" s="82">
        <v>0</v>
      </c>
      <c r="I44" s="82">
        <v>8</v>
      </c>
      <c r="J44" s="82" t="s">
        <v>1056</v>
      </c>
      <c r="K44" s="437">
        <v>1</v>
      </c>
    </row>
    <row r="45" spans="1:11" ht="25.8">
      <c r="A45" s="1719"/>
      <c r="B45" s="444" t="s">
        <v>4598</v>
      </c>
      <c r="C45" s="152" t="s">
        <v>4599</v>
      </c>
      <c r="D45" s="82" t="s">
        <v>48</v>
      </c>
      <c r="E45" s="82">
        <v>0</v>
      </c>
      <c r="F45" s="82">
        <v>1</v>
      </c>
      <c r="G45" s="133" t="s">
        <v>1055</v>
      </c>
      <c r="H45" s="82">
        <v>0</v>
      </c>
      <c r="I45" s="82">
        <v>8</v>
      </c>
      <c r="J45" s="82" t="s">
        <v>1056</v>
      </c>
      <c r="K45" s="437">
        <v>1</v>
      </c>
    </row>
    <row r="46" spans="1:11" ht="25.8">
      <c r="A46" s="1719"/>
      <c r="B46" s="444" t="s">
        <v>4600</v>
      </c>
      <c r="C46" s="349" t="s">
        <v>4601</v>
      </c>
      <c r="D46" s="82" t="s">
        <v>48</v>
      </c>
      <c r="E46" s="82">
        <v>0</v>
      </c>
      <c r="F46" s="82">
        <v>1</v>
      </c>
      <c r="G46" s="133" t="s">
        <v>1055</v>
      </c>
      <c r="H46" s="82">
        <v>0</v>
      </c>
      <c r="I46" s="82">
        <v>8</v>
      </c>
      <c r="J46" s="82" t="s">
        <v>1056</v>
      </c>
      <c r="K46" s="437">
        <v>1</v>
      </c>
    </row>
    <row r="47" spans="1:11" ht="25.8">
      <c r="A47" s="1719"/>
      <c r="B47" s="444" t="s">
        <v>4602</v>
      </c>
      <c r="C47" s="152" t="s">
        <v>4603</v>
      </c>
      <c r="D47" s="82" t="s">
        <v>48</v>
      </c>
      <c r="E47" s="82">
        <v>0</v>
      </c>
      <c r="F47" s="82">
        <v>1</v>
      </c>
      <c r="G47" s="133" t="s">
        <v>1055</v>
      </c>
      <c r="H47" s="82">
        <v>0</v>
      </c>
      <c r="I47" s="82">
        <v>8</v>
      </c>
      <c r="J47" s="82" t="s">
        <v>1056</v>
      </c>
      <c r="K47" s="437">
        <v>1</v>
      </c>
    </row>
    <row r="48" spans="1:11" ht="25.8">
      <c r="A48" s="1719"/>
      <c r="B48" s="444" t="s">
        <v>4604</v>
      </c>
      <c r="C48" s="349" t="s">
        <v>4605</v>
      </c>
      <c r="D48" s="82" t="s">
        <v>48</v>
      </c>
      <c r="E48" s="82">
        <v>0</v>
      </c>
      <c r="F48" s="82">
        <v>1</v>
      </c>
      <c r="G48" s="133" t="s">
        <v>1055</v>
      </c>
      <c r="H48" s="82">
        <v>0</v>
      </c>
      <c r="I48" s="82">
        <v>8</v>
      </c>
      <c r="J48" s="82" t="s">
        <v>1056</v>
      </c>
      <c r="K48" s="437">
        <v>1</v>
      </c>
    </row>
    <row r="49" spans="1:11" ht="25.8">
      <c r="A49" s="1719"/>
      <c r="B49" s="444" t="s">
        <v>4606</v>
      </c>
      <c r="C49" s="349" t="s">
        <v>4607</v>
      </c>
      <c r="D49" s="82" t="s">
        <v>48</v>
      </c>
      <c r="E49" s="82">
        <v>0</v>
      </c>
      <c r="F49" s="82">
        <v>1</v>
      </c>
      <c r="G49" s="133" t="s">
        <v>1055</v>
      </c>
      <c r="H49" s="82">
        <v>0</v>
      </c>
      <c r="I49" s="82">
        <v>8</v>
      </c>
      <c r="J49" s="82" t="s">
        <v>1056</v>
      </c>
      <c r="K49" s="437">
        <v>1</v>
      </c>
    </row>
    <row r="50" spans="1:11" ht="25.8">
      <c r="A50" s="1719"/>
      <c r="B50" s="444" t="s">
        <v>4608</v>
      </c>
      <c r="C50" s="152" t="s">
        <v>4609</v>
      </c>
      <c r="D50" s="82" t="s">
        <v>48</v>
      </c>
      <c r="E50" s="82">
        <v>0</v>
      </c>
      <c r="F50" s="82">
        <v>1</v>
      </c>
      <c r="G50" s="133" t="s">
        <v>1055</v>
      </c>
      <c r="H50" s="82">
        <v>0</v>
      </c>
      <c r="I50" s="82">
        <v>8</v>
      </c>
      <c r="J50" s="82" t="s">
        <v>1056</v>
      </c>
      <c r="K50" s="437">
        <v>1</v>
      </c>
    </row>
    <row r="51" spans="1:11" ht="25.8">
      <c r="A51" s="1719"/>
      <c r="B51" s="444" t="s">
        <v>4610</v>
      </c>
      <c r="C51" s="152" t="s">
        <v>4611</v>
      </c>
      <c r="D51" s="82" t="s">
        <v>48</v>
      </c>
      <c r="E51" s="82">
        <v>0</v>
      </c>
      <c r="F51" s="82">
        <v>1</v>
      </c>
      <c r="G51" s="133" t="s">
        <v>1055</v>
      </c>
      <c r="H51" s="82">
        <v>0</v>
      </c>
      <c r="I51" s="82">
        <v>8</v>
      </c>
      <c r="J51" s="82" t="s">
        <v>1056</v>
      </c>
      <c r="K51" s="437">
        <v>1</v>
      </c>
    </row>
    <row r="52" spans="1:11" ht="25.8">
      <c r="A52" s="1719"/>
      <c r="B52" s="444" t="s">
        <v>4612</v>
      </c>
      <c r="C52" s="349" t="s">
        <v>4613</v>
      </c>
      <c r="D52" s="82" t="s">
        <v>48</v>
      </c>
      <c r="E52" s="82">
        <v>0</v>
      </c>
      <c r="F52" s="82">
        <v>1</v>
      </c>
      <c r="G52" s="133" t="s">
        <v>1055</v>
      </c>
      <c r="H52" s="82">
        <v>0</v>
      </c>
      <c r="I52" s="82">
        <v>8</v>
      </c>
      <c r="J52" s="82" t="s">
        <v>1056</v>
      </c>
      <c r="K52" s="437">
        <v>1</v>
      </c>
    </row>
    <row r="53" spans="1:11" ht="25.8">
      <c r="A53" s="1719"/>
      <c r="B53" s="779" t="s">
        <v>4614</v>
      </c>
      <c r="C53" s="781" t="s">
        <v>4615</v>
      </c>
      <c r="D53" s="82" t="s">
        <v>48</v>
      </c>
      <c r="E53" s="82">
        <v>0</v>
      </c>
      <c r="F53" s="82">
        <v>1</v>
      </c>
      <c r="G53" s="133" t="s">
        <v>1055</v>
      </c>
      <c r="H53" s="82">
        <v>0</v>
      </c>
      <c r="I53" s="82">
        <v>8</v>
      </c>
      <c r="J53" s="82" t="s">
        <v>1056</v>
      </c>
      <c r="K53" s="437">
        <v>1</v>
      </c>
    </row>
    <row r="54" spans="1:11" ht="25.8">
      <c r="A54" s="1719"/>
      <c r="B54" s="780" t="s">
        <v>4616</v>
      </c>
      <c r="C54" s="780" t="s">
        <v>4617</v>
      </c>
      <c r="D54" s="82" t="s">
        <v>48</v>
      </c>
      <c r="E54" s="82">
        <v>0</v>
      </c>
      <c r="F54" s="82">
        <v>1</v>
      </c>
      <c r="G54" s="133" t="s">
        <v>1055</v>
      </c>
      <c r="H54" s="82">
        <v>0</v>
      </c>
      <c r="I54" s="82">
        <v>8</v>
      </c>
      <c r="J54" s="82" t="s">
        <v>1056</v>
      </c>
      <c r="K54" s="437">
        <v>1</v>
      </c>
    </row>
    <row r="55" spans="1:11" ht="25.8">
      <c r="A55" s="1719"/>
      <c r="B55" s="444" t="s">
        <v>4618</v>
      </c>
      <c r="C55" s="152" t="s">
        <v>4619</v>
      </c>
      <c r="D55" s="82" t="s">
        <v>48</v>
      </c>
      <c r="E55" s="82">
        <v>0</v>
      </c>
      <c r="F55" s="82">
        <v>1</v>
      </c>
      <c r="G55" s="133" t="s">
        <v>1055</v>
      </c>
      <c r="H55" s="82">
        <v>0</v>
      </c>
      <c r="I55" s="82">
        <v>8</v>
      </c>
      <c r="J55" s="82" t="s">
        <v>1056</v>
      </c>
      <c r="K55" s="437">
        <v>1</v>
      </c>
    </row>
    <row r="56" spans="1:11" ht="25.8">
      <c r="A56" s="1719"/>
      <c r="B56" s="444" t="s">
        <v>4620</v>
      </c>
      <c r="C56" s="152" t="s">
        <v>4621</v>
      </c>
      <c r="D56" s="82" t="s">
        <v>48</v>
      </c>
      <c r="E56" s="82">
        <v>0</v>
      </c>
      <c r="F56" s="82">
        <v>1</v>
      </c>
      <c r="G56" s="133" t="s">
        <v>1055</v>
      </c>
      <c r="H56" s="82">
        <v>0</v>
      </c>
      <c r="I56" s="82">
        <v>8</v>
      </c>
      <c r="J56" s="82" t="s">
        <v>1056</v>
      </c>
      <c r="K56" s="437">
        <v>1</v>
      </c>
    </row>
    <row r="57" spans="1:11" ht="25.8">
      <c r="A57" s="1719"/>
      <c r="B57" s="444" t="s">
        <v>4622</v>
      </c>
      <c r="C57" s="152" t="s">
        <v>4623</v>
      </c>
      <c r="D57" s="82" t="s">
        <v>48</v>
      </c>
      <c r="E57" s="82">
        <v>0</v>
      </c>
      <c r="F57" s="82">
        <v>1</v>
      </c>
      <c r="G57" s="133" t="s">
        <v>1055</v>
      </c>
      <c r="H57" s="82">
        <v>0</v>
      </c>
      <c r="I57" s="82">
        <v>8</v>
      </c>
      <c r="J57" s="82" t="s">
        <v>1056</v>
      </c>
      <c r="K57" s="437">
        <v>1</v>
      </c>
    </row>
    <row r="58" spans="1:11" ht="25.8">
      <c r="A58" s="1719"/>
      <c r="B58" s="444" t="s">
        <v>4624</v>
      </c>
      <c r="C58" s="152" t="s">
        <v>4625</v>
      </c>
      <c r="D58" s="82" t="s">
        <v>48</v>
      </c>
      <c r="E58" s="82">
        <v>0</v>
      </c>
      <c r="F58" s="82">
        <v>1</v>
      </c>
      <c r="G58" s="133" t="s">
        <v>1055</v>
      </c>
      <c r="H58" s="82">
        <v>0</v>
      </c>
      <c r="I58" s="82">
        <v>8</v>
      </c>
      <c r="J58" s="82" t="s">
        <v>1056</v>
      </c>
      <c r="K58" s="437">
        <v>1</v>
      </c>
    </row>
    <row r="59" spans="1:11" ht="25.8">
      <c r="A59" s="1720"/>
      <c r="B59" s="445" t="s">
        <v>4626</v>
      </c>
      <c r="C59" s="300" t="s">
        <v>4627</v>
      </c>
      <c r="D59" s="82" t="s">
        <v>48</v>
      </c>
      <c r="E59" s="82">
        <v>0</v>
      </c>
      <c r="F59" s="82">
        <v>1</v>
      </c>
      <c r="G59" s="133" t="s">
        <v>1055</v>
      </c>
      <c r="H59" s="82">
        <v>0</v>
      </c>
      <c r="I59" s="82">
        <v>8</v>
      </c>
      <c r="J59" s="82" t="s">
        <v>1056</v>
      </c>
      <c r="K59" s="437">
        <v>1</v>
      </c>
    </row>
    <row r="60" spans="1:11" ht="25.8">
      <c r="A60" s="1720"/>
      <c r="B60" s="780" t="s">
        <v>4628</v>
      </c>
      <c r="C60" s="780" t="s">
        <v>4629</v>
      </c>
      <c r="D60" s="82" t="s">
        <v>48</v>
      </c>
      <c r="E60" s="82">
        <v>0</v>
      </c>
      <c r="F60" s="82">
        <v>1</v>
      </c>
      <c r="G60" s="133" t="s">
        <v>1055</v>
      </c>
      <c r="H60" s="82">
        <v>0</v>
      </c>
      <c r="I60" s="82">
        <v>8</v>
      </c>
      <c r="J60" s="82" t="s">
        <v>1056</v>
      </c>
      <c r="K60" s="437">
        <v>1</v>
      </c>
    </row>
    <row r="61" spans="1:11" ht="25.8">
      <c r="A61" s="1720"/>
      <c r="B61" s="779" t="s">
        <v>4630</v>
      </c>
      <c r="C61" s="781" t="s">
        <v>4631</v>
      </c>
      <c r="D61" s="82" t="s">
        <v>48</v>
      </c>
      <c r="E61" s="82">
        <v>0</v>
      </c>
      <c r="F61" s="82">
        <v>1</v>
      </c>
      <c r="G61" s="133" t="s">
        <v>1055</v>
      </c>
      <c r="H61" s="82">
        <v>0</v>
      </c>
      <c r="I61" s="82">
        <v>8</v>
      </c>
      <c r="J61" s="82" t="s">
        <v>1056</v>
      </c>
      <c r="K61" s="437">
        <v>1</v>
      </c>
    </row>
    <row r="62" spans="1:11" ht="25.8">
      <c r="A62" s="1720"/>
      <c r="B62" s="780" t="s">
        <v>4632</v>
      </c>
      <c r="C62" s="780" t="s">
        <v>4633</v>
      </c>
      <c r="D62" s="291" t="s">
        <v>48</v>
      </c>
      <c r="E62" s="291">
        <v>0</v>
      </c>
      <c r="F62" s="291">
        <v>1</v>
      </c>
      <c r="G62" s="301" t="s">
        <v>1055</v>
      </c>
      <c r="H62" s="291">
        <v>0</v>
      </c>
      <c r="I62" s="291">
        <v>8</v>
      </c>
      <c r="J62" s="291" t="s">
        <v>1056</v>
      </c>
      <c r="K62" s="438">
        <v>1</v>
      </c>
    </row>
    <row r="63" spans="1:11" ht="124.5" customHeight="1">
      <c r="A63" s="446" t="s">
        <v>733</v>
      </c>
      <c r="B63" s="296" t="s">
        <v>48</v>
      </c>
      <c r="C63" s="351" t="s">
        <v>4634</v>
      </c>
      <c r="D63" s="89" t="s">
        <v>48</v>
      </c>
      <c r="E63" s="89">
        <v>0</v>
      </c>
      <c r="F63" s="89">
        <v>255</v>
      </c>
      <c r="G63" s="299" t="s">
        <v>4635</v>
      </c>
      <c r="H63" s="89">
        <v>255</v>
      </c>
      <c r="I63" s="509">
        <v>8</v>
      </c>
      <c r="J63" s="510" t="s">
        <v>743</v>
      </c>
      <c r="K63" s="511" t="s">
        <v>48</v>
      </c>
    </row>
  </sheetData>
  <autoFilter ref="A3:J23" xr:uid="{0C9A0432-0B9E-4988-A208-DCD371ACCAC9}"/>
  <mergeCells count="6">
    <mergeCell ref="A24:A62"/>
    <mergeCell ref="B1:C1"/>
    <mergeCell ref="D1:E1"/>
    <mergeCell ref="A4:A9"/>
    <mergeCell ref="A10:A15"/>
    <mergeCell ref="A16:A19"/>
  </mergeCells>
  <conditionalFormatting sqref="J4:K8 B4:H8 A63 C63:I63 H4:I9 B10:J15 H23:J23 I21:I22 K4:K15 D20:J20 D24:I31 K20:K31 D62:I62 D53:K54 J62:K63 B55:K59 D60:K61 B32:K52">
    <cfRule type="expression" dxfId="92" priority="85">
      <formula>MOD(ROW(), 2)=0</formula>
    </cfRule>
  </conditionalFormatting>
  <conditionalFormatting sqref="J5:K5 J7:K7">
    <cfRule type="expression" dxfId="91" priority="84">
      <formula>MOD(ROW(), 2)=0</formula>
    </cfRule>
  </conditionalFormatting>
  <conditionalFormatting sqref="J4:K4 J6:K6 J8:K8 K9:K15">
    <cfRule type="expression" dxfId="90" priority="83">
      <formula>MOD(ROW(), 2)=0</formula>
    </cfRule>
  </conditionalFormatting>
  <conditionalFormatting sqref="J9:K9">
    <cfRule type="expression" dxfId="89" priority="80">
      <formula>MOD(ROW(), 2)=0</formula>
    </cfRule>
  </conditionalFormatting>
  <conditionalFormatting sqref="J11:K11 J13:K14">
    <cfRule type="expression" dxfId="88" priority="78">
      <formula>MOD(ROW(), 2)=0</formula>
    </cfRule>
  </conditionalFormatting>
  <conditionalFormatting sqref="J10:K10 J12:K12 J15:K15">
    <cfRule type="expression" dxfId="87" priority="77">
      <formula>MOD(ROW(), 2)=0</formula>
    </cfRule>
  </conditionalFormatting>
  <conditionalFormatting sqref="A21:C21">
    <cfRule type="expression" dxfId="86" priority="75">
      <formula>MOD(ROW(), 2)=0</formula>
    </cfRule>
  </conditionalFormatting>
  <conditionalFormatting sqref="A22">
    <cfRule type="expression" dxfId="85" priority="74">
      <formula>MOD(ROW(), 2)=0</formula>
    </cfRule>
  </conditionalFormatting>
  <conditionalFormatting sqref="A23">
    <cfRule type="expression" dxfId="84" priority="73">
      <formula>MOD(ROW(), 2)=0</formula>
    </cfRule>
  </conditionalFormatting>
  <conditionalFormatting sqref="D22:H22 J22:K22">
    <cfRule type="expression" dxfId="83" priority="72">
      <formula>MOD(ROW(), 2)=0</formula>
    </cfRule>
  </conditionalFormatting>
  <conditionalFormatting sqref="D23:F23">
    <cfRule type="expression" dxfId="82" priority="71">
      <formula>MOD(ROW(), 2)=0</formula>
    </cfRule>
  </conditionalFormatting>
  <conditionalFormatting sqref="C22:C23">
    <cfRule type="expression" dxfId="81" priority="70">
      <formula>MOD(ROW(), 2)=0</formula>
    </cfRule>
  </conditionalFormatting>
  <conditionalFormatting sqref="B23">
    <cfRule type="expression" dxfId="80" priority="69">
      <formula>MOD(ROW(), 2)=0</formula>
    </cfRule>
  </conditionalFormatting>
  <conditionalFormatting sqref="H21">
    <cfRule type="expression" dxfId="79" priority="66">
      <formula>MOD(ROW(), 2)=0</formula>
    </cfRule>
  </conditionalFormatting>
  <conditionalFormatting sqref="D21:E21">
    <cfRule type="expression" dxfId="78" priority="65">
      <formula>MOD(ROW(), 2)=0</formula>
    </cfRule>
  </conditionalFormatting>
  <conditionalFormatting sqref="F21">
    <cfRule type="expression" dxfId="77" priority="64">
      <formula>MOD(ROW(), 2)=0</formula>
    </cfRule>
  </conditionalFormatting>
  <conditionalFormatting sqref="J21:K21">
    <cfRule type="expression" dxfId="76" priority="63">
      <formula>MOD(ROW(), 2)=0</formula>
    </cfRule>
  </conditionalFormatting>
  <conditionalFormatting sqref="J21:K21">
    <cfRule type="expression" dxfId="75" priority="62">
      <formula>MOD(ROW(), 2)=0</formula>
    </cfRule>
  </conditionalFormatting>
  <conditionalFormatting sqref="G21">
    <cfRule type="expression" dxfId="74" priority="61">
      <formula>MOD(ROW(), 2)=0</formula>
    </cfRule>
  </conditionalFormatting>
  <conditionalFormatting sqref="G23">
    <cfRule type="expression" dxfId="73" priority="60">
      <formula>MOD(ROW(), 2)=0</formula>
    </cfRule>
  </conditionalFormatting>
  <conditionalFormatting sqref="A10">
    <cfRule type="expression" dxfId="72" priority="37">
      <formula>MOD(ROW(), 2)=0</formula>
    </cfRule>
  </conditionalFormatting>
  <conditionalFormatting sqref="B20:C20">
    <cfRule type="expression" dxfId="71" priority="32">
      <formula>MOD(ROW(), 2)=0</formula>
    </cfRule>
  </conditionalFormatting>
  <conditionalFormatting sqref="B24:C28 C29:C31">
    <cfRule type="expression" dxfId="70" priority="9">
      <formula>MOD(ROW(), 2)=0</formula>
    </cfRule>
  </conditionalFormatting>
  <conditionalFormatting sqref="J24:K31 K32:K63">
    <cfRule type="expression" dxfId="69" priority="7">
      <formula>MOD(ROW(), 2)=0</formula>
    </cfRule>
  </conditionalFormatting>
  <conditionalFormatting sqref="A20">
    <cfRule type="expression" dxfId="68" priority="4">
      <formula>MOD(ROW(), 2)=0</formula>
    </cfRule>
  </conditionalFormatting>
  <conditionalFormatting sqref="B63">
    <cfRule type="expression" dxfId="67" priority="2">
      <formula>MOD(ROW(), 2)=0</formula>
    </cfRule>
  </conditionalFormatting>
  <conditionalFormatting sqref="B29:B31">
    <cfRule type="expression" dxfId="66" priority="1">
      <formula>MOD(ROW(), 2)=0</formula>
    </cfRule>
  </conditionalFormatting>
  <hyperlinks>
    <hyperlink ref="I1" location="'AVI_Calibration'!A1" display="AVI_Calibration" xr:uid="{CBA3DCD6-156D-428E-9DEA-9FD2F5E1D069}"/>
  </hyperlinks>
  <pageMargins left="0.7" right="0.7" top="0.75" bottom="0.75" header="0.3" footer="0.3"/>
  <pageSetup paperSize="9" orientation="portrait" r:id="rId1"/>
  <headerFooter>
    <oddFooter>&amp;C_x000D_&amp;1#&amp;"Calibri"&amp;11&amp;KFF0000 Internal</oddFooter>
  </headerFooter>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C1FA1-37DB-4836-8954-76B1FD26F25C}">
  <sheetPr codeName="Sheet67"/>
  <dimension ref="A1:E39"/>
  <sheetViews>
    <sheetView workbookViewId="0">
      <pane ySplit="1" topLeftCell="A38" activePane="bottomLeft" state="frozen"/>
      <selection activeCell="C22" activeCellId="1" sqref="A1:AS1 C22"/>
      <selection pane="bottomLeft" activeCell="B39" sqref="B39"/>
    </sheetView>
  </sheetViews>
  <sheetFormatPr defaultColWidth="9.15625" defaultRowHeight="14.4"/>
  <cols>
    <col min="1" max="1" width="10.26171875" style="1014" bestFit="1" customWidth="1"/>
    <col min="2" max="2" width="12.15625" style="51" customWidth="1"/>
    <col min="3" max="3" width="84.26171875" customWidth="1"/>
    <col min="4" max="4" width="15.68359375" customWidth="1"/>
    <col min="5" max="5" width="10.83984375" bestFit="1" customWidth="1"/>
  </cols>
  <sheetData>
    <row r="1" spans="1:5">
      <c r="A1" s="1014" t="s">
        <v>644</v>
      </c>
      <c r="B1" s="51" t="s">
        <v>645</v>
      </c>
      <c r="C1" t="s">
        <v>646</v>
      </c>
      <c r="D1" t="s">
        <v>647</v>
      </c>
      <c r="E1" t="s">
        <v>793</v>
      </c>
    </row>
    <row r="2" spans="1:5">
      <c r="A2" s="1015">
        <v>0.1</v>
      </c>
      <c r="B2" s="51">
        <v>44701</v>
      </c>
      <c r="C2" s="576" t="s">
        <v>4636</v>
      </c>
      <c r="D2" s="5" t="s">
        <v>683</v>
      </c>
      <c r="E2" s="5" t="s">
        <v>655</v>
      </c>
    </row>
    <row r="3" spans="1:5" ht="316.8">
      <c r="A3" s="1015">
        <v>0.1</v>
      </c>
      <c r="B3" s="51">
        <v>44701</v>
      </c>
      <c r="C3" s="576" t="s">
        <v>4637</v>
      </c>
      <c r="D3" s="5" t="s">
        <v>683</v>
      </c>
      <c r="E3" s="5" t="s">
        <v>655</v>
      </c>
    </row>
    <row r="4" spans="1:5" ht="273.60000000000002">
      <c r="A4" s="1015">
        <v>0.1</v>
      </c>
      <c r="B4" s="51">
        <v>44701</v>
      </c>
      <c r="C4" s="576" t="s">
        <v>4638</v>
      </c>
      <c r="D4" s="5" t="s">
        <v>683</v>
      </c>
      <c r="E4" s="5" t="s">
        <v>655</v>
      </c>
    </row>
    <row r="5" spans="1:5" ht="86.4">
      <c r="A5" s="1015">
        <v>0.2</v>
      </c>
      <c r="B5" s="51">
        <v>44704</v>
      </c>
      <c r="C5" s="583" t="s">
        <v>4639</v>
      </c>
      <c r="D5" s="5" t="s">
        <v>683</v>
      </c>
      <c r="E5" s="5" t="s">
        <v>655</v>
      </c>
    </row>
    <row r="6" spans="1:5">
      <c r="A6" s="1010">
        <v>0.2</v>
      </c>
      <c r="B6" s="51">
        <v>44711</v>
      </c>
      <c r="C6" s="576" t="s">
        <v>4640</v>
      </c>
      <c r="D6" s="5" t="s">
        <v>4641</v>
      </c>
      <c r="E6" s="5" t="s">
        <v>655</v>
      </c>
    </row>
    <row r="7" spans="1:5" ht="72">
      <c r="A7" s="1010">
        <v>0.3</v>
      </c>
      <c r="B7" s="51">
        <v>44711</v>
      </c>
      <c r="C7" s="576" t="s">
        <v>4642</v>
      </c>
      <c r="D7" s="5" t="s">
        <v>683</v>
      </c>
      <c r="E7" s="5" t="s">
        <v>655</v>
      </c>
    </row>
    <row r="8" spans="1:5">
      <c r="A8" s="1010">
        <v>0.3</v>
      </c>
      <c r="B8" s="51">
        <v>44711</v>
      </c>
      <c r="C8" s="5" t="s">
        <v>4643</v>
      </c>
      <c r="D8" s="5" t="s">
        <v>4641</v>
      </c>
      <c r="E8" s="5" t="s">
        <v>655</v>
      </c>
    </row>
    <row r="9" spans="1:5">
      <c r="A9" s="1010">
        <v>0.4</v>
      </c>
      <c r="B9" s="51">
        <v>44712</v>
      </c>
      <c r="C9" s="576" t="s">
        <v>4644</v>
      </c>
      <c r="D9" s="5" t="s">
        <v>683</v>
      </c>
      <c r="E9" s="5" t="s">
        <v>655</v>
      </c>
    </row>
    <row r="10" spans="1:5">
      <c r="A10" s="1010">
        <v>0.4</v>
      </c>
      <c r="B10" s="51">
        <v>44712</v>
      </c>
      <c r="C10" s="576" t="s">
        <v>1752</v>
      </c>
      <c r="D10" s="5" t="s">
        <v>658</v>
      </c>
      <c r="E10" s="5" t="s">
        <v>655</v>
      </c>
    </row>
    <row r="11" spans="1:5">
      <c r="A11" s="1010">
        <v>1</v>
      </c>
      <c r="B11" s="51">
        <v>44712</v>
      </c>
      <c r="C11" s="576" t="s">
        <v>651</v>
      </c>
      <c r="D11" s="5" t="s">
        <v>683</v>
      </c>
      <c r="E11" s="5" t="s">
        <v>651</v>
      </c>
    </row>
    <row r="12" spans="1:5">
      <c r="A12" s="628">
        <v>1</v>
      </c>
      <c r="B12" s="575">
        <v>44719</v>
      </c>
      <c r="C12" s="589" t="s">
        <v>660</v>
      </c>
      <c r="D12" s="590" t="s">
        <v>654</v>
      </c>
      <c r="E12" s="591" t="s">
        <v>661</v>
      </c>
    </row>
    <row r="13" spans="1:5">
      <c r="A13" s="1010">
        <v>1</v>
      </c>
      <c r="B13" s="51">
        <v>44742</v>
      </c>
      <c r="C13" s="576" t="s">
        <v>667</v>
      </c>
      <c r="D13" s="5" t="s">
        <v>654</v>
      </c>
      <c r="E13" s="5" t="s">
        <v>661</v>
      </c>
    </row>
    <row r="14" spans="1:5">
      <c r="A14" s="628">
        <v>1.1000000000000001</v>
      </c>
      <c r="B14" s="191">
        <v>44895</v>
      </c>
      <c r="C14" s="594" t="s">
        <v>4333</v>
      </c>
      <c r="D14" s="595" t="s">
        <v>683</v>
      </c>
      <c r="E14" s="596" t="s">
        <v>655</v>
      </c>
    </row>
    <row r="15" spans="1:5">
      <c r="A15" s="1010">
        <v>1.2</v>
      </c>
      <c r="B15" s="51">
        <v>44897</v>
      </c>
      <c r="C15" s="5" t="s">
        <v>4645</v>
      </c>
      <c r="D15" s="5" t="s">
        <v>683</v>
      </c>
      <c r="E15" s="5" t="s">
        <v>655</v>
      </c>
    </row>
    <row r="16" spans="1:5" ht="100.8">
      <c r="A16" s="628">
        <v>1.3</v>
      </c>
      <c r="B16" s="575">
        <v>44903</v>
      </c>
      <c r="C16" s="589" t="s">
        <v>4646</v>
      </c>
      <c r="D16" s="590" t="s">
        <v>796</v>
      </c>
      <c r="E16" s="591" t="s">
        <v>655</v>
      </c>
    </row>
    <row r="17" spans="1:5">
      <c r="A17" s="1010">
        <v>1.3</v>
      </c>
      <c r="B17" s="51">
        <v>44943</v>
      </c>
      <c r="C17" s="5" t="s">
        <v>4647</v>
      </c>
      <c r="D17" s="5" t="s">
        <v>676</v>
      </c>
      <c r="E17" s="5" t="s">
        <v>655</v>
      </c>
    </row>
    <row r="18" spans="1:5" ht="57.6">
      <c r="A18" s="628">
        <v>1.4</v>
      </c>
      <c r="B18" s="575">
        <v>44943</v>
      </c>
      <c r="C18" s="576" t="s">
        <v>4648</v>
      </c>
      <c r="D18" s="590" t="s">
        <v>796</v>
      </c>
      <c r="E18" s="591" t="s">
        <v>655</v>
      </c>
    </row>
    <row r="19" spans="1:5" ht="57.6">
      <c r="A19" s="1010">
        <v>1.5</v>
      </c>
      <c r="B19" s="51">
        <v>44946</v>
      </c>
      <c r="C19" s="576" t="s">
        <v>4649</v>
      </c>
      <c r="D19" s="5" t="s">
        <v>796</v>
      </c>
      <c r="E19" s="5" t="s">
        <v>655</v>
      </c>
    </row>
    <row r="20" spans="1:5">
      <c r="A20" s="1010">
        <v>1.5</v>
      </c>
      <c r="B20" s="575">
        <v>44946</v>
      </c>
      <c r="C20" s="576" t="s">
        <v>4643</v>
      </c>
      <c r="D20" s="5" t="s">
        <v>676</v>
      </c>
      <c r="E20" s="5" t="s">
        <v>655</v>
      </c>
    </row>
    <row r="21" spans="1:5">
      <c r="A21" s="1021">
        <v>1.6</v>
      </c>
      <c r="B21" s="638">
        <v>44956</v>
      </c>
      <c r="C21" s="711" t="s">
        <v>4650</v>
      </c>
      <c r="D21" s="640" t="s">
        <v>1001</v>
      </c>
      <c r="E21" s="641" t="s">
        <v>655</v>
      </c>
    </row>
    <row r="22" spans="1:5">
      <c r="A22" s="1010">
        <v>1.7</v>
      </c>
      <c r="B22" s="575">
        <v>44957</v>
      </c>
      <c r="C22" s="5" t="s">
        <v>4651</v>
      </c>
      <c r="D22" s="5" t="s">
        <v>810</v>
      </c>
      <c r="E22" s="5" t="s">
        <v>655</v>
      </c>
    </row>
    <row r="23" spans="1:5">
      <c r="A23" s="1010">
        <v>1.7</v>
      </c>
      <c r="B23" s="51">
        <v>44957</v>
      </c>
      <c r="C23" s="5" t="s">
        <v>4643</v>
      </c>
      <c r="D23" s="5" t="s">
        <v>796</v>
      </c>
      <c r="E23" s="5" t="s">
        <v>655</v>
      </c>
    </row>
    <row r="24" spans="1:5">
      <c r="A24" s="1010">
        <v>2</v>
      </c>
      <c r="B24" s="51">
        <v>44957</v>
      </c>
      <c r="C24" s="5" t="s">
        <v>651</v>
      </c>
      <c r="D24" s="5" t="s">
        <v>810</v>
      </c>
      <c r="E24" s="5" t="s">
        <v>651</v>
      </c>
    </row>
    <row r="25" spans="1:5">
      <c r="A25" s="1010">
        <v>2</v>
      </c>
      <c r="B25" s="51">
        <v>44957</v>
      </c>
      <c r="C25" s="5" t="s">
        <v>687</v>
      </c>
      <c r="D25" s="5" t="s">
        <v>676</v>
      </c>
      <c r="E25" s="5" t="s">
        <v>661</v>
      </c>
    </row>
    <row r="26" spans="1:5">
      <c r="A26" s="1010">
        <v>2</v>
      </c>
      <c r="B26" s="51">
        <v>44970</v>
      </c>
      <c r="C26" s="576" t="s">
        <v>691</v>
      </c>
      <c r="D26" s="5" t="s">
        <v>676</v>
      </c>
      <c r="E26" s="5" t="s">
        <v>661</v>
      </c>
    </row>
    <row r="27" spans="1:5">
      <c r="A27" s="1059">
        <v>2</v>
      </c>
      <c r="B27" s="748">
        <v>44987</v>
      </c>
      <c r="C27" s="749" t="s">
        <v>4652</v>
      </c>
      <c r="D27" s="749" t="s">
        <v>810</v>
      </c>
      <c r="E27" s="750" t="s">
        <v>661</v>
      </c>
    </row>
    <row r="28" spans="1:5">
      <c r="A28" s="1010">
        <v>2</v>
      </c>
      <c r="B28" s="191">
        <v>44998</v>
      </c>
      <c r="C28" s="576" t="s">
        <v>692</v>
      </c>
      <c r="D28" s="5" t="s">
        <v>678</v>
      </c>
      <c r="E28" s="5" t="s">
        <v>661</v>
      </c>
    </row>
    <row r="29" spans="1:5" ht="175.8">
      <c r="A29" s="1014">
        <v>2.1</v>
      </c>
      <c r="B29" s="51">
        <v>45019</v>
      </c>
      <c r="C29" s="29" t="s">
        <v>4653</v>
      </c>
      <c r="D29" t="s">
        <v>814</v>
      </c>
      <c r="E29" t="s">
        <v>655</v>
      </c>
    </row>
    <row r="30" spans="1:5">
      <c r="A30" s="1014">
        <v>2.1</v>
      </c>
      <c r="B30" s="51">
        <v>45019</v>
      </c>
      <c r="C30" t="s">
        <v>4654</v>
      </c>
      <c r="D30" t="s">
        <v>658</v>
      </c>
      <c r="E30" t="s">
        <v>655</v>
      </c>
    </row>
    <row r="31" spans="1:5" ht="51" customHeight="1">
      <c r="A31" s="1014">
        <v>2.1</v>
      </c>
      <c r="B31" s="51">
        <v>45042</v>
      </c>
      <c r="C31" s="2" t="s">
        <v>4655</v>
      </c>
      <c r="D31" t="s">
        <v>814</v>
      </c>
      <c r="E31" t="s">
        <v>655</v>
      </c>
    </row>
    <row r="32" spans="1:5" ht="172.8">
      <c r="A32" s="1014">
        <v>2.2000000000000002</v>
      </c>
      <c r="B32" s="51">
        <v>45057</v>
      </c>
      <c r="C32" s="2" t="s">
        <v>4656</v>
      </c>
      <c r="D32" t="s">
        <v>814</v>
      </c>
      <c r="E32" t="s">
        <v>655</v>
      </c>
    </row>
    <row r="33" spans="1:5">
      <c r="A33" s="1014">
        <v>2.2000000000000002</v>
      </c>
      <c r="B33" s="51">
        <v>45062</v>
      </c>
      <c r="C33" t="s">
        <v>4654</v>
      </c>
      <c r="D33" t="s">
        <v>697</v>
      </c>
      <c r="E33" t="s">
        <v>655</v>
      </c>
    </row>
    <row r="34" spans="1:5" ht="57.6">
      <c r="A34" s="1014">
        <v>2.2999999999999998</v>
      </c>
      <c r="B34" s="51">
        <v>45062</v>
      </c>
      <c r="C34" s="2" t="s">
        <v>4657</v>
      </c>
      <c r="D34" t="s">
        <v>814</v>
      </c>
      <c r="E34" t="s">
        <v>655</v>
      </c>
    </row>
    <row r="35" spans="1:5">
      <c r="A35" s="1014">
        <v>2.2999999999999998</v>
      </c>
      <c r="B35" s="51">
        <v>45062</v>
      </c>
      <c r="C35" t="s">
        <v>4658</v>
      </c>
      <c r="D35" t="s">
        <v>697</v>
      </c>
      <c r="E35" t="s">
        <v>655</v>
      </c>
    </row>
    <row r="36" spans="1:5">
      <c r="A36" s="1014" t="s">
        <v>666</v>
      </c>
      <c r="B36" s="51">
        <v>45078</v>
      </c>
      <c r="C36" t="s">
        <v>651</v>
      </c>
      <c r="D36" t="s">
        <v>814</v>
      </c>
      <c r="E36" t="s">
        <v>651</v>
      </c>
    </row>
    <row r="37" spans="1:5">
      <c r="A37" s="1010" t="s">
        <v>666</v>
      </c>
      <c r="B37" s="191">
        <v>45078</v>
      </c>
      <c r="C37" s="5" t="s">
        <v>699</v>
      </c>
      <c r="D37" s="5" t="s">
        <v>678</v>
      </c>
      <c r="E37" s="5" t="s">
        <v>661</v>
      </c>
    </row>
    <row r="38" spans="1:5">
      <c r="A38" s="1010" t="s">
        <v>666</v>
      </c>
      <c r="B38" s="191">
        <v>45097</v>
      </c>
      <c r="C38" s="5" t="s">
        <v>700</v>
      </c>
      <c r="D38" s="5" t="s">
        <v>678</v>
      </c>
      <c r="E38" s="5" t="s">
        <v>661</v>
      </c>
    </row>
    <row r="39" spans="1:5">
      <c r="A39" s="1010" t="s">
        <v>666</v>
      </c>
      <c r="B39" s="1065">
        <v>45205</v>
      </c>
      <c r="C39" s="595" t="s">
        <v>701</v>
      </c>
      <c r="D39" s="595" t="s">
        <v>678</v>
      </c>
      <c r="E39" s="596" t="s">
        <v>661</v>
      </c>
    </row>
  </sheetData>
  <pageMargins left="0.7" right="0.7" top="0.75" bottom="0.75" header="0.3" footer="0.3"/>
  <headerFooter>
    <oddFooter>&amp;C_x000D_&amp;1#&amp;"Calibri"&amp;11&amp;KFF0000 Internal</oddFooter>
  </headerFooter>
  <tableParts count="1">
    <tablePart r:id="rId1"/>
  </tableParts>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084AE-9CBC-4DD0-92A8-BD51D5171DB0}">
  <sheetPr codeName="Sheet38"/>
  <dimension ref="A1:L77"/>
  <sheetViews>
    <sheetView zoomScaleNormal="100" workbookViewId="0">
      <pane ySplit="3" topLeftCell="A4" activePane="bottomLeft" state="frozen"/>
      <selection activeCell="C22" activeCellId="1" sqref="A1:AS1 C22"/>
      <selection pane="bottomLeft" activeCell="B5" sqref="B5"/>
    </sheetView>
  </sheetViews>
  <sheetFormatPr defaultColWidth="9.15625" defaultRowHeight="14.4"/>
  <cols>
    <col min="1" max="1" width="26.41796875" customWidth="1"/>
    <col min="2" max="2" width="31.68359375" bestFit="1" customWidth="1"/>
    <col min="3" max="3" width="44.26171875" customWidth="1"/>
    <col min="4" max="4" width="9.15625" customWidth="1"/>
    <col min="5" max="5" width="7.15625" customWidth="1"/>
    <col min="6" max="6" width="14.68359375" customWidth="1"/>
    <col min="7" max="7" width="19.15625" style="3" customWidth="1"/>
    <col min="8" max="8" width="20.68359375" customWidth="1"/>
    <col min="9" max="9" width="9.41796875" style="1" bestFit="1" customWidth="1"/>
    <col min="10" max="10" width="23.68359375" customWidth="1"/>
    <col min="11" max="11" width="17.41796875" customWidth="1"/>
    <col min="12" max="12" width="38.68359375" style="165" customWidth="1"/>
    <col min="14" max="14" width="11" bestFit="1" customWidth="1"/>
  </cols>
  <sheetData>
    <row r="1" spans="1:11">
      <c r="A1" s="364" t="s">
        <v>4509</v>
      </c>
      <c r="B1" s="1733" t="s">
        <v>703</v>
      </c>
      <c r="C1" s="1734"/>
      <c r="D1" s="1733" t="s">
        <v>106</v>
      </c>
      <c r="E1" s="1734"/>
      <c r="F1" s="1023" t="str" cm="1">
        <f t="array" ref="F1">INDEX(Table49[[#All],[Revision]],COUNTA(Table49[[#All],[Revision]]))</f>
        <v>5</v>
      </c>
      <c r="G1" s="365" t="s">
        <v>69</v>
      </c>
      <c r="H1" s="366"/>
      <c r="I1" s="367"/>
      <c r="J1" s="367"/>
      <c r="K1" s="368"/>
    </row>
    <row r="2" spans="1:11" ht="66" customHeight="1">
      <c r="A2" s="1740" t="s">
        <v>4659</v>
      </c>
      <c r="B2" s="1740"/>
      <c r="C2" s="367"/>
      <c r="D2" s="367"/>
      <c r="E2" s="367"/>
      <c r="F2" s="367"/>
      <c r="G2" s="369"/>
      <c r="H2" s="367"/>
      <c r="I2" s="369"/>
      <c r="J2" s="367"/>
      <c r="K2" s="368"/>
    </row>
    <row r="3" spans="1:11" ht="33" customHeight="1">
      <c r="A3" s="377" t="s">
        <v>4510</v>
      </c>
      <c r="B3" s="378" t="s">
        <v>4511</v>
      </c>
      <c r="C3" s="378" t="s">
        <v>710</v>
      </c>
      <c r="D3" s="379" t="s">
        <v>711</v>
      </c>
      <c r="E3" s="379" t="s">
        <v>712</v>
      </c>
      <c r="F3" s="379" t="s">
        <v>713</v>
      </c>
      <c r="G3" s="379" t="s">
        <v>714</v>
      </c>
      <c r="H3" s="380" t="s">
        <v>715</v>
      </c>
      <c r="I3" s="379" t="s">
        <v>716</v>
      </c>
      <c r="J3" s="379" t="s">
        <v>717</v>
      </c>
      <c r="K3" s="413" t="s">
        <v>4512</v>
      </c>
    </row>
    <row r="4" spans="1:11" ht="30" customHeight="1">
      <c r="A4" s="381" t="s">
        <v>1583</v>
      </c>
      <c r="B4" s="382" t="s">
        <v>48</v>
      </c>
      <c r="C4" s="383" t="s">
        <v>4660</v>
      </c>
      <c r="D4" s="382" t="s">
        <v>48</v>
      </c>
      <c r="E4" s="382">
        <v>0</v>
      </c>
      <c r="F4" s="382" t="s">
        <v>920</v>
      </c>
      <c r="G4" s="382" t="s">
        <v>4661</v>
      </c>
      <c r="H4" s="382" t="s">
        <v>920</v>
      </c>
      <c r="I4" s="340">
        <v>32</v>
      </c>
      <c r="J4" s="382" t="s">
        <v>922</v>
      </c>
      <c r="K4" s="384" t="s">
        <v>48</v>
      </c>
    </row>
    <row r="5" spans="1:11" ht="38.700000000000003">
      <c r="A5" s="381" t="s">
        <v>1577</v>
      </c>
      <c r="B5" s="382" t="s">
        <v>48</v>
      </c>
      <c r="C5" s="383" t="s">
        <v>4662</v>
      </c>
      <c r="D5" s="382" t="s">
        <v>48</v>
      </c>
      <c r="E5" s="382">
        <v>0</v>
      </c>
      <c r="F5" s="382" t="s">
        <v>920</v>
      </c>
      <c r="G5" s="382" t="s">
        <v>4661</v>
      </c>
      <c r="H5" s="382" t="s">
        <v>920</v>
      </c>
      <c r="I5" s="340">
        <v>32</v>
      </c>
      <c r="J5" s="382" t="s">
        <v>922</v>
      </c>
      <c r="K5" s="384" t="s">
        <v>48</v>
      </c>
    </row>
    <row r="6" spans="1:11" ht="105" customHeight="1">
      <c r="A6" s="381" t="s">
        <v>728</v>
      </c>
      <c r="B6" s="382" t="s">
        <v>48</v>
      </c>
      <c r="C6" s="383" t="s">
        <v>4663</v>
      </c>
      <c r="D6" s="382" t="s">
        <v>48</v>
      </c>
      <c r="E6" s="382">
        <v>0</v>
      </c>
      <c r="F6" s="382">
        <v>4294967295</v>
      </c>
      <c r="G6" s="382" t="s">
        <v>1031</v>
      </c>
      <c r="H6" s="382">
        <v>4294967295</v>
      </c>
      <c r="I6" s="340">
        <v>32</v>
      </c>
      <c r="J6" s="382" t="s">
        <v>1032</v>
      </c>
      <c r="K6" s="384" t="s">
        <v>48</v>
      </c>
    </row>
    <row r="7" spans="1:11" ht="23.25" customHeight="1">
      <c r="A7" s="381" t="s">
        <v>823</v>
      </c>
      <c r="B7" s="382" t="s">
        <v>48</v>
      </c>
      <c r="C7" s="385" t="s">
        <v>4664</v>
      </c>
      <c r="D7" s="382" t="s">
        <v>48</v>
      </c>
      <c r="E7" s="382">
        <v>0</v>
      </c>
      <c r="F7" s="382">
        <v>65535</v>
      </c>
      <c r="G7" s="382" t="s">
        <v>4665</v>
      </c>
      <c r="H7" s="382">
        <v>65535</v>
      </c>
      <c r="I7" s="340">
        <v>16</v>
      </c>
      <c r="J7" s="382" t="s">
        <v>991</v>
      </c>
      <c r="K7" s="384" t="s">
        <v>48</v>
      </c>
    </row>
    <row r="8" spans="1:11" ht="25.8">
      <c r="A8" s="381" t="s">
        <v>1026</v>
      </c>
      <c r="B8" s="382" t="s">
        <v>48</v>
      </c>
      <c r="C8" s="383" t="s">
        <v>4666</v>
      </c>
      <c r="D8" s="382" t="s">
        <v>1277</v>
      </c>
      <c r="E8" s="382">
        <v>0</v>
      </c>
      <c r="F8" s="382" t="s">
        <v>842</v>
      </c>
      <c r="G8" s="382" t="s">
        <v>4667</v>
      </c>
      <c r="H8" s="382" t="s">
        <v>842</v>
      </c>
      <c r="I8" s="340">
        <v>64</v>
      </c>
      <c r="J8" s="382" t="s">
        <v>844</v>
      </c>
      <c r="K8" s="384" t="s">
        <v>48</v>
      </c>
    </row>
    <row r="9" spans="1:11" ht="25.8">
      <c r="A9" s="381" t="s">
        <v>4668</v>
      </c>
      <c r="B9" s="382" t="s">
        <v>48</v>
      </c>
      <c r="C9" s="385" t="s">
        <v>4669</v>
      </c>
      <c r="D9" s="382" t="s">
        <v>989</v>
      </c>
      <c r="E9" s="382">
        <v>0</v>
      </c>
      <c r="F9" s="382">
        <v>4294967295</v>
      </c>
      <c r="G9" s="382" t="s">
        <v>4670</v>
      </c>
      <c r="H9" s="382">
        <v>4294967295</v>
      </c>
      <c r="I9" s="340">
        <v>32</v>
      </c>
      <c r="J9" s="382" t="s">
        <v>1032</v>
      </c>
      <c r="K9" s="384" t="s">
        <v>48</v>
      </c>
    </row>
    <row r="10" spans="1:11" ht="45" customHeight="1">
      <c r="A10" s="381" t="s">
        <v>4671</v>
      </c>
      <c r="B10" s="382" t="s">
        <v>48</v>
      </c>
      <c r="C10" s="385" t="s">
        <v>4672</v>
      </c>
      <c r="D10" s="382" t="s">
        <v>48</v>
      </c>
      <c r="E10" s="382">
        <v>0</v>
      </c>
      <c r="F10" s="382">
        <v>4294967295</v>
      </c>
      <c r="G10" s="382" t="s">
        <v>4670</v>
      </c>
      <c r="H10" s="382">
        <v>4294967295</v>
      </c>
      <c r="I10" s="340">
        <v>32</v>
      </c>
      <c r="J10" s="382" t="s">
        <v>1032</v>
      </c>
      <c r="K10" s="384" t="s">
        <v>48</v>
      </c>
    </row>
    <row r="11" spans="1:11" ht="43.5" customHeight="1">
      <c r="A11" s="381" t="s">
        <v>827</v>
      </c>
      <c r="B11" s="382" t="s">
        <v>48</v>
      </c>
      <c r="C11" s="385" t="s">
        <v>4673</v>
      </c>
      <c r="D11" s="382" t="s">
        <v>48</v>
      </c>
      <c r="E11" s="382">
        <v>0</v>
      </c>
      <c r="F11" s="382">
        <v>255</v>
      </c>
      <c r="G11" s="382" t="s">
        <v>4674</v>
      </c>
      <c r="H11" s="382">
        <v>255</v>
      </c>
      <c r="I11" s="340">
        <v>8</v>
      </c>
      <c r="J11" s="382" t="s">
        <v>743</v>
      </c>
      <c r="K11" s="384" t="s">
        <v>48</v>
      </c>
    </row>
    <row r="12" spans="1:11" ht="64.5">
      <c r="A12" s="386" t="s">
        <v>1390</v>
      </c>
      <c r="B12" s="382" t="s">
        <v>48</v>
      </c>
      <c r="C12" s="387" t="s">
        <v>4675</v>
      </c>
      <c r="D12" s="382" t="s">
        <v>48</v>
      </c>
      <c r="E12" s="382">
        <v>0</v>
      </c>
      <c r="F12" s="382">
        <v>255</v>
      </c>
      <c r="G12" s="382" t="s">
        <v>4676</v>
      </c>
      <c r="H12" s="382">
        <v>255</v>
      </c>
      <c r="I12" s="340">
        <v>8</v>
      </c>
      <c r="J12" s="382" t="s">
        <v>743</v>
      </c>
      <c r="K12" s="384" t="s">
        <v>48</v>
      </c>
    </row>
    <row r="13" spans="1:11" ht="285" customHeight="1">
      <c r="A13" s="388" t="s">
        <v>1396</v>
      </c>
      <c r="B13" s="382" t="s">
        <v>48</v>
      </c>
      <c r="C13" s="382" t="s">
        <v>4677</v>
      </c>
      <c r="D13" s="382" t="s">
        <v>48</v>
      </c>
      <c r="E13" s="382">
        <v>0</v>
      </c>
      <c r="F13" s="382">
        <v>255</v>
      </c>
      <c r="G13" s="382" t="s">
        <v>4678</v>
      </c>
      <c r="H13" s="382">
        <v>255</v>
      </c>
      <c r="I13" s="340">
        <v>8</v>
      </c>
      <c r="J13" s="382" t="s">
        <v>743</v>
      </c>
      <c r="K13" s="384" t="s">
        <v>48</v>
      </c>
    </row>
    <row r="14" spans="1:11" ht="79.5" customHeight="1">
      <c r="A14" s="388" t="s">
        <v>1399</v>
      </c>
      <c r="B14" s="382" t="s">
        <v>48</v>
      </c>
      <c r="C14" s="382" t="s">
        <v>4679</v>
      </c>
      <c r="D14" s="382" t="s">
        <v>48</v>
      </c>
      <c r="E14" s="382">
        <v>0</v>
      </c>
      <c r="F14" s="382">
        <v>255</v>
      </c>
      <c r="G14" s="382" t="s">
        <v>4680</v>
      </c>
      <c r="H14" s="382">
        <v>255</v>
      </c>
      <c r="I14" s="340">
        <v>8</v>
      </c>
      <c r="J14" s="382" t="s">
        <v>743</v>
      </c>
      <c r="K14" s="384" t="s">
        <v>48</v>
      </c>
    </row>
    <row r="15" spans="1:11" ht="25.8">
      <c r="A15" s="388" t="s">
        <v>1402</v>
      </c>
      <c r="B15" s="382" t="s">
        <v>48</v>
      </c>
      <c r="C15" s="382" t="s">
        <v>1401</v>
      </c>
      <c r="D15" s="382" t="s">
        <v>48</v>
      </c>
      <c r="E15" s="382">
        <v>0</v>
      </c>
      <c r="F15" s="382">
        <v>1</v>
      </c>
      <c r="G15" s="382" t="s">
        <v>4681</v>
      </c>
      <c r="H15" s="382">
        <v>0</v>
      </c>
      <c r="I15" s="340">
        <v>8</v>
      </c>
      <c r="J15" s="382" t="s">
        <v>1056</v>
      </c>
      <c r="K15" s="384" t="s">
        <v>48</v>
      </c>
    </row>
    <row r="16" spans="1:11" ht="25.8">
      <c r="A16" s="388" t="s">
        <v>839</v>
      </c>
      <c r="B16" s="382" t="s">
        <v>48</v>
      </c>
      <c r="C16" s="382" t="s">
        <v>4682</v>
      </c>
      <c r="D16" s="382" t="s">
        <v>48</v>
      </c>
      <c r="E16" s="382">
        <v>0</v>
      </c>
      <c r="F16" s="382">
        <v>1</v>
      </c>
      <c r="G16" s="382" t="s">
        <v>1055</v>
      </c>
      <c r="H16" s="382">
        <v>0</v>
      </c>
      <c r="I16" s="340">
        <v>8</v>
      </c>
      <c r="J16" s="382" t="s">
        <v>1056</v>
      </c>
      <c r="K16" s="384" t="s">
        <v>48</v>
      </c>
    </row>
    <row r="17" spans="1:11" ht="32.25" customHeight="1">
      <c r="A17" s="388" t="s">
        <v>1547</v>
      </c>
      <c r="B17" s="382" t="s">
        <v>48</v>
      </c>
      <c r="C17" s="382" t="s">
        <v>4683</v>
      </c>
      <c r="D17" s="382" t="s">
        <v>3963</v>
      </c>
      <c r="E17" s="382">
        <v>0</v>
      </c>
      <c r="F17" s="382">
        <v>255</v>
      </c>
      <c r="G17" s="382" t="s">
        <v>4674</v>
      </c>
      <c r="H17" s="382">
        <v>255</v>
      </c>
      <c r="I17" s="340">
        <v>8</v>
      </c>
      <c r="J17" s="382" t="s">
        <v>743</v>
      </c>
      <c r="K17" s="384" t="s">
        <v>48</v>
      </c>
    </row>
    <row r="18" spans="1:11" ht="47.25" customHeight="1">
      <c r="A18" s="388" t="s">
        <v>1544</v>
      </c>
      <c r="B18" s="382" t="s">
        <v>48</v>
      </c>
      <c r="C18" s="382" t="s">
        <v>4684</v>
      </c>
      <c r="D18" s="382" t="s">
        <v>48</v>
      </c>
      <c r="E18" s="382">
        <v>0</v>
      </c>
      <c r="F18" s="382">
        <f>2^16-1</f>
        <v>65535</v>
      </c>
      <c r="G18" s="382" t="s">
        <v>4685</v>
      </c>
      <c r="H18" s="382">
        <f>2^16-1</f>
        <v>65535</v>
      </c>
      <c r="I18" s="340">
        <v>16</v>
      </c>
      <c r="J18" s="382" t="s">
        <v>991</v>
      </c>
      <c r="K18" s="384" t="s">
        <v>48</v>
      </c>
    </row>
    <row r="19" spans="1:11" ht="78.75" customHeight="1">
      <c r="A19" s="388" t="s">
        <v>3755</v>
      </c>
      <c r="B19" s="382" t="s">
        <v>48</v>
      </c>
      <c r="C19" s="382" t="s">
        <v>4686</v>
      </c>
      <c r="D19" s="389" t="s">
        <v>48</v>
      </c>
      <c r="E19" s="382">
        <v>0</v>
      </c>
      <c r="F19" s="389">
        <v>255</v>
      </c>
      <c r="G19" s="389" t="s">
        <v>4687</v>
      </c>
      <c r="H19" s="389">
        <v>255</v>
      </c>
      <c r="I19" s="340">
        <v>8</v>
      </c>
      <c r="J19" s="382" t="s">
        <v>743</v>
      </c>
      <c r="K19" s="384" t="s">
        <v>48</v>
      </c>
    </row>
    <row r="20" spans="1:11" ht="99.75" customHeight="1">
      <c r="A20" s="388" t="s">
        <v>1393</v>
      </c>
      <c r="B20" s="382" t="s">
        <v>48</v>
      </c>
      <c r="C20" s="382" t="s">
        <v>4688</v>
      </c>
      <c r="D20" s="389" t="s">
        <v>48</v>
      </c>
      <c r="E20" s="382">
        <v>0</v>
      </c>
      <c r="F20" s="389">
        <v>255</v>
      </c>
      <c r="G20" s="389" t="s">
        <v>4689</v>
      </c>
      <c r="H20" s="389">
        <v>255</v>
      </c>
      <c r="I20" s="340">
        <v>8</v>
      </c>
      <c r="J20" s="382" t="s">
        <v>743</v>
      </c>
      <c r="K20" s="384" t="s">
        <v>48</v>
      </c>
    </row>
    <row r="21" spans="1:11" ht="25.8">
      <c r="A21" s="388" t="s">
        <v>830</v>
      </c>
      <c r="B21" s="382" t="s">
        <v>48</v>
      </c>
      <c r="C21" s="390" t="s">
        <v>4690</v>
      </c>
      <c r="D21" s="390" t="s">
        <v>48</v>
      </c>
      <c r="E21" s="390">
        <v>0</v>
      </c>
      <c r="F21" s="390">
        <v>255</v>
      </c>
      <c r="G21" s="390" t="s">
        <v>4674</v>
      </c>
      <c r="H21" s="390">
        <v>255</v>
      </c>
      <c r="I21" s="340">
        <v>8</v>
      </c>
      <c r="J21" s="382" t="s">
        <v>743</v>
      </c>
      <c r="K21" s="384" t="s">
        <v>48</v>
      </c>
    </row>
    <row r="22" spans="1:11" ht="55.15" customHeight="1">
      <c r="A22" s="1738" t="s">
        <v>723</v>
      </c>
      <c r="B22" s="382" t="s">
        <v>4691</v>
      </c>
      <c r="C22" s="382" t="s">
        <v>4692</v>
      </c>
      <c r="D22" s="382" t="s">
        <v>48</v>
      </c>
      <c r="E22" s="382" t="s">
        <v>48</v>
      </c>
      <c r="F22" s="382" t="s">
        <v>48</v>
      </c>
      <c r="G22" s="382" t="s">
        <v>48</v>
      </c>
      <c r="H22" s="382" t="s">
        <v>48</v>
      </c>
      <c r="I22" s="340">
        <v>32</v>
      </c>
      <c r="J22" s="382" t="s">
        <v>728</v>
      </c>
      <c r="K22" s="384">
        <v>1</v>
      </c>
    </row>
    <row r="23" spans="1:11" ht="24" customHeight="1">
      <c r="A23" s="1739"/>
      <c r="B23" s="87" t="s">
        <v>4693</v>
      </c>
      <c r="C23" s="87" t="s">
        <v>1459</v>
      </c>
      <c r="D23" s="87" t="s">
        <v>48</v>
      </c>
      <c r="E23" s="87" t="s">
        <v>48</v>
      </c>
      <c r="F23" s="87" t="s">
        <v>48</v>
      </c>
      <c r="G23" s="87" t="s">
        <v>48</v>
      </c>
      <c r="H23" s="87" t="s">
        <v>48</v>
      </c>
      <c r="I23" s="376">
        <v>16</v>
      </c>
      <c r="J23" s="87" t="s">
        <v>823</v>
      </c>
      <c r="K23" s="391">
        <v>1</v>
      </c>
    </row>
    <row r="24" spans="1:11" ht="39.75" customHeight="1">
      <c r="A24" s="1739"/>
      <c r="B24" s="87" t="s">
        <v>4694</v>
      </c>
      <c r="C24" s="87" t="s">
        <v>4695</v>
      </c>
      <c r="D24" s="87" t="s">
        <v>48</v>
      </c>
      <c r="E24" s="87" t="s">
        <v>48</v>
      </c>
      <c r="F24" s="87" t="s">
        <v>48</v>
      </c>
      <c r="G24" s="87" t="s">
        <v>48</v>
      </c>
      <c r="H24" s="87" t="s">
        <v>48</v>
      </c>
      <c r="I24" s="376">
        <v>64</v>
      </c>
      <c r="J24" s="87" t="s">
        <v>1026</v>
      </c>
      <c r="K24" s="391">
        <v>1</v>
      </c>
    </row>
    <row r="25" spans="1:11" ht="34.5" customHeight="1">
      <c r="A25" s="1739"/>
      <c r="B25" s="87" t="s">
        <v>4696</v>
      </c>
      <c r="C25" s="87" t="s">
        <v>4697</v>
      </c>
      <c r="D25" s="87" t="s">
        <v>48</v>
      </c>
      <c r="E25" s="87" t="s">
        <v>48</v>
      </c>
      <c r="F25" s="87" t="s">
        <v>48</v>
      </c>
      <c r="G25" s="87" t="s">
        <v>48</v>
      </c>
      <c r="H25" s="87" t="s">
        <v>48</v>
      </c>
      <c r="I25" s="376">
        <v>32</v>
      </c>
      <c r="J25" s="87" t="s">
        <v>4668</v>
      </c>
      <c r="K25" s="391">
        <v>1</v>
      </c>
    </row>
    <row r="26" spans="1:11" ht="53.25" customHeight="1">
      <c r="A26" s="1739"/>
      <c r="B26" s="87" t="s">
        <v>4698</v>
      </c>
      <c r="C26" s="87" t="s">
        <v>4699</v>
      </c>
      <c r="D26" s="87" t="s">
        <v>48</v>
      </c>
      <c r="E26" s="87" t="s">
        <v>48</v>
      </c>
      <c r="F26" s="87" t="s">
        <v>48</v>
      </c>
      <c r="G26" s="87" t="s">
        <v>48</v>
      </c>
      <c r="H26" s="87" t="s">
        <v>48</v>
      </c>
      <c r="I26" s="376">
        <v>32</v>
      </c>
      <c r="J26" s="87" t="s">
        <v>4671</v>
      </c>
      <c r="K26" s="391">
        <v>1</v>
      </c>
    </row>
    <row r="27" spans="1:11" ht="68.25" customHeight="1">
      <c r="A27" s="1739"/>
      <c r="B27" s="87" t="s">
        <v>4700</v>
      </c>
      <c r="C27" s="87" t="s">
        <v>4701</v>
      </c>
      <c r="D27" s="87" t="s">
        <v>48</v>
      </c>
      <c r="E27" s="87" t="s">
        <v>48</v>
      </c>
      <c r="F27" s="87" t="s">
        <v>48</v>
      </c>
      <c r="G27" s="87" t="s">
        <v>48</v>
      </c>
      <c r="H27" s="87" t="s">
        <v>48</v>
      </c>
      <c r="I27" s="376">
        <v>32</v>
      </c>
      <c r="J27" s="87" t="s">
        <v>4671</v>
      </c>
      <c r="K27" s="391">
        <v>1</v>
      </c>
    </row>
    <row r="28" spans="1:11" ht="25.5" customHeight="1">
      <c r="A28" s="1739"/>
      <c r="B28" s="87" t="s">
        <v>4702</v>
      </c>
      <c r="C28" s="87" t="s">
        <v>826</v>
      </c>
      <c r="D28" s="87" t="s">
        <v>48</v>
      </c>
      <c r="E28" s="87" t="s">
        <v>48</v>
      </c>
      <c r="F28" s="87" t="s">
        <v>48</v>
      </c>
      <c r="G28" s="87" t="s">
        <v>48</v>
      </c>
      <c r="H28" s="87" t="s">
        <v>48</v>
      </c>
      <c r="I28" s="376">
        <v>8</v>
      </c>
      <c r="J28" s="87" t="s">
        <v>827</v>
      </c>
      <c r="K28" s="391">
        <v>1</v>
      </c>
    </row>
    <row r="29" spans="1:11" ht="25.8">
      <c r="A29" s="619" t="s">
        <v>1409</v>
      </c>
      <c r="B29" s="620" t="s">
        <v>48</v>
      </c>
      <c r="C29" s="621" t="s">
        <v>1408</v>
      </c>
      <c r="D29" s="621" t="s">
        <v>48</v>
      </c>
      <c r="E29" s="621">
        <v>0</v>
      </c>
      <c r="F29" s="621">
        <v>255</v>
      </c>
      <c r="G29" s="620" t="s">
        <v>4674</v>
      </c>
      <c r="H29" s="621">
        <v>255</v>
      </c>
      <c r="I29" s="622">
        <v>8</v>
      </c>
      <c r="J29" s="620" t="s">
        <v>743</v>
      </c>
      <c r="K29" s="384" t="s">
        <v>48</v>
      </c>
    </row>
    <row r="30" spans="1:11" ht="25.8">
      <c r="A30" s="623" t="s">
        <v>761</v>
      </c>
      <c r="B30" s="87" t="s">
        <v>48</v>
      </c>
      <c r="C30" s="87" t="s">
        <v>4703</v>
      </c>
      <c r="D30" s="87" t="s">
        <v>48</v>
      </c>
      <c r="E30" s="87">
        <v>0</v>
      </c>
      <c r="F30" s="87">
        <v>255</v>
      </c>
      <c r="G30" s="87" t="s">
        <v>4674</v>
      </c>
      <c r="H30" s="87">
        <v>255</v>
      </c>
      <c r="I30" s="376">
        <v>8</v>
      </c>
      <c r="J30" s="87" t="s">
        <v>743</v>
      </c>
      <c r="K30" s="384" t="s">
        <v>48</v>
      </c>
    </row>
    <row r="31" spans="1:11" ht="76.5" customHeight="1">
      <c r="A31" s="619" t="s">
        <v>1538</v>
      </c>
      <c r="B31" s="620" t="s">
        <v>48</v>
      </c>
      <c r="C31" s="620" t="s">
        <v>4704</v>
      </c>
      <c r="D31" s="620" t="s">
        <v>48</v>
      </c>
      <c r="E31" s="620">
        <v>0</v>
      </c>
      <c r="F31" s="620">
        <v>255</v>
      </c>
      <c r="G31" s="620" t="s">
        <v>4705</v>
      </c>
      <c r="H31" s="620">
        <v>255</v>
      </c>
      <c r="I31" s="622">
        <v>8</v>
      </c>
      <c r="J31" s="620" t="s">
        <v>743</v>
      </c>
      <c r="K31" s="384" t="s">
        <v>48</v>
      </c>
    </row>
    <row r="32" spans="1:11" ht="107.25" customHeight="1">
      <c r="A32" s="393" t="s">
        <v>1157</v>
      </c>
      <c r="B32" s="394" t="s">
        <v>48</v>
      </c>
      <c r="C32" s="712" t="s">
        <v>4706</v>
      </c>
      <c r="D32" s="395" t="s">
        <v>48</v>
      </c>
      <c r="E32" s="395">
        <v>0</v>
      </c>
      <c r="F32" s="395">
        <v>255</v>
      </c>
      <c r="G32" s="396" t="s">
        <v>4707</v>
      </c>
      <c r="H32" s="395">
        <v>255</v>
      </c>
      <c r="I32" s="397">
        <v>8</v>
      </c>
      <c r="J32" s="397" t="s">
        <v>743</v>
      </c>
      <c r="K32" s="384" t="s">
        <v>48</v>
      </c>
    </row>
    <row r="33" spans="1:11" ht="28.8">
      <c r="A33" s="1735" t="s">
        <v>1623</v>
      </c>
      <c r="B33" s="340" t="s">
        <v>4708</v>
      </c>
      <c r="C33" s="341" t="s">
        <v>4709</v>
      </c>
      <c r="D33" s="340" t="s">
        <v>48</v>
      </c>
      <c r="E33" s="340">
        <v>0</v>
      </c>
      <c r="F33" s="340">
        <v>255</v>
      </c>
      <c r="G33" s="341" t="s">
        <v>3167</v>
      </c>
      <c r="H33" s="340">
        <v>255</v>
      </c>
      <c r="I33" s="340">
        <v>8</v>
      </c>
      <c r="J33" s="340" t="s">
        <v>743</v>
      </c>
      <c r="K33" s="384">
        <v>1</v>
      </c>
    </row>
    <row r="34" spans="1:11" ht="28.8">
      <c r="A34" s="1736"/>
      <c r="B34" s="376" t="s">
        <v>4710</v>
      </c>
      <c r="C34" s="398" t="s">
        <v>4711</v>
      </c>
      <c r="D34" s="376" t="s">
        <v>880</v>
      </c>
      <c r="E34" s="376">
        <v>0</v>
      </c>
      <c r="F34" s="376">
        <v>65535</v>
      </c>
      <c r="G34" s="273" t="s">
        <v>4712</v>
      </c>
      <c r="H34" s="376">
        <v>65535</v>
      </c>
      <c r="I34" s="376">
        <v>16</v>
      </c>
      <c r="J34" s="376" t="s">
        <v>991</v>
      </c>
      <c r="K34" s="391">
        <v>1</v>
      </c>
    </row>
    <row r="35" spans="1:11" ht="28.8">
      <c r="A35" s="1736"/>
      <c r="B35" s="376" t="s">
        <v>4713</v>
      </c>
      <c r="C35" s="398" t="s">
        <v>4714</v>
      </c>
      <c r="D35" s="376" t="s">
        <v>880</v>
      </c>
      <c r="E35" s="376">
        <v>0</v>
      </c>
      <c r="F35" s="376">
        <v>65535</v>
      </c>
      <c r="G35" s="273" t="s">
        <v>4712</v>
      </c>
      <c r="H35" s="376">
        <v>65535</v>
      </c>
      <c r="I35" s="376">
        <v>16</v>
      </c>
      <c r="J35" s="376" t="s">
        <v>991</v>
      </c>
      <c r="K35" s="391">
        <v>1</v>
      </c>
    </row>
    <row r="36" spans="1:11" ht="28.8">
      <c r="A36" s="1736"/>
      <c r="B36" s="376" t="s">
        <v>4715</v>
      </c>
      <c r="C36" s="398" t="s">
        <v>4716</v>
      </c>
      <c r="D36" s="376" t="s">
        <v>880</v>
      </c>
      <c r="E36" s="376">
        <v>0</v>
      </c>
      <c r="F36" s="376">
        <v>65535</v>
      </c>
      <c r="G36" s="273" t="s">
        <v>4712</v>
      </c>
      <c r="H36" s="376">
        <v>65535</v>
      </c>
      <c r="I36" s="376">
        <v>16</v>
      </c>
      <c r="J36" s="376" t="s">
        <v>991</v>
      </c>
      <c r="K36" s="391">
        <v>1</v>
      </c>
    </row>
    <row r="37" spans="1:11" ht="28.8">
      <c r="A37" s="1736"/>
      <c r="B37" s="376" t="s">
        <v>4717</v>
      </c>
      <c r="C37" s="398" t="s">
        <v>4718</v>
      </c>
      <c r="D37" s="376" t="s">
        <v>880</v>
      </c>
      <c r="E37" s="376">
        <v>0</v>
      </c>
      <c r="F37" s="376">
        <v>65535</v>
      </c>
      <c r="G37" s="273" t="s">
        <v>4712</v>
      </c>
      <c r="H37" s="376">
        <v>65535</v>
      </c>
      <c r="I37" s="376">
        <v>16</v>
      </c>
      <c r="J37" s="376" t="s">
        <v>991</v>
      </c>
      <c r="K37" s="391">
        <v>1</v>
      </c>
    </row>
    <row r="38" spans="1:11" ht="34.5" customHeight="1">
      <c r="A38" s="1735" t="s">
        <v>4238</v>
      </c>
      <c r="B38" s="340" t="s">
        <v>4708</v>
      </c>
      <c r="C38" s="341" t="s">
        <v>4709</v>
      </c>
      <c r="D38" s="340" t="s">
        <v>48</v>
      </c>
      <c r="E38" s="340">
        <v>0</v>
      </c>
      <c r="F38" s="340">
        <v>255</v>
      </c>
      <c r="G38" s="341" t="s">
        <v>3167</v>
      </c>
      <c r="H38" s="340">
        <v>255</v>
      </c>
      <c r="I38" s="340">
        <v>8</v>
      </c>
      <c r="J38" s="340" t="s">
        <v>743</v>
      </c>
      <c r="K38" s="384">
        <v>1</v>
      </c>
    </row>
    <row r="39" spans="1:11" ht="39" customHeight="1">
      <c r="A39" s="1736"/>
      <c r="B39" s="376" t="s">
        <v>4719</v>
      </c>
      <c r="C39" s="398" t="s">
        <v>4720</v>
      </c>
      <c r="D39" s="376" t="s">
        <v>880</v>
      </c>
      <c r="E39" s="376">
        <v>0</v>
      </c>
      <c r="F39" s="376">
        <v>65535</v>
      </c>
      <c r="G39" s="273" t="s">
        <v>4712</v>
      </c>
      <c r="H39" s="376">
        <v>65535</v>
      </c>
      <c r="I39" s="376">
        <v>16</v>
      </c>
      <c r="J39" s="376" t="s">
        <v>991</v>
      </c>
      <c r="K39" s="391">
        <v>1</v>
      </c>
    </row>
    <row r="40" spans="1:11" ht="33" customHeight="1">
      <c r="A40" s="1736"/>
      <c r="B40" s="376" t="s">
        <v>4721</v>
      </c>
      <c r="C40" s="398" t="s">
        <v>4722</v>
      </c>
      <c r="D40" s="376" t="s">
        <v>880</v>
      </c>
      <c r="E40" s="376">
        <v>0</v>
      </c>
      <c r="F40" s="376">
        <v>65535</v>
      </c>
      <c r="G40" s="273" t="s">
        <v>4712</v>
      </c>
      <c r="H40" s="376">
        <v>65535</v>
      </c>
      <c r="I40" s="376">
        <v>16</v>
      </c>
      <c r="J40" s="376" t="s">
        <v>991</v>
      </c>
      <c r="K40" s="391">
        <v>1</v>
      </c>
    </row>
    <row r="41" spans="1:11" ht="38.25" customHeight="1">
      <c r="A41" s="1736"/>
      <c r="B41" s="376" t="s">
        <v>4723</v>
      </c>
      <c r="C41" s="398" t="s">
        <v>4724</v>
      </c>
      <c r="D41" s="376" t="s">
        <v>880</v>
      </c>
      <c r="E41" s="376">
        <v>0</v>
      </c>
      <c r="F41" s="376">
        <v>65535</v>
      </c>
      <c r="G41" s="273" t="s">
        <v>4712</v>
      </c>
      <c r="H41" s="376">
        <v>65535</v>
      </c>
      <c r="I41" s="376">
        <v>16</v>
      </c>
      <c r="J41" s="376" t="s">
        <v>991</v>
      </c>
      <c r="K41" s="391">
        <v>1</v>
      </c>
    </row>
    <row r="42" spans="1:11" ht="38.25" customHeight="1">
      <c r="A42" s="1736"/>
      <c r="B42" s="376" t="s">
        <v>4725</v>
      </c>
      <c r="C42" s="398" t="s">
        <v>4726</v>
      </c>
      <c r="D42" s="376" t="s">
        <v>880</v>
      </c>
      <c r="E42" s="376">
        <v>0</v>
      </c>
      <c r="F42" s="376">
        <v>65535</v>
      </c>
      <c r="G42" s="273" t="s">
        <v>4712</v>
      </c>
      <c r="H42" s="376">
        <v>65535</v>
      </c>
      <c r="I42" s="376">
        <v>16</v>
      </c>
      <c r="J42" s="376" t="s">
        <v>991</v>
      </c>
      <c r="K42" s="391">
        <v>1</v>
      </c>
    </row>
    <row r="43" spans="1:11" ht="28.8">
      <c r="A43" s="1736"/>
      <c r="B43" s="376" t="s">
        <v>4727</v>
      </c>
      <c r="C43" s="398" t="s">
        <v>4728</v>
      </c>
      <c r="D43" s="376" t="s">
        <v>880</v>
      </c>
      <c r="E43" s="376">
        <v>0</v>
      </c>
      <c r="F43" s="376">
        <v>65535</v>
      </c>
      <c r="G43" s="273" t="s">
        <v>4712</v>
      </c>
      <c r="H43" s="376">
        <v>65535</v>
      </c>
      <c r="I43" s="376">
        <v>16</v>
      </c>
      <c r="J43" s="376" t="s">
        <v>991</v>
      </c>
      <c r="K43" s="391">
        <v>1</v>
      </c>
    </row>
    <row r="44" spans="1:11" ht="28.8">
      <c r="A44" s="1736"/>
      <c r="B44" s="376" t="s">
        <v>4729</v>
      </c>
      <c r="C44" s="398" t="s">
        <v>4730</v>
      </c>
      <c r="D44" s="376" t="s">
        <v>880</v>
      </c>
      <c r="E44" s="376">
        <v>0</v>
      </c>
      <c r="F44" s="376">
        <v>65535</v>
      </c>
      <c r="G44" s="273" t="s">
        <v>4712</v>
      </c>
      <c r="H44" s="376">
        <v>65535</v>
      </c>
      <c r="I44" s="376">
        <v>16</v>
      </c>
      <c r="J44" s="376" t="s">
        <v>991</v>
      </c>
      <c r="K44" s="391">
        <v>1</v>
      </c>
    </row>
    <row r="45" spans="1:11" ht="28.8">
      <c r="A45" s="1736"/>
      <c r="B45" s="376" t="s">
        <v>4731</v>
      </c>
      <c r="C45" s="398" t="s">
        <v>4732</v>
      </c>
      <c r="D45" s="376" t="s">
        <v>880</v>
      </c>
      <c r="E45" s="376">
        <v>0</v>
      </c>
      <c r="F45" s="376">
        <v>65535</v>
      </c>
      <c r="G45" s="273" t="s">
        <v>4712</v>
      </c>
      <c r="H45" s="376">
        <v>65535</v>
      </c>
      <c r="I45" s="376">
        <v>16</v>
      </c>
      <c r="J45" s="376" t="s">
        <v>991</v>
      </c>
      <c r="K45" s="391">
        <v>1</v>
      </c>
    </row>
    <row r="46" spans="1:11" ht="28.8">
      <c r="A46" s="1736"/>
      <c r="B46" s="376" t="s">
        <v>4733</v>
      </c>
      <c r="C46" s="398" t="s">
        <v>4734</v>
      </c>
      <c r="D46" s="376" t="s">
        <v>880</v>
      </c>
      <c r="E46" s="376">
        <v>0</v>
      </c>
      <c r="F46" s="376">
        <v>65535</v>
      </c>
      <c r="G46" s="273" t="s">
        <v>4712</v>
      </c>
      <c r="H46" s="376">
        <v>65535</v>
      </c>
      <c r="I46" s="376">
        <v>16</v>
      </c>
      <c r="J46" s="376" t="s">
        <v>991</v>
      </c>
      <c r="K46" s="391">
        <v>1</v>
      </c>
    </row>
    <row r="47" spans="1:11" ht="28.8">
      <c r="A47" s="1736"/>
      <c r="B47" s="376" t="s">
        <v>4735</v>
      </c>
      <c r="C47" s="398" t="s">
        <v>4736</v>
      </c>
      <c r="D47" s="376" t="s">
        <v>880</v>
      </c>
      <c r="E47" s="376">
        <v>0</v>
      </c>
      <c r="F47" s="376">
        <v>65535</v>
      </c>
      <c r="G47" s="273" t="s">
        <v>4712</v>
      </c>
      <c r="H47" s="376">
        <v>65535</v>
      </c>
      <c r="I47" s="376">
        <v>16</v>
      </c>
      <c r="J47" s="376" t="s">
        <v>991</v>
      </c>
      <c r="K47" s="391">
        <v>1</v>
      </c>
    </row>
    <row r="48" spans="1:11" ht="28.8">
      <c r="A48" s="1736"/>
      <c r="B48" s="376" t="s">
        <v>4737</v>
      </c>
      <c r="C48" s="398" t="s">
        <v>4738</v>
      </c>
      <c r="D48" s="376" t="s">
        <v>880</v>
      </c>
      <c r="E48" s="376">
        <v>0</v>
      </c>
      <c r="F48" s="376">
        <v>65535</v>
      </c>
      <c r="G48" s="273" t="s">
        <v>4712</v>
      </c>
      <c r="H48" s="376">
        <v>65535</v>
      </c>
      <c r="I48" s="376">
        <v>16</v>
      </c>
      <c r="J48" s="376" t="s">
        <v>991</v>
      </c>
      <c r="K48" s="391">
        <v>1</v>
      </c>
    </row>
    <row r="49" spans="1:12" ht="28.8">
      <c r="A49" s="1736"/>
      <c r="B49" s="376" t="s">
        <v>4739</v>
      </c>
      <c r="C49" s="398" t="s">
        <v>4740</v>
      </c>
      <c r="D49" s="376" t="s">
        <v>880</v>
      </c>
      <c r="E49" s="376">
        <v>0</v>
      </c>
      <c r="F49" s="376">
        <v>65535</v>
      </c>
      <c r="G49" s="273" t="s">
        <v>4712</v>
      </c>
      <c r="H49" s="376">
        <v>65535</v>
      </c>
      <c r="I49" s="376">
        <v>16</v>
      </c>
      <c r="J49" s="376" t="s">
        <v>991</v>
      </c>
      <c r="K49" s="391">
        <v>1</v>
      </c>
    </row>
    <row r="50" spans="1:12" ht="28.8">
      <c r="A50" s="1736"/>
      <c r="B50" s="376" t="s">
        <v>4741</v>
      </c>
      <c r="C50" s="398" t="s">
        <v>4742</v>
      </c>
      <c r="D50" s="376" t="s">
        <v>880</v>
      </c>
      <c r="E50" s="376">
        <v>0</v>
      </c>
      <c r="F50" s="376">
        <v>65535</v>
      </c>
      <c r="G50" s="273" t="s">
        <v>4712</v>
      </c>
      <c r="H50" s="376">
        <v>65535</v>
      </c>
      <c r="I50" s="376">
        <v>16</v>
      </c>
      <c r="J50" s="376" t="s">
        <v>991</v>
      </c>
      <c r="K50" s="391">
        <v>1</v>
      </c>
    </row>
    <row r="51" spans="1:12" ht="28.8">
      <c r="A51" s="1736"/>
      <c r="B51" s="376" t="s">
        <v>4743</v>
      </c>
      <c r="C51" s="398" t="s">
        <v>4744</v>
      </c>
      <c r="D51" s="376" t="s">
        <v>880</v>
      </c>
      <c r="E51" s="376">
        <v>0</v>
      </c>
      <c r="F51" s="376">
        <v>65535</v>
      </c>
      <c r="G51" s="273" t="s">
        <v>4712</v>
      </c>
      <c r="H51" s="376">
        <v>65535</v>
      </c>
      <c r="I51" s="376">
        <v>16</v>
      </c>
      <c r="J51" s="376" t="s">
        <v>991</v>
      </c>
      <c r="K51" s="391">
        <v>1</v>
      </c>
    </row>
    <row r="52" spans="1:12" ht="28.8">
      <c r="A52" s="1736"/>
      <c r="B52" s="376" t="s">
        <v>4745</v>
      </c>
      <c r="C52" s="398" t="s">
        <v>4746</v>
      </c>
      <c r="D52" s="376" t="s">
        <v>880</v>
      </c>
      <c r="E52" s="376">
        <v>0</v>
      </c>
      <c r="F52" s="376">
        <v>65535</v>
      </c>
      <c r="G52" s="273" t="s">
        <v>4712</v>
      </c>
      <c r="H52" s="376">
        <v>65535</v>
      </c>
      <c r="I52" s="376">
        <v>16</v>
      </c>
      <c r="J52" s="376" t="s">
        <v>991</v>
      </c>
      <c r="K52" s="391">
        <v>1</v>
      </c>
    </row>
    <row r="53" spans="1:12" ht="28.8">
      <c r="A53" s="1736"/>
      <c r="B53" s="376" t="s">
        <v>4747</v>
      </c>
      <c r="C53" s="398" t="s">
        <v>4748</v>
      </c>
      <c r="D53" s="376" t="s">
        <v>880</v>
      </c>
      <c r="E53" s="376">
        <v>0</v>
      </c>
      <c r="F53" s="376">
        <v>65535</v>
      </c>
      <c r="G53" s="273" t="s">
        <v>4712</v>
      </c>
      <c r="H53" s="376">
        <v>65535</v>
      </c>
      <c r="I53" s="376">
        <v>16</v>
      </c>
      <c r="J53" s="376" t="s">
        <v>991</v>
      </c>
      <c r="K53" s="391">
        <v>1</v>
      </c>
    </row>
    <row r="54" spans="1:12" ht="28.8">
      <c r="A54" s="1736"/>
      <c r="B54" s="376" t="s">
        <v>4749</v>
      </c>
      <c r="C54" s="398" t="s">
        <v>4750</v>
      </c>
      <c r="D54" s="376" t="s">
        <v>880</v>
      </c>
      <c r="E54" s="376">
        <v>0</v>
      </c>
      <c r="F54" s="376">
        <v>65535</v>
      </c>
      <c r="G54" s="273" t="s">
        <v>4712</v>
      </c>
      <c r="H54" s="376">
        <v>65535</v>
      </c>
      <c r="I54" s="376">
        <v>16</v>
      </c>
      <c r="J54" s="376" t="s">
        <v>991</v>
      </c>
      <c r="K54" s="391">
        <v>1</v>
      </c>
    </row>
    <row r="55" spans="1:12" ht="28.8">
      <c r="A55" s="1735" t="s">
        <v>3707</v>
      </c>
      <c r="B55" s="340" t="s">
        <v>4708</v>
      </c>
      <c r="C55" s="341" t="s">
        <v>4709</v>
      </c>
      <c r="D55" s="340" t="s">
        <v>48</v>
      </c>
      <c r="E55" s="340">
        <v>0</v>
      </c>
      <c r="F55" s="340">
        <v>255</v>
      </c>
      <c r="G55" s="341" t="s">
        <v>3167</v>
      </c>
      <c r="H55" s="340">
        <v>255</v>
      </c>
      <c r="I55" s="340">
        <v>8</v>
      </c>
      <c r="J55" s="340" t="s">
        <v>743</v>
      </c>
      <c r="K55" s="384">
        <v>1</v>
      </c>
    </row>
    <row r="56" spans="1:12" ht="28.8">
      <c r="A56" s="1736"/>
      <c r="B56" s="376" t="s">
        <v>4751</v>
      </c>
      <c r="C56" s="376" t="s">
        <v>4752</v>
      </c>
      <c r="D56" s="376" t="s">
        <v>48</v>
      </c>
      <c r="E56" s="376">
        <v>0</v>
      </c>
      <c r="F56" s="376">
        <v>65535</v>
      </c>
      <c r="G56" s="273" t="s">
        <v>4712</v>
      </c>
      <c r="H56" s="376">
        <v>65535</v>
      </c>
      <c r="I56" s="376">
        <v>16</v>
      </c>
      <c r="J56" s="376" t="s">
        <v>991</v>
      </c>
      <c r="K56" s="391">
        <v>1</v>
      </c>
    </row>
    <row r="57" spans="1:12" ht="43.2">
      <c r="A57" s="1736"/>
      <c r="B57" s="713" t="s">
        <v>4753</v>
      </c>
      <c r="C57" s="273" t="s">
        <v>4754</v>
      </c>
      <c r="D57" s="376" t="s">
        <v>48</v>
      </c>
      <c r="E57" s="376" t="s">
        <v>48</v>
      </c>
      <c r="F57" s="376" t="s">
        <v>48</v>
      </c>
      <c r="G57" s="376" t="s">
        <v>48</v>
      </c>
      <c r="H57" s="376" t="s">
        <v>48</v>
      </c>
      <c r="I57" s="376">
        <v>48</v>
      </c>
      <c r="J57" s="376" t="s">
        <v>4755</v>
      </c>
      <c r="K57" s="391">
        <v>100</v>
      </c>
    </row>
    <row r="58" spans="1:12" ht="28.8">
      <c r="A58" s="1735" t="s">
        <v>3171</v>
      </c>
      <c r="B58" s="361" t="s">
        <v>4756</v>
      </c>
      <c r="C58" s="361" t="s">
        <v>4757</v>
      </c>
      <c r="D58" s="361" t="s">
        <v>880</v>
      </c>
      <c r="E58" s="361">
        <v>0</v>
      </c>
      <c r="F58" s="361">
        <v>65535</v>
      </c>
      <c r="G58" s="362" t="s">
        <v>4712</v>
      </c>
      <c r="H58" s="361">
        <v>65535</v>
      </c>
      <c r="I58" s="361">
        <v>16</v>
      </c>
      <c r="J58" s="361" t="s">
        <v>991</v>
      </c>
      <c r="K58" s="384">
        <v>1</v>
      </c>
    </row>
    <row r="59" spans="1:12" ht="28.8">
      <c r="A59" s="1737"/>
      <c r="B59" s="363" t="s">
        <v>4758</v>
      </c>
      <c r="C59" s="363" t="s">
        <v>4759</v>
      </c>
      <c r="D59" s="363" t="s">
        <v>880</v>
      </c>
      <c r="E59" s="363">
        <v>0</v>
      </c>
      <c r="F59" s="363">
        <v>65535</v>
      </c>
      <c r="G59" s="375" t="s">
        <v>4712</v>
      </c>
      <c r="H59" s="363">
        <v>65535</v>
      </c>
      <c r="I59" s="363">
        <v>16</v>
      </c>
      <c r="J59" s="363" t="s">
        <v>991</v>
      </c>
      <c r="K59" s="392">
        <v>1</v>
      </c>
    </row>
    <row r="60" spans="1:12">
      <c r="A60" s="1736" t="s">
        <v>4755</v>
      </c>
      <c r="B60" s="399" t="s">
        <v>4760</v>
      </c>
      <c r="C60" s="399" t="s">
        <v>4761</v>
      </c>
      <c r="D60" s="376" t="s">
        <v>48</v>
      </c>
      <c r="E60" s="376" t="s">
        <v>48</v>
      </c>
      <c r="F60" s="376" t="s">
        <v>48</v>
      </c>
      <c r="G60" s="376" t="s">
        <v>48</v>
      </c>
      <c r="H60" s="376" t="s">
        <v>48</v>
      </c>
      <c r="I60" s="399">
        <v>32</v>
      </c>
      <c r="J60" s="399" t="s">
        <v>3171</v>
      </c>
      <c r="K60" s="391">
        <v>1</v>
      </c>
    </row>
    <row r="61" spans="1:12" ht="28.8">
      <c r="A61" s="1736"/>
      <c r="B61" s="399" t="s">
        <v>4762</v>
      </c>
      <c r="C61" s="399" t="s">
        <v>4763</v>
      </c>
      <c r="D61" s="399" t="s">
        <v>880</v>
      </c>
      <c r="E61" s="399">
        <v>0</v>
      </c>
      <c r="F61" s="399">
        <v>65535</v>
      </c>
      <c r="G61" s="971" t="s">
        <v>4712</v>
      </c>
      <c r="H61" s="399">
        <v>65535</v>
      </c>
      <c r="I61" s="399">
        <v>16</v>
      </c>
      <c r="J61" s="399" t="s">
        <v>991</v>
      </c>
      <c r="K61" s="391">
        <v>1</v>
      </c>
    </row>
    <row r="62" spans="1:12" ht="28.8">
      <c r="A62" s="1730" t="s">
        <v>4137</v>
      </c>
      <c r="B62" s="1042" t="s">
        <v>4764</v>
      </c>
      <c r="C62" s="1042" t="s">
        <v>4765</v>
      </c>
      <c r="D62" s="361" t="s">
        <v>880</v>
      </c>
      <c r="E62" s="1042">
        <v>-32768</v>
      </c>
      <c r="F62" s="1042">
        <v>32767</v>
      </c>
      <c r="G62" s="1042" t="s">
        <v>4766</v>
      </c>
      <c r="H62" s="1042">
        <v>32767</v>
      </c>
      <c r="I62" s="361">
        <v>16</v>
      </c>
      <c r="J62" s="1042" t="s">
        <v>1478</v>
      </c>
      <c r="K62" s="1043">
        <v>1</v>
      </c>
      <c r="L62" s="164"/>
    </row>
    <row r="63" spans="1:12" ht="28.8">
      <c r="A63" s="1731"/>
      <c r="B63" s="306" t="s">
        <v>4767</v>
      </c>
      <c r="C63" s="971" t="s">
        <v>4768</v>
      </c>
      <c r="D63" s="399" t="s">
        <v>880</v>
      </c>
      <c r="E63" s="399">
        <v>-32768</v>
      </c>
      <c r="F63" s="399">
        <v>32767</v>
      </c>
      <c r="G63" s="971" t="s">
        <v>4766</v>
      </c>
      <c r="H63" s="399">
        <v>32767</v>
      </c>
      <c r="I63" s="399">
        <v>16</v>
      </c>
      <c r="J63" s="399" t="s">
        <v>1478</v>
      </c>
      <c r="K63" s="1044">
        <v>1</v>
      </c>
    </row>
    <row r="64" spans="1:12" s="322" customFormat="1" ht="30.75" customHeight="1">
      <c r="A64" s="1731"/>
      <c r="B64" s="306" t="s">
        <v>4769</v>
      </c>
      <c r="C64" s="971" t="s">
        <v>4770</v>
      </c>
      <c r="D64" s="399" t="s">
        <v>880</v>
      </c>
      <c r="E64" s="399">
        <v>-32768</v>
      </c>
      <c r="F64" s="399">
        <v>32767</v>
      </c>
      <c r="G64" s="971" t="s">
        <v>4766</v>
      </c>
      <c r="H64" s="399">
        <v>32767</v>
      </c>
      <c r="I64" s="399">
        <v>16</v>
      </c>
      <c r="J64" s="399" t="s">
        <v>1478</v>
      </c>
      <c r="K64" s="1044">
        <v>1</v>
      </c>
      <c r="L64" s="972"/>
    </row>
    <row r="65" spans="1:12" s="322" customFormat="1" ht="30.75" customHeight="1">
      <c r="A65" s="1731"/>
      <c r="B65" s="306" t="s">
        <v>4771</v>
      </c>
      <c r="C65" s="971" t="s">
        <v>4772</v>
      </c>
      <c r="D65" s="399" t="s">
        <v>880</v>
      </c>
      <c r="E65" s="399">
        <v>-32768</v>
      </c>
      <c r="F65" s="399">
        <v>32767</v>
      </c>
      <c r="G65" s="971" t="s">
        <v>4766</v>
      </c>
      <c r="H65" s="399">
        <v>32767</v>
      </c>
      <c r="I65" s="399">
        <v>16</v>
      </c>
      <c r="J65" s="399" t="s">
        <v>1478</v>
      </c>
      <c r="K65" s="1044">
        <v>1</v>
      </c>
      <c r="L65" s="972"/>
    </row>
    <row r="66" spans="1:12" s="322" customFormat="1" ht="30.75" customHeight="1">
      <c r="A66" s="1731"/>
      <c r="B66" s="306" t="s">
        <v>4773</v>
      </c>
      <c r="C66" s="971" t="s">
        <v>4774</v>
      </c>
      <c r="D66" s="399" t="s">
        <v>880</v>
      </c>
      <c r="E66" s="399">
        <v>-32768</v>
      </c>
      <c r="F66" s="399">
        <v>32767</v>
      </c>
      <c r="G66" s="971" t="s">
        <v>4766</v>
      </c>
      <c r="H66" s="399">
        <v>32767</v>
      </c>
      <c r="I66" s="399">
        <v>16</v>
      </c>
      <c r="J66" s="399" t="s">
        <v>1478</v>
      </c>
      <c r="K66" s="1044">
        <v>1</v>
      </c>
      <c r="L66" s="972"/>
    </row>
    <row r="67" spans="1:12" s="322" customFormat="1" ht="30.75" customHeight="1">
      <c r="A67" s="1731"/>
      <c r="B67" s="306" t="s">
        <v>4775</v>
      </c>
      <c r="C67" s="971" t="s">
        <v>4776</v>
      </c>
      <c r="D67" s="399" t="s">
        <v>880</v>
      </c>
      <c r="E67" s="399">
        <v>-32768</v>
      </c>
      <c r="F67" s="399">
        <v>32767</v>
      </c>
      <c r="G67" s="971" t="s">
        <v>4766</v>
      </c>
      <c r="H67" s="399">
        <v>32767</v>
      </c>
      <c r="I67" s="399">
        <v>16</v>
      </c>
      <c r="J67" s="399" t="s">
        <v>1478</v>
      </c>
      <c r="K67" s="1044">
        <v>1</v>
      </c>
      <c r="L67" s="972"/>
    </row>
    <row r="68" spans="1:12" s="322" customFormat="1" ht="30.75" customHeight="1">
      <c r="A68" s="1731"/>
      <c r="B68" s="306" t="s">
        <v>4777</v>
      </c>
      <c r="C68" s="971" t="s">
        <v>4778</v>
      </c>
      <c r="D68" s="399" t="s">
        <v>880</v>
      </c>
      <c r="E68" s="399">
        <v>-32768</v>
      </c>
      <c r="F68" s="399">
        <v>32767</v>
      </c>
      <c r="G68" s="971" t="s">
        <v>4766</v>
      </c>
      <c r="H68" s="399">
        <v>32767</v>
      </c>
      <c r="I68" s="399">
        <v>16</v>
      </c>
      <c r="J68" s="399" t="s">
        <v>1478</v>
      </c>
      <c r="K68" s="1044">
        <v>1</v>
      </c>
      <c r="L68" s="972"/>
    </row>
    <row r="69" spans="1:12" s="322" customFormat="1" ht="30.75" customHeight="1">
      <c r="A69" s="1731"/>
      <c r="B69" s="306" t="s">
        <v>4779</v>
      </c>
      <c r="C69" s="971" t="s">
        <v>4780</v>
      </c>
      <c r="D69" s="399" t="s">
        <v>880</v>
      </c>
      <c r="E69" s="399">
        <v>-32768</v>
      </c>
      <c r="F69" s="399">
        <v>32767</v>
      </c>
      <c r="G69" s="971" t="s">
        <v>4766</v>
      </c>
      <c r="H69" s="399">
        <v>32767</v>
      </c>
      <c r="I69" s="399">
        <v>16</v>
      </c>
      <c r="J69" s="399" t="s">
        <v>1478</v>
      </c>
      <c r="K69" s="1044">
        <v>1</v>
      </c>
      <c r="L69" s="972"/>
    </row>
    <row r="70" spans="1:12" s="322" customFormat="1" ht="30.75" customHeight="1">
      <c r="A70" s="1731"/>
      <c r="B70" s="306" t="s">
        <v>4781</v>
      </c>
      <c r="C70" s="971" t="s">
        <v>4782</v>
      </c>
      <c r="D70" s="399" t="s">
        <v>880</v>
      </c>
      <c r="E70" s="399">
        <v>-32768</v>
      </c>
      <c r="F70" s="399">
        <v>32767</v>
      </c>
      <c r="G70" s="971" t="s">
        <v>4766</v>
      </c>
      <c r="H70" s="399">
        <v>32767</v>
      </c>
      <c r="I70" s="399">
        <v>16</v>
      </c>
      <c r="J70" s="399" t="s">
        <v>1478</v>
      </c>
      <c r="K70" s="1044">
        <v>1</v>
      </c>
      <c r="L70" s="972"/>
    </row>
    <row r="71" spans="1:12" s="322" customFormat="1" ht="30.75" customHeight="1">
      <c r="A71" s="1731"/>
      <c r="B71" s="306" t="s">
        <v>4783</v>
      </c>
      <c r="C71" s="971" t="s">
        <v>4784</v>
      </c>
      <c r="D71" s="399" t="s">
        <v>880</v>
      </c>
      <c r="E71" s="399">
        <v>-32768</v>
      </c>
      <c r="F71" s="399">
        <v>32767</v>
      </c>
      <c r="G71" s="971" t="s">
        <v>4766</v>
      </c>
      <c r="H71" s="399">
        <v>32767</v>
      </c>
      <c r="I71" s="399">
        <v>16</v>
      </c>
      <c r="J71" s="399" t="s">
        <v>1478</v>
      </c>
      <c r="K71" s="1044">
        <v>1</v>
      </c>
      <c r="L71" s="972"/>
    </row>
    <row r="72" spans="1:12" s="322" customFormat="1" ht="30.75" customHeight="1">
      <c r="A72" s="1731"/>
      <c r="B72" s="306" t="s">
        <v>4785</v>
      </c>
      <c r="C72" s="971" t="s">
        <v>4786</v>
      </c>
      <c r="D72" s="399" t="s">
        <v>880</v>
      </c>
      <c r="E72" s="399">
        <v>-32768</v>
      </c>
      <c r="F72" s="399">
        <v>32767</v>
      </c>
      <c r="G72" s="971" t="s">
        <v>4766</v>
      </c>
      <c r="H72" s="399">
        <v>32767</v>
      </c>
      <c r="I72" s="399">
        <v>16</v>
      </c>
      <c r="J72" s="399" t="s">
        <v>1478</v>
      </c>
      <c r="K72" s="1044">
        <v>1</v>
      </c>
      <c r="L72" s="972"/>
    </row>
    <row r="73" spans="1:12" s="322" customFormat="1" ht="30.75" customHeight="1">
      <c r="A73" s="1731"/>
      <c r="B73" s="306" t="s">
        <v>4787</v>
      </c>
      <c r="C73" s="971" t="s">
        <v>4788</v>
      </c>
      <c r="D73" s="399" t="s">
        <v>880</v>
      </c>
      <c r="E73" s="399">
        <v>-32768</v>
      </c>
      <c r="F73" s="399">
        <v>32767</v>
      </c>
      <c r="G73" s="971" t="s">
        <v>4766</v>
      </c>
      <c r="H73" s="399">
        <v>32767</v>
      </c>
      <c r="I73" s="399">
        <v>16</v>
      </c>
      <c r="J73" s="399" t="s">
        <v>1478</v>
      </c>
      <c r="K73" s="1044">
        <v>1</v>
      </c>
      <c r="L73" s="972"/>
    </row>
    <row r="74" spans="1:12" s="322" customFormat="1" ht="30.75" customHeight="1">
      <c r="A74" s="1731"/>
      <c r="B74" s="306" t="s">
        <v>4789</v>
      </c>
      <c r="C74" s="971" t="s">
        <v>4790</v>
      </c>
      <c r="D74" s="399" t="s">
        <v>880</v>
      </c>
      <c r="E74" s="399">
        <v>-32768</v>
      </c>
      <c r="F74" s="399">
        <v>32767</v>
      </c>
      <c r="G74" s="971" t="s">
        <v>4766</v>
      </c>
      <c r="H74" s="399">
        <v>32767</v>
      </c>
      <c r="I74" s="399">
        <v>16</v>
      </c>
      <c r="J74" s="399" t="s">
        <v>1478</v>
      </c>
      <c r="K74" s="1044">
        <v>1</v>
      </c>
      <c r="L74" s="972"/>
    </row>
    <row r="75" spans="1:12" s="322" customFormat="1" ht="30.75" customHeight="1">
      <c r="A75" s="1731"/>
      <c r="B75" s="306" t="s">
        <v>4791</v>
      </c>
      <c r="C75" s="971" t="s">
        <v>4792</v>
      </c>
      <c r="D75" s="399" t="s">
        <v>880</v>
      </c>
      <c r="E75" s="399">
        <v>-32768</v>
      </c>
      <c r="F75" s="399">
        <v>32767</v>
      </c>
      <c r="G75" s="971" t="s">
        <v>4766</v>
      </c>
      <c r="H75" s="399">
        <v>32767</v>
      </c>
      <c r="I75" s="399">
        <v>16</v>
      </c>
      <c r="J75" s="399" t="s">
        <v>1478</v>
      </c>
      <c r="K75" s="1044">
        <v>1</v>
      </c>
      <c r="L75" s="972"/>
    </row>
    <row r="76" spans="1:12" s="322" customFormat="1" ht="30.75" customHeight="1">
      <c r="A76" s="1731"/>
      <c r="B76" s="306" t="s">
        <v>4793</v>
      </c>
      <c r="C76" s="971" t="s">
        <v>4794</v>
      </c>
      <c r="D76" s="399" t="s">
        <v>880</v>
      </c>
      <c r="E76" s="399">
        <v>-32768</v>
      </c>
      <c r="F76" s="399">
        <v>32767</v>
      </c>
      <c r="G76" s="971" t="s">
        <v>4766</v>
      </c>
      <c r="H76" s="399">
        <v>32767</v>
      </c>
      <c r="I76" s="399">
        <v>16</v>
      </c>
      <c r="J76" s="399" t="s">
        <v>1478</v>
      </c>
      <c r="K76" s="1044">
        <v>1</v>
      </c>
      <c r="L76" s="972"/>
    </row>
    <row r="77" spans="1:12" s="322" customFormat="1" ht="30.75" customHeight="1">
      <c r="A77" s="1732"/>
      <c r="B77" s="1045" t="s">
        <v>4795</v>
      </c>
      <c r="C77" s="375" t="s">
        <v>4796</v>
      </c>
      <c r="D77" s="363" t="s">
        <v>880</v>
      </c>
      <c r="E77" s="363">
        <v>-32768</v>
      </c>
      <c r="F77" s="363">
        <v>32767</v>
      </c>
      <c r="G77" s="375" t="s">
        <v>4766</v>
      </c>
      <c r="H77" s="363">
        <v>32767</v>
      </c>
      <c r="I77" s="363">
        <v>16</v>
      </c>
      <c r="J77" s="363" t="s">
        <v>1478</v>
      </c>
      <c r="K77" s="1046">
        <v>1</v>
      </c>
      <c r="L77" s="972"/>
    </row>
  </sheetData>
  <autoFilter ref="A3:J3" xr:uid="{C80084AE-9CBC-4DD0-92A8-BD51D5171DB0}"/>
  <mergeCells count="10">
    <mergeCell ref="A62:A77"/>
    <mergeCell ref="D1:E1"/>
    <mergeCell ref="A33:A37"/>
    <mergeCell ref="A38:A54"/>
    <mergeCell ref="A58:A59"/>
    <mergeCell ref="A60:A61"/>
    <mergeCell ref="A55:A57"/>
    <mergeCell ref="A22:A28"/>
    <mergeCell ref="B1:C1"/>
    <mergeCell ref="A2:B2"/>
  </mergeCells>
  <hyperlinks>
    <hyperlink ref="G1" location="'Revision Map'!A1" display="INDEX" xr:uid="{0BA870D2-AC80-43BF-8542-91A22441665C}"/>
  </hyperlinks>
  <pageMargins left="0.7" right="0.7" top="0.75" bottom="0.75" header="0.3" footer="0.3"/>
  <pageSetup paperSize="9" orientation="portrait" r:id="rId1"/>
  <headerFooter>
    <oddFooter>&amp;C_x000D_&amp;1#&amp;"Calibri"&amp;11&amp;KFF0000 Internal</oddFooter>
  </headerFooter>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D1565-9648-4F74-B3AD-97505A1856A2}">
  <sheetPr codeName="Sheet39"/>
  <dimension ref="A1:G44"/>
  <sheetViews>
    <sheetView zoomScaleNormal="100" workbookViewId="0">
      <pane ySplit="1" topLeftCell="A39" activePane="bottomLeft" state="frozen"/>
      <selection activeCell="C22" activeCellId="1" sqref="A1:AS1 C22"/>
      <selection pane="bottomLeft" activeCell="B44" sqref="B44"/>
    </sheetView>
  </sheetViews>
  <sheetFormatPr defaultColWidth="9.15625" defaultRowHeight="14.4"/>
  <cols>
    <col min="1" max="1" width="11" style="1014" bestFit="1" customWidth="1"/>
    <col min="2" max="2" width="10.83984375" style="40" customWidth="1"/>
    <col min="3" max="3" width="53.68359375" bestFit="1" customWidth="1"/>
    <col min="4" max="4" width="18.578125" customWidth="1"/>
    <col min="5" max="5" width="11.578125" bestFit="1" customWidth="1"/>
  </cols>
  <sheetData>
    <row r="1" spans="1:7">
      <c r="A1" s="1017" t="s">
        <v>644</v>
      </c>
      <c r="B1" s="660" t="s">
        <v>645</v>
      </c>
      <c r="C1" s="643" t="s">
        <v>646</v>
      </c>
      <c r="D1" s="643" t="s">
        <v>647</v>
      </c>
      <c r="E1" s="644" t="s">
        <v>793</v>
      </c>
    </row>
    <row r="2" spans="1:7">
      <c r="A2" s="629" t="s">
        <v>794</v>
      </c>
      <c r="B2" s="188">
        <v>44687</v>
      </c>
      <c r="C2" s="584" t="s">
        <v>4797</v>
      </c>
      <c r="D2" s="585" t="s">
        <v>654</v>
      </c>
      <c r="E2" s="586" t="s">
        <v>655</v>
      </c>
    </row>
    <row r="3" spans="1:7">
      <c r="A3" s="629" t="s">
        <v>794</v>
      </c>
      <c r="B3" s="51">
        <v>44691</v>
      </c>
      <c r="C3" s="5" t="s">
        <v>4798</v>
      </c>
      <c r="D3" s="5" t="s">
        <v>796</v>
      </c>
      <c r="E3" s="5" t="s">
        <v>655</v>
      </c>
    </row>
    <row r="4" spans="1:7" ht="43.2">
      <c r="A4" s="1010" t="s">
        <v>800</v>
      </c>
      <c r="B4" s="51">
        <v>44692</v>
      </c>
      <c r="C4" s="576" t="s">
        <v>4799</v>
      </c>
      <c r="D4" s="5" t="s">
        <v>654</v>
      </c>
      <c r="E4" s="5" t="s">
        <v>655</v>
      </c>
    </row>
    <row r="5" spans="1:7" ht="57.6">
      <c r="A5" s="1010" t="s">
        <v>802</v>
      </c>
      <c r="B5" s="51">
        <v>44693</v>
      </c>
      <c r="C5" s="576" t="s">
        <v>4800</v>
      </c>
      <c r="D5" s="5" t="s">
        <v>654</v>
      </c>
      <c r="E5" s="5" t="s">
        <v>655</v>
      </c>
    </row>
    <row r="6" spans="1:7" ht="18" customHeight="1">
      <c r="A6" s="1010" t="s">
        <v>802</v>
      </c>
      <c r="B6" s="51">
        <v>44693</v>
      </c>
      <c r="C6" s="5" t="s">
        <v>1429</v>
      </c>
      <c r="D6" s="5" t="s">
        <v>796</v>
      </c>
      <c r="E6" s="5" t="s">
        <v>655</v>
      </c>
      <c r="G6" s="54"/>
    </row>
    <row r="7" spans="1:7" ht="16.149999999999999" customHeight="1">
      <c r="A7" s="1010" t="s">
        <v>805</v>
      </c>
      <c r="B7" s="51">
        <v>44694</v>
      </c>
      <c r="C7" s="576" t="s">
        <v>4801</v>
      </c>
      <c r="D7" s="647" t="s">
        <v>654</v>
      </c>
      <c r="E7" s="5" t="s">
        <v>655</v>
      </c>
    </row>
    <row r="8" spans="1:7" ht="16.149999999999999" customHeight="1">
      <c r="A8" s="1010" t="s">
        <v>805</v>
      </c>
      <c r="B8" s="51">
        <v>44706</v>
      </c>
      <c r="C8" s="576" t="s">
        <v>4802</v>
      </c>
      <c r="D8" s="5" t="s">
        <v>654</v>
      </c>
      <c r="E8" s="5" t="s">
        <v>655</v>
      </c>
    </row>
    <row r="9" spans="1:7">
      <c r="A9" s="1010" t="s">
        <v>805</v>
      </c>
      <c r="B9" s="51">
        <v>44706</v>
      </c>
      <c r="C9" s="5" t="s">
        <v>4803</v>
      </c>
      <c r="D9" s="5" t="s">
        <v>676</v>
      </c>
      <c r="E9" s="5" t="s">
        <v>655</v>
      </c>
    </row>
    <row r="10" spans="1:7" ht="15" customHeight="1">
      <c r="A10" s="1010" t="s">
        <v>49</v>
      </c>
      <c r="B10" s="51">
        <v>44706</v>
      </c>
      <c r="C10" s="576" t="s">
        <v>651</v>
      </c>
      <c r="D10" s="5" t="s">
        <v>654</v>
      </c>
      <c r="E10" s="5" t="s">
        <v>651</v>
      </c>
    </row>
    <row r="11" spans="1:7" ht="30" customHeight="1">
      <c r="A11" s="1010" t="s">
        <v>49</v>
      </c>
      <c r="B11" s="51">
        <v>44719</v>
      </c>
      <c r="C11" s="576" t="s">
        <v>660</v>
      </c>
      <c r="D11" s="5" t="s">
        <v>654</v>
      </c>
      <c r="E11" s="5" t="s">
        <v>661</v>
      </c>
    </row>
    <row r="12" spans="1:7" ht="28.8">
      <c r="A12" s="1010" t="s">
        <v>652</v>
      </c>
      <c r="B12" s="51">
        <v>44727</v>
      </c>
      <c r="C12" s="576" t="s">
        <v>4804</v>
      </c>
      <c r="D12" s="5" t="s">
        <v>654</v>
      </c>
      <c r="E12" s="5" t="s">
        <v>655</v>
      </c>
    </row>
    <row r="13" spans="1:7" ht="14.25" customHeight="1">
      <c r="A13" s="1010" t="s">
        <v>652</v>
      </c>
      <c r="B13" s="51">
        <v>44728</v>
      </c>
      <c r="C13" s="576" t="s">
        <v>1434</v>
      </c>
      <c r="D13" s="5" t="s">
        <v>658</v>
      </c>
      <c r="E13" s="5" t="s">
        <v>655</v>
      </c>
    </row>
    <row r="14" spans="1:7" ht="20.25" customHeight="1">
      <c r="A14" s="1010" t="s">
        <v>659</v>
      </c>
      <c r="B14" s="51">
        <v>44728</v>
      </c>
      <c r="C14" s="576" t="s">
        <v>651</v>
      </c>
      <c r="D14" s="5" t="s">
        <v>654</v>
      </c>
      <c r="E14" s="5" t="s">
        <v>651</v>
      </c>
    </row>
    <row r="15" spans="1:7" ht="16.149999999999999" customHeight="1">
      <c r="A15" s="1010" t="s">
        <v>659</v>
      </c>
      <c r="B15" s="51">
        <v>44742</v>
      </c>
      <c r="C15" s="576" t="s">
        <v>667</v>
      </c>
      <c r="D15" s="5" t="s">
        <v>654</v>
      </c>
      <c r="E15" s="5" t="s">
        <v>661</v>
      </c>
    </row>
    <row r="16" spans="1:7" ht="15.75" customHeight="1">
      <c r="A16" s="1013" t="s">
        <v>663</v>
      </c>
      <c r="B16" s="649">
        <v>44797</v>
      </c>
      <c r="C16" s="650" t="s">
        <v>4805</v>
      </c>
      <c r="D16" s="648" t="s">
        <v>654</v>
      </c>
      <c r="E16" s="648" t="s">
        <v>655</v>
      </c>
    </row>
    <row r="17" spans="1:5" ht="15.75" customHeight="1">
      <c r="A17" s="1010" t="s">
        <v>2694</v>
      </c>
      <c r="B17" s="649">
        <v>44895</v>
      </c>
      <c r="C17" s="5" t="s">
        <v>4333</v>
      </c>
      <c r="D17" s="5" t="s">
        <v>683</v>
      </c>
      <c r="E17" s="5" t="s">
        <v>655</v>
      </c>
    </row>
    <row r="18" spans="1:5" ht="15.75" customHeight="1">
      <c r="A18" s="1010" t="s">
        <v>2695</v>
      </c>
      <c r="B18" s="649">
        <v>44895</v>
      </c>
      <c r="C18" s="576" t="s">
        <v>4806</v>
      </c>
      <c r="D18" s="5" t="s">
        <v>654</v>
      </c>
      <c r="E18" s="5" t="s">
        <v>655</v>
      </c>
    </row>
    <row r="19" spans="1:5" ht="15.75" customHeight="1">
      <c r="A19" s="1010" t="s">
        <v>4807</v>
      </c>
      <c r="B19" s="649">
        <v>44897</v>
      </c>
      <c r="C19" s="5" t="s">
        <v>4645</v>
      </c>
      <c r="D19" s="5" t="s">
        <v>683</v>
      </c>
      <c r="E19" s="5" t="s">
        <v>655</v>
      </c>
    </row>
    <row r="20" spans="1:5" ht="15.75" customHeight="1">
      <c r="A20" s="1010" t="s">
        <v>4807</v>
      </c>
      <c r="B20" s="575">
        <v>44902</v>
      </c>
      <c r="C20" s="589" t="s">
        <v>1369</v>
      </c>
      <c r="D20" s="590" t="s">
        <v>676</v>
      </c>
      <c r="E20" s="591" t="s">
        <v>655</v>
      </c>
    </row>
    <row r="21" spans="1:5" ht="15.75" customHeight="1">
      <c r="A21" s="1010" t="s">
        <v>4808</v>
      </c>
      <c r="B21" s="51">
        <v>44904</v>
      </c>
      <c r="C21" s="588" t="s">
        <v>4809</v>
      </c>
      <c r="D21" s="5" t="s">
        <v>796</v>
      </c>
      <c r="E21" s="5" t="s">
        <v>655</v>
      </c>
    </row>
    <row r="22" spans="1:5">
      <c r="A22" s="1010" t="s">
        <v>4810</v>
      </c>
      <c r="B22" s="51">
        <v>44904</v>
      </c>
      <c r="C22" s="5" t="s">
        <v>4811</v>
      </c>
      <c r="D22" s="5" t="s">
        <v>676</v>
      </c>
      <c r="E22" s="5" t="s">
        <v>655</v>
      </c>
    </row>
    <row r="23" spans="1:5" ht="28.8">
      <c r="A23" s="1010" t="s">
        <v>4812</v>
      </c>
      <c r="B23" s="51">
        <v>44936</v>
      </c>
      <c r="C23" s="576" t="s">
        <v>4813</v>
      </c>
      <c r="D23" s="5" t="s">
        <v>796</v>
      </c>
      <c r="E23" s="5" t="s">
        <v>655</v>
      </c>
    </row>
    <row r="24" spans="1:5">
      <c r="A24" s="1010" t="s">
        <v>4814</v>
      </c>
      <c r="B24" s="51">
        <v>44939</v>
      </c>
      <c r="C24" s="5" t="s">
        <v>4815</v>
      </c>
      <c r="D24" s="5" t="s">
        <v>678</v>
      </c>
      <c r="E24" s="5" t="s">
        <v>655</v>
      </c>
    </row>
    <row r="25" spans="1:5">
      <c r="A25" s="1010" t="s">
        <v>4816</v>
      </c>
      <c r="B25" s="51">
        <v>44944</v>
      </c>
      <c r="C25" s="5" t="s">
        <v>4817</v>
      </c>
      <c r="D25" s="5" t="s">
        <v>678</v>
      </c>
      <c r="E25" s="5" t="s">
        <v>655</v>
      </c>
    </row>
    <row r="26" spans="1:5" ht="43.2">
      <c r="A26" s="1010" t="s">
        <v>663</v>
      </c>
      <c r="B26" s="51">
        <v>44949</v>
      </c>
      <c r="C26" s="576" t="s">
        <v>4818</v>
      </c>
      <c r="D26" s="5" t="s">
        <v>678</v>
      </c>
      <c r="E26" s="5" t="s">
        <v>655</v>
      </c>
    </row>
    <row r="27" spans="1:5">
      <c r="A27" s="1010" t="s">
        <v>4819</v>
      </c>
      <c r="B27" s="51">
        <v>44952</v>
      </c>
      <c r="C27" s="5" t="s">
        <v>4820</v>
      </c>
      <c r="D27" s="5" t="s">
        <v>658</v>
      </c>
      <c r="E27" s="5" t="s">
        <v>655</v>
      </c>
    </row>
    <row r="28" spans="1:5" ht="100.8">
      <c r="A28" s="1010" t="s">
        <v>4821</v>
      </c>
      <c r="B28" s="51">
        <v>44953</v>
      </c>
      <c r="C28" s="576" t="s">
        <v>4822</v>
      </c>
      <c r="D28" s="5" t="s">
        <v>1001</v>
      </c>
      <c r="E28" s="5" t="s">
        <v>655</v>
      </c>
    </row>
    <row r="29" spans="1:5">
      <c r="A29" s="1010" t="s">
        <v>4821</v>
      </c>
      <c r="B29" s="51">
        <v>44956</v>
      </c>
      <c r="C29" s="5" t="s">
        <v>4823</v>
      </c>
      <c r="D29" s="5" t="s">
        <v>683</v>
      </c>
      <c r="E29" s="5" t="s">
        <v>655</v>
      </c>
    </row>
    <row r="30" spans="1:5">
      <c r="A30" s="1010" t="s">
        <v>4824</v>
      </c>
      <c r="B30" s="51">
        <v>44956</v>
      </c>
      <c r="C30" s="5" t="s">
        <v>4825</v>
      </c>
      <c r="D30" s="5" t="s">
        <v>658</v>
      </c>
      <c r="E30" s="5" t="s">
        <v>655</v>
      </c>
    </row>
    <row r="31" spans="1:5">
      <c r="A31" s="1010" t="s">
        <v>4824</v>
      </c>
      <c r="B31" s="51">
        <v>44956</v>
      </c>
      <c r="C31" s="5" t="s">
        <v>1369</v>
      </c>
      <c r="D31" s="5" t="s">
        <v>683</v>
      </c>
      <c r="E31" s="5" t="s">
        <v>655</v>
      </c>
    </row>
    <row r="32" spans="1:5">
      <c r="A32" s="1010" t="s">
        <v>666</v>
      </c>
      <c r="B32" s="51">
        <v>44957</v>
      </c>
      <c r="C32" s="5" t="s">
        <v>651</v>
      </c>
      <c r="D32" s="5" t="s">
        <v>676</v>
      </c>
      <c r="E32" s="5" t="s">
        <v>651</v>
      </c>
    </row>
    <row r="33" spans="1:6">
      <c r="A33" s="1010" t="s">
        <v>666</v>
      </c>
      <c r="B33" s="51">
        <v>44957</v>
      </c>
      <c r="C33" s="5" t="s">
        <v>687</v>
      </c>
      <c r="D33" s="5" t="s">
        <v>676</v>
      </c>
      <c r="E33" s="5" t="s">
        <v>661</v>
      </c>
    </row>
    <row r="34" spans="1:6">
      <c r="A34" s="1010" t="s">
        <v>666</v>
      </c>
      <c r="B34" s="51">
        <v>44970</v>
      </c>
      <c r="C34" s="5" t="s">
        <v>691</v>
      </c>
      <c r="D34" s="5" t="s">
        <v>676</v>
      </c>
      <c r="E34" s="5" t="s">
        <v>661</v>
      </c>
    </row>
    <row r="35" spans="1:6" ht="43.2">
      <c r="A35" s="1010" t="s">
        <v>668</v>
      </c>
      <c r="B35" s="51">
        <v>44992</v>
      </c>
      <c r="C35" s="576" t="s">
        <v>4826</v>
      </c>
      <c r="D35" s="5" t="s">
        <v>658</v>
      </c>
      <c r="E35" s="5" t="s">
        <v>655</v>
      </c>
    </row>
    <row r="36" spans="1:6">
      <c r="A36" s="1010" t="s">
        <v>668</v>
      </c>
      <c r="B36" s="51">
        <v>44992</v>
      </c>
      <c r="C36" s="5" t="s">
        <v>1369</v>
      </c>
      <c r="D36" s="5" t="s">
        <v>683</v>
      </c>
      <c r="E36" s="5" t="s">
        <v>655</v>
      </c>
      <c r="F36" s="5"/>
    </row>
    <row r="37" spans="1:6">
      <c r="A37" s="1010" t="s">
        <v>686</v>
      </c>
      <c r="B37" s="51">
        <v>44992</v>
      </c>
      <c r="C37" s="5" t="s">
        <v>651</v>
      </c>
      <c r="D37" s="5" t="s">
        <v>658</v>
      </c>
      <c r="E37" s="5" t="s">
        <v>651</v>
      </c>
    </row>
    <row r="38" spans="1:6">
      <c r="A38" s="1010" t="s">
        <v>686</v>
      </c>
      <c r="B38" s="191">
        <v>44998</v>
      </c>
      <c r="C38" s="5" t="s">
        <v>692</v>
      </c>
      <c r="D38" s="5" t="s">
        <v>678</v>
      </c>
      <c r="E38" s="5" t="s">
        <v>661</v>
      </c>
    </row>
    <row r="39" spans="1:6" ht="72">
      <c r="A39" s="1010" t="s">
        <v>688</v>
      </c>
      <c r="B39" s="51">
        <v>47630</v>
      </c>
      <c r="C39" s="576" t="s">
        <v>4827</v>
      </c>
      <c r="D39" s="5" t="s">
        <v>683</v>
      </c>
      <c r="E39" s="5" t="s">
        <v>655</v>
      </c>
    </row>
    <row r="40" spans="1:6">
      <c r="A40" s="1010" t="s">
        <v>688</v>
      </c>
      <c r="B40" s="51">
        <v>45077</v>
      </c>
      <c r="C40" s="5" t="s">
        <v>1369</v>
      </c>
      <c r="D40" s="5" t="s">
        <v>658</v>
      </c>
      <c r="E40" s="5" t="s">
        <v>655</v>
      </c>
    </row>
    <row r="41" spans="1:6">
      <c r="A41" s="1010" t="s">
        <v>690</v>
      </c>
      <c r="B41" s="51">
        <v>45077</v>
      </c>
      <c r="C41" s="5" t="s">
        <v>651</v>
      </c>
      <c r="D41" s="5" t="s">
        <v>683</v>
      </c>
      <c r="E41" s="5" t="s">
        <v>651</v>
      </c>
    </row>
    <row r="42" spans="1:6">
      <c r="A42" s="1010" t="s">
        <v>690</v>
      </c>
      <c r="B42" s="191">
        <v>45078</v>
      </c>
      <c r="C42" s="5" t="s">
        <v>699</v>
      </c>
      <c r="D42" s="5" t="s">
        <v>678</v>
      </c>
      <c r="E42" s="5" t="s">
        <v>661</v>
      </c>
    </row>
    <row r="43" spans="1:6">
      <c r="A43" s="1010" t="s">
        <v>690</v>
      </c>
      <c r="B43" s="191">
        <v>45097</v>
      </c>
      <c r="C43" s="5" t="s">
        <v>700</v>
      </c>
      <c r="D43" s="5" t="s">
        <v>678</v>
      </c>
      <c r="E43" s="5" t="s">
        <v>661</v>
      </c>
    </row>
    <row r="44" spans="1:6">
      <c r="A44" s="1010" t="s">
        <v>690</v>
      </c>
      <c r="B44" s="1065">
        <v>45205</v>
      </c>
      <c r="C44" s="595" t="s">
        <v>701</v>
      </c>
      <c r="D44" s="595" t="s">
        <v>678</v>
      </c>
      <c r="E44" s="596" t="s">
        <v>661</v>
      </c>
    </row>
  </sheetData>
  <pageMargins left="0.7" right="0.7" top="0.75" bottom="0.75" header="0.3" footer="0.3"/>
  <pageSetup paperSize="9" orientation="portrait" r:id="rId1"/>
  <headerFooter>
    <oddFooter>&amp;C_x000D_&amp;1#&amp;"Calibri"&amp;11&amp;KFF0000 Internal</oddFooter>
  </headerFooter>
  <tableParts count="1">
    <tablePart r:id="rId2"/>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82BC5-2E11-44A4-9563-A5F5FCC682BC}">
  <sheetPr codeName="Sheet45"/>
  <dimension ref="A1:K23"/>
  <sheetViews>
    <sheetView workbookViewId="0">
      <pane ySplit="3" topLeftCell="A13" activePane="bottomLeft" state="frozen"/>
      <selection activeCell="C22" activeCellId="1" sqref="A1:AS1 C22"/>
      <selection pane="bottomLeft" activeCell="A17" sqref="A17:A20"/>
    </sheetView>
  </sheetViews>
  <sheetFormatPr defaultColWidth="9.15625" defaultRowHeight="14.4"/>
  <cols>
    <col min="1" max="1" width="28.68359375" customWidth="1"/>
    <col min="2" max="2" width="25.26171875" customWidth="1"/>
    <col min="3" max="3" width="35.68359375" customWidth="1"/>
    <col min="7" max="7" width="13.26171875" bestFit="1" customWidth="1"/>
    <col min="10" max="10" width="12" bestFit="1" customWidth="1"/>
    <col min="11" max="11" width="13" customWidth="1"/>
  </cols>
  <sheetData>
    <row r="1" spans="1:11">
      <c r="A1" s="452" t="s">
        <v>4509</v>
      </c>
      <c r="B1" s="1744" t="s">
        <v>1635</v>
      </c>
      <c r="C1" s="1745"/>
      <c r="D1" s="1746" t="s">
        <v>106</v>
      </c>
      <c r="E1" s="1747"/>
      <c r="F1" s="453">
        <v>3</v>
      </c>
      <c r="G1" s="454"/>
      <c r="H1" s="454"/>
      <c r="I1" s="454"/>
      <c r="J1" s="455" t="s">
        <v>1634</v>
      </c>
      <c r="K1" s="456"/>
    </row>
    <row r="2" spans="1:11">
      <c r="A2" s="457"/>
      <c r="B2" s="447"/>
      <c r="C2" s="447"/>
      <c r="D2" s="447"/>
      <c r="E2" s="447"/>
      <c r="F2" s="447"/>
      <c r="G2" s="449"/>
      <c r="H2" s="447"/>
      <c r="I2" s="447"/>
      <c r="J2" s="447"/>
      <c r="K2" s="458"/>
    </row>
    <row r="3" spans="1:11" ht="28.8">
      <c r="A3" s="463" t="s">
        <v>4510</v>
      </c>
      <c r="B3" s="464" t="s">
        <v>4511</v>
      </c>
      <c r="C3" s="464" t="s">
        <v>710</v>
      </c>
      <c r="D3" s="465" t="s">
        <v>711</v>
      </c>
      <c r="E3" s="465" t="s">
        <v>712</v>
      </c>
      <c r="F3" s="465" t="s">
        <v>713</v>
      </c>
      <c r="G3" s="466" t="s">
        <v>714</v>
      </c>
      <c r="H3" s="467" t="s">
        <v>715</v>
      </c>
      <c r="I3" s="465" t="s">
        <v>716</v>
      </c>
      <c r="J3" s="468" t="s">
        <v>717</v>
      </c>
      <c r="K3" s="469" t="s">
        <v>4512</v>
      </c>
    </row>
    <row r="4" spans="1:11" ht="27.6" customHeight="1">
      <c r="A4" s="1741" t="s">
        <v>1646</v>
      </c>
      <c r="B4" s="459" t="s">
        <v>4828</v>
      </c>
      <c r="C4" s="460" t="s">
        <v>4829</v>
      </c>
      <c r="D4" s="461" t="s">
        <v>48</v>
      </c>
      <c r="E4" s="461">
        <v>0</v>
      </c>
      <c r="F4" s="461">
        <v>1</v>
      </c>
      <c r="G4" s="459" t="s">
        <v>1055</v>
      </c>
      <c r="H4" s="461">
        <v>0</v>
      </c>
      <c r="I4" s="462">
        <v>8</v>
      </c>
      <c r="J4" s="461" t="s">
        <v>1056</v>
      </c>
      <c r="K4" s="475">
        <v>1</v>
      </c>
    </row>
    <row r="5" spans="1:11" ht="28.9" customHeight="1">
      <c r="A5" s="1742"/>
      <c r="B5" s="59" t="s">
        <v>4830</v>
      </c>
      <c r="C5" s="267" t="s">
        <v>4831</v>
      </c>
      <c r="D5" s="60" t="s">
        <v>48</v>
      </c>
      <c r="E5" s="60">
        <v>0</v>
      </c>
      <c r="F5" s="60">
        <v>1</v>
      </c>
      <c r="G5" s="59" t="s">
        <v>1055</v>
      </c>
      <c r="H5" s="60">
        <v>0</v>
      </c>
      <c r="I5" s="450">
        <v>8</v>
      </c>
      <c r="J5" s="60" t="s">
        <v>1056</v>
      </c>
      <c r="K5" s="476">
        <v>1</v>
      </c>
    </row>
    <row r="6" spans="1:11" ht="30" customHeight="1">
      <c r="A6" s="1742"/>
      <c r="B6" s="59" t="s">
        <v>36</v>
      </c>
      <c r="C6" s="268" t="s">
        <v>4832</v>
      </c>
      <c r="D6" s="60" t="s">
        <v>48</v>
      </c>
      <c r="E6" s="60">
        <v>0</v>
      </c>
      <c r="F6" s="60">
        <v>1</v>
      </c>
      <c r="G6" s="59" t="s">
        <v>1055</v>
      </c>
      <c r="H6" s="60">
        <v>0</v>
      </c>
      <c r="I6" s="450">
        <v>8</v>
      </c>
      <c r="J6" s="60" t="s">
        <v>1056</v>
      </c>
      <c r="K6" s="476">
        <v>1</v>
      </c>
    </row>
    <row r="7" spans="1:11" ht="30" customHeight="1">
      <c r="A7" s="1742"/>
      <c r="B7" s="59" t="s">
        <v>4833</v>
      </c>
      <c r="C7" s="267" t="s">
        <v>4834</v>
      </c>
      <c r="D7" s="60" t="s">
        <v>48</v>
      </c>
      <c r="E7" s="60">
        <v>0</v>
      </c>
      <c r="F7" s="60">
        <v>1</v>
      </c>
      <c r="G7" s="59" t="s">
        <v>1055</v>
      </c>
      <c r="H7" s="60">
        <v>0</v>
      </c>
      <c r="I7" s="450">
        <v>8</v>
      </c>
      <c r="J7" s="60" t="s">
        <v>1056</v>
      </c>
      <c r="K7" s="476">
        <v>1</v>
      </c>
    </row>
    <row r="8" spans="1:11" ht="29.5" customHeight="1">
      <c r="A8" s="1742"/>
      <c r="B8" s="59" t="s">
        <v>4835</v>
      </c>
      <c r="C8" s="268" t="s">
        <v>4836</v>
      </c>
      <c r="D8" s="60" t="s">
        <v>48</v>
      </c>
      <c r="E8" s="60">
        <v>0</v>
      </c>
      <c r="F8" s="60">
        <v>1</v>
      </c>
      <c r="G8" s="59" t="s">
        <v>1055</v>
      </c>
      <c r="H8" s="60">
        <v>0</v>
      </c>
      <c r="I8" s="450">
        <v>8</v>
      </c>
      <c r="J8" s="60" t="s">
        <v>1056</v>
      </c>
      <c r="K8" s="476">
        <v>1</v>
      </c>
    </row>
    <row r="9" spans="1:11" ht="18" customHeight="1">
      <c r="A9" s="1742"/>
      <c r="B9" s="59" t="s">
        <v>4837</v>
      </c>
      <c r="C9" s="268" t="s">
        <v>4838</v>
      </c>
      <c r="D9" s="60" t="s">
        <v>48</v>
      </c>
      <c r="E9" s="60">
        <v>0</v>
      </c>
      <c r="F9" s="60">
        <v>1</v>
      </c>
      <c r="G9" s="59" t="s">
        <v>1055</v>
      </c>
      <c r="H9" s="60">
        <v>0</v>
      </c>
      <c r="I9" s="450">
        <v>8</v>
      </c>
      <c r="J9" s="60" t="s">
        <v>1056</v>
      </c>
      <c r="K9" s="476">
        <v>1</v>
      </c>
    </row>
    <row r="10" spans="1:11" ht="30" customHeight="1">
      <c r="A10" s="1742"/>
      <c r="B10" s="59" t="s">
        <v>4839</v>
      </c>
      <c r="C10" s="267" t="s">
        <v>4840</v>
      </c>
      <c r="D10" s="60" t="s">
        <v>48</v>
      </c>
      <c r="E10" s="60">
        <v>0</v>
      </c>
      <c r="F10" s="60">
        <v>1</v>
      </c>
      <c r="G10" s="59" t="s">
        <v>1055</v>
      </c>
      <c r="H10" s="60">
        <v>0</v>
      </c>
      <c r="I10" s="450">
        <v>8</v>
      </c>
      <c r="J10" s="60" t="s">
        <v>1056</v>
      </c>
      <c r="K10" s="476">
        <v>1</v>
      </c>
    </row>
    <row r="11" spans="1:11" ht="33.6" customHeight="1">
      <c r="A11" s="1742"/>
      <c r="B11" s="59" t="s">
        <v>4841</v>
      </c>
      <c r="C11" s="268" t="s">
        <v>4842</v>
      </c>
      <c r="D11" s="60" t="s">
        <v>48</v>
      </c>
      <c r="E11" s="60">
        <v>0</v>
      </c>
      <c r="F11" s="60">
        <v>1</v>
      </c>
      <c r="G11" s="59" t="s">
        <v>1055</v>
      </c>
      <c r="H11" s="60">
        <v>0</v>
      </c>
      <c r="I11" s="450">
        <v>8</v>
      </c>
      <c r="J11" s="60" t="s">
        <v>1056</v>
      </c>
      <c r="K11" s="476">
        <v>1</v>
      </c>
    </row>
    <row r="12" spans="1:11" ht="28.9" customHeight="1">
      <c r="A12" s="1742"/>
      <c r="B12" s="59" t="s">
        <v>4843</v>
      </c>
      <c r="C12" s="269" t="s">
        <v>4844</v>
      </c>
      <c r="D12" s="60" t="s">
        <v>48</v>
      </c>
      <c r="E12" s="60">
        <v>0</v>
      </c>
      <c r="F12" s="60">
        <v>1</v>
      </c>
      <c r="G12" s="59" t="s">
        <v>1055</v>
      </c>
      <c r="H12" s="60">
        <v>0</v>
      </c>
      <c r="I12" s="450">
        <v>8</v>
      </c>
      <c r="J12" s="60" t="s">
        <v>1056</v>
      </c>
      <c r="K12" s="476">
        <v>1</v>
      </c>
    </row>
    <row r="13" spans="1:11" ht="30" customHeight="1">
      <c r="A13" s="1742"/>
      <c r="B13" s="59" t="s">
        <v>4845</v>
      </c>
      <c r="C13" s="267" t="s">
        <v>4846</v>
      </c>
      <c r="D13" s="60" t="s">
        <v>48</v>
      </c>
      <c r="E13" s="60">
        <v>0</v>
      </c>
      <c r="F13" s="60">
        <v>1</v>
      </c>
      <c r="G13" s="59" t="s">
        <v>1055</v>
      </c>
      <c r="H13" s="60">
        <v>0</v>
      </c>
      <c r="I13" s="450">
        <v>8</v>
      </c>
      <c r="J13" s="60" t="s">
        <v>1056</v>
      </c>
      <c r="K13" s="476">
        <v>1</v>
      </c>
    </row>
    <row r="14" spans="1:11" ht="30" customHeight="1">
      <c r="A14" s="1742"/>
      <c r="B14" s="59" t="s">
        <v>4847</v>
      </c>
      <c r="C14" s="267" t="s">
        <v>4848</v>
      </c>
      <c r="D14" s="60" t="s">
        <v>48</v>
      </c>
      <c r="E14" s="60">
        <v>0</v>
      </c>
      <c r="F14" s="60">
        <v>1</v>
      </c>
      <c r="G14" s="59" t="s">
        <v>1055</v>
      </c>
      <c r="H14" s="60">
        <v>0</v>
      </c>
      <c r="I14" s="450">
        <v>8</v>
      </c>
      <c r="J14" s="60" t="s">
        <v>1056</v>
      </c>
      <c r="K14" s="476">
        <v>1</v>
      </c>
    </row>
    <row r="15" spans="1:11" ht="30" customHeight="1">
      <c r="A15" s="1742"/>
      <c r="B15" s="59" t="s">
        <v>4849</v>
      </c>
      <c r="C15" s="267" t="s">
        <v>4850</v>
      </c>
      <c r="D15" s="60" t="s">
        <v>48</v>
      </c>
      <c r="E15" s="60">
        <v>0</v>
      </c>
      <c r="F15" s="60">
        <v>1</v>
      </c>
      <c r="G15" s="59" t="s">
        <v>1055</v>
      </c>
      <c r="H15" s="60">
        <v>0</v>
      </c>
      <c r="I15" s="450">
        <v>8</v>
      </c>
      <c r="J15" s="60" t="s">
        <v>1056</v>
      </c>
      <c r="K15" s="476">
        <v>1</v>
      </c>
    </row>
    <row r="16" spans="1:11" ht="29.5" customHeight="1">
      <c r="A16" s="1742"/>
      <c r="B16" s="59" t="s">
        <v>4851</v>
      </c>
      <c r="C16" s="268" t="s">
        <v>4852</v>
      </c>
      <c r="D16" s="60" t="s">
        <v>48</v>
      </c>
      <c r="E16" s="60">
        <v>0</v>
      </c>
      <c r="F16" s="60">
        <v>1</v>
      </c>
      <c r="G16" s="59" t="s">
        <v>1055</v>
      </c>
      <c r="H16" s="60">
        <v>0</v>
      </c>
      <c r="I16" s="450">
        <v>8</v>
      </c>
      <c r="J16" s="60" t="s">
        <v>1056</v>
      </c>
      <c r="K16" s="476">
        <v>1</v>
      </c>
    </row>
    <row r="17" spans="1:11" ht="38.700000000000003">
      <c r="A17" s="1741" t="s">
        <v>1640</v>
      </c>
      <c r="B17" s="459" t="s">
        <v>4853</v>
      </c>
      <c r="C17" s="460" t="s">
        <v>4854</v>
      </c>
      <c r="D17" s="461" t="s">
        <v>48</v>
      </c>
      <c r="E17" s="461">
        <v>0</v>
      </c>
      <c r="F17" s="461">
        <v>1</v>
      </c>
      <c r="G17" s="459" t="s">
        <v>1055</v>
      </c>
      <c r="H17" s="461">
        <v>0</v>
      </c>
      <c r="I17" s="462">
        <v>8</v>
      </c>
      <c r="J17" s="461" t="s">
        <v>1056</v>
      </c>
      <c r="K17" s="475">
        <v>1</v>
      </c>
    </row>
    <row r="18" spans="1:11" ht="25.8">
      <c r="A18" s="1743"/>
      <c r="B18" s="59" t="s">
        <v>4855</v>
      </c>
      <c r="C18" s="267" t="s">
        <v>4856</v>
      </c>
      <c r="D18" s="60" t="s">
        <v>48</v>
      </c>
      <c r="E18" s="60">
        <v>0</v>
      </c>
      <c r="F18" s="60">
        <v>1</v>
      </c>
      <c r="G18" s="59" t="s">
        <v>1055</v>
      </c>
      <c r="H18" s="60">
        <v>0</v>
      </c>
      <c r="I18" s="450">
        <v>8</v>
      </c>
      <c r="J18" s="60" t="s">
        <v>1056</v>
      </c>
      <c r="K18" s="476">
        <v>1</v>
      </c>
    </row>
    <row r="19" spans="1:11" ht="25.8">
      <c r="A19" s="1743"/>
      <c r="B19" s="59" t="s">
        <v>4857</v>
      </c>
      <c r="C19" s="268" t="s">
        <v>4858</v>
      </c>
      <c r="D19" s="60" t="s">
        <v>48</v>
      </c>
      <c r="E19" s="60">
        <v>0</v>
      </c>
      <c r="F19" s="60">
        <v>1</v>
      </c>
      <c r="G19" s="59" t="s">
        <v>1055</v>
      </c>
      <c r="H19" s="60">
        <v>0</v>
      </c>
      <c r="I19" s="450">
        <v>8</v>
      </c>
      <c r="J19" s="60" t="s">
        <v>1056</v>
      </c>
      <c r="K19" s="476">
        <v>1</v>
      </c>
    </row>
    <row r="20" spans="1:11" ht="25.8">
      <c r="A20" s="1743"/>
      <c r="B20" s="59" t="s">
        <v>4859</v>
      </c>
      <c r="C20" s="268" t="s">
        <v>4860</v>
      </c>
      <c r="D20" s="60" t="s">
        <v>48</v>
      </c>
      <c r="E20" s="60">
        <v>0</v>
      </c>
      <c r="F20" s="60">
        <v>1</v>
      </c>
      <c r="G20" s="59" t="s">
        <v>1055</v>
      </c>
      <c r="H20" s="60">
        <v>0</v>
      </c>
      <c r="I20" s="450">
        <v>8</v>
      </c>
      <c r="J20" s="60" t="s">
        <v>1056</v>
      </c>
      <c r="K20" s="476">
        <v>1</v>
      </c>
    </row>
    <row r="21" spans="1:11" ht="129.6">
      <c r="A21" s="470" t="s">
        <v>1643</v>
      </c>
      <c r="B21" s="471" t="s">
        <v>48</v>
      </c>
      <c r="C21" s="472" t="s">
        <v>4861</v>
      </c>
      <c r="D21" s="473" t="s">
        <v>48</v>
      </c>
      <c r="E21" s="473">
        <v>0</v>
      </c>
      <c r="F21" s="473">
        <v>255</v>
      </c>
      <c r="G21" s="472" t="s">
        <v>4862</v>
      </c>
      <c r="H21" s="473">
        <v>255</v>
      </c>
      <c r="I21" s="474">
        <v>8</v>
      </c>
      <c r="J21" s="473" t="s">
        <v>743</v>
      </c>
      <c r="K21" s="477" t="s">
        <v>48</v>
      </c>
    </row>
    <row r="22" spans="1:11">
      <c r="A22" s="68"/>
    </row>
    <row r="23" spans="1:11">
      <c r="A23" s="68"/>
    </row>
  </sheetData>
  <autoFilter ref="A3:J3" xr:uid="{0BF82BC5-2E11-44A4-9563-A5F5FCC682BC}"/>
  <mergeCells count="4">
    <mergeCell ref="A4:A16"/>
    <mergeCell ref="A17:A20"/>
    <mergeCell ref="B1:C1"/>
    <mergeCell ref="D1:E1"/>
  </mergeCells>
  <hyperlinks>
    <hyperlink ref="J1" location="AVI_Failsafe!A1" display="AVI_Failsafe" xr:uid="{00EBC4C1-2271-44C0-AA01-07B120B11D08}"/>
  </hyperlinks>
  <pageMargins left="0.7" right="0.7" top="0.75" bottom="0.75" header="0.3" footer="0.3"/>
  <pageSetup paperSize="9" orientation="portrait" r:id="rId1"/>
  <headerFooter>
    <oddFooter>&amp;C_x000D_&amp;1#&amp;"Calibri"&amp;11&amp;KFF0000 Internal</oddFooter>
  </headerFooter>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06877-20B0-4382-A362-DF398FA20E74}">
  <sheetPr codeName="Sheet46"/>
  <dimension ref="A1:E28"/>
  <sheetViews>
    <sheetView workbookViewId="0">
      <pane ySplit="1" topLeftCell="A18" activePane="bottomLeft" state="frozen"/>
      <selection pane="bottomLeft" activeCell="B28" sqref="B28"/>
    </sheetView>
  </sheetViews>
  <sheetFormatPr defaultColWidth="9.15625" defaultRowHeight="14.4"/>
  <cols>
    <col min="1" max="1" width="11" style="1010" bestFit="1" customWidth="1"/>
    <col min="2" max="2" width="9.83984375" style="51" bestFit="1" customWidth="1"/>
    <col min="3" max="3" width="47.26171875" customWidth="1"/>
    <col min="4" max="4" width="18.26171875" customWidth="1"/>
    <col min="5" max="5" width="11.578125" bestFit="1" customWidth="1"/>
  </cols>
  <sheetData>
    <row r="1" spans="1:5">
      <c r="A1" s="670" t="s">
        <v>644</v>
      </c>
      <c r="B1" s="642" t="s">
        <v>645</v>
      </c>
      <c r="C1" s="643" t="s">
        <v>646</v>
      </c>
      <c r="D1" s="643" t="s">
        <v>647</v>
      </c>
      <c r="E1" s="644" t="s">
        <v>793</v>
      </c>
    </row>
    <row r="2" spans="1:5">
      <c r="A2" s="629">
        <v>0.1</v>
      </c>
      <c r="B2" s="188">
        <v>44693</v>
      </c>
      <c r="C2" s="584" t="s">
        <v>4797</v>
      </c>
      <c r="D2" s="585" t="s">
        <v>658</v>
      </c>
      <c r="E2" s="586" t="s">
        <v>655</v>
      </c>
    </row>
    <row r="3" spans="1:5" ht="90" customHeight="1">
      <c r="A3" s="1010">
        <v>0.2</v>
      </c>
      <c r="B3" s="188">
        <v>44694</v>
      </c>
      <c r="C3" s="576" t="s">
        <v>4462</v>
      </c>
      <c r="D3" s="585" t="s">
        <v>658</v>
      </c>
      <c r="E3" s="586" t="s">
        <v>655</v>
      </c>
    </row>
    <row r="4" spans="1:5">
      <c r="A4" s="1010">
        <v>0.2</v>
      </c>
      <c r="B4" s="51">
        <v>44694</v>
      </c>
      <c r="C4" s="5" t="s">
        <v>999</v>
      </c>
      <c r="D4" s="5" t="s">
        <v>654</v>
      </c>
      <c r="E4" s="5" t="s">
        <v>655</v>
      </c>
    </row>
    <row r="5" spans="1:5" ht="27.6" customHeight="1">
      <c r="A5" s="1010">
        <v>0.2</v>
      </c>
      <c r="B5" s="51">
        <v>44701</v>
      </c>
      <c r="C5" s="576" t="s">
        <v>4863</v>
      </c>
      <c r="D5" s="585" t="s">
        <v>658</v>
      </c>
      <c r="E5" s="5" t="s">
        <v>655</v>
      </c>
    </row>
    <row r="6" spans="1:5">
      <c r="A6" s="1010">
        <v>0.3</v>
      </c>
      <c r="B6" s="51">
        <v>44704</v>
      </c>
      <c r="C6" s="576" t="s">
        <v>4864</v>
      </c>
      <c r="D6" s="585" t="s">
        <v>658</v>
      </c>
      <c r="E6" s="5" t="s">
        <v>655</v>
      </c>
    </row>
    <row r="7" spans="1:5" ht="28.8">
      <c r="A7" s="1010">
        <v>0.4</v>
      </c>
      <c r="B7" s="51">
        <v>44706</v>
      </c>
      <c r="C7" s="576" t="s">
        <v>4865</v>
      </c>
      <c r="D7" s="585" t="s">
        <v>658</v>
      </c>
      <c r="E7" s="5" t="s">
        <v>655</v>
      </c>
    </row>
    <row r="8" spans="1:5">
      <c r="A8" s="1010">
        <v>0.4</v>
      </c>
      <c r="B8" s="51">
        <v>44711</v>
      </c>
      <c r="C8" s="576" t="s">
        <v>1698</v>
      </c>
      <c r="D8" s="585" t="s">
        <v>654</v>
      </c>
      <c r="E8" s="5" t="s">
        <v>655</v>
      </c>
    </row>
    <row r="9" spans="1:5">
      <c r="A9" s="1010">
        <v>1</v>
      </c>
      <c r="B9" s="51">
        <v>44711</v>
      </c>
      <c r="C9" s="5"/>
      <c r="D9" s="585" t="s">
        <v>658</v>
      </c>
      <c r="E9" s="5" t="s">
        <v>651</v>
      </c>
    </row>
    <row r="10" spans="1:5">
      <c r="A10" s="1010">
        <v>1</v>
      </c>
      <c r="B10" s="51">
        <v>44719</v>
      </c>
      <c r="C10" s="5" t="s">
        <v>660</v>
      </c>
      <c r="D10" s="5" t="s">
        <v>654</v>
      </c>
      <c r="E10" s="5" t="s">
        <v>661</v>
      </c>
    </row>
    <row r="11" spans="1:5" ht="28.8">
      <c r="A11" s="1010">
        <v>1.1000000000000001</v>
      </c>
      <c r="B11" s="51">
        <v>44727</v>
      </c>
      <c r="C11" s="576" t="s">
        <v>4866</v>
      </c>
      <c r="D11" s="585" t="s">
        <v>658</v>
      </c>
      <c r="E11" s="5" t="s">
        <v>655</v>
      </c>
    </row>
    <row r="12" spans="1:5">
      <c r="A12" s="1010">
        <v>1.1000000000000001</v>
      </c>
      <c r="B12" s="51">
        <v>44728</v>
      </c>
      <c r="C12" s="576" t="s">
        <v>4867</v>
      </c>
      <c r="D12" s="5" t="s">
        <v>654</v>
      </c>
      <c r="E12" s="5" t="s">
        <v>655</v>
      </c>
    </row>
    <row r="13" spans="1:5">
      <c r="A13" s="1010">
        <v>2</v>
      </c>
      <c r="B13" s="51">
        <v>44741</v>
      </c>
      <c r="C13" s="5"/>
      <c r="D13" s="585" t="s">
        <v>658</v>
      </c>
      <c r="E13" s="5" t="s">
        <v>651</v>
      </c>
    </row>
    <row r="14" spans="1:5">
      <c r="A14" s="1010">
        <v>2</v>
      </c>
      <c r="B14" s="51">
        <v>44742</v>
      </c>
      <c r="C14" s="5" t="s">
        <v>667</v>
      </c>
      <c r="D14" s="5" t="s">
        <v>654</v>
      </c>
      <c r="E14" s="5" t="s">
        <v>661</v>
      </c>
    </row>
    <row r="15" spans="1:5" ht="86.4">
      <c r="A15" s="1010">
        <v>2.1</v>
      </c>
      <c r="B15" s="51">
        <v>44804</v>
      </c>
      <c r="C15" s="576" t="s">
        <v>4868</v>
      </c>
      <c r="D15" s="585" t="s">
        <v>658</v>
      </c>
      <c r="E15" s="5" t="s">
        <v>655</v>
      </c>
    </row>
    <row r="16" spans="1:5">
      <c r="A16" s="1010">
        <v>2.2000000000000002</v>
      </c>
      <c r="B16" s="51">
        <v>44895</v>
      </c>
      <c r="C16" s="5" t="s">
        <v>4333</v>
      </c>
      <c r="D16" s="5" t="s">
        <v>683</v>
      </c>
      <c r="E16" s="5" t="s">
        <v>655</v>
      </c>
    </row>
    <row r="17" spans="1:5">
      <c r="A17" s="1010">
        <v>2.2999999999999998</v>
      </c>
      <c r="B17" s="188">
        <v>44896</v>
      </c>
      <c r="C17" s="576" t="s">
        <v>4869</v>
      </c>
      <c r="D17" s="5" t="s">
        <v>676</v>
      </c>
      <c r="E17" s="5" t="s">
        <v>655</v>
      </c>
    </row>
    <row r="18" spans="1:5">
      <c r="A18" s="1010">
        <v>2.4</v>
      </c>
      <c r="B18" s="51">
        <v>44897</v>
      </c>
      <c r="C18" s="5" t="s">
        <v>4645</v>
      </c>
      <c r="D18" s="5" t="s">
        <v>683</v>
      </c>
      <c r="E18" s="5" t="s">
        <v>655</v>
      </c>
    </row>
    <row r="19" spans="1:5">
      <c r="A19" s="1010">
        <v>2.4</v>
      </c>
      <c r="B19" s="51">
        <v>44937</v>
      </c>
      <c r="C19" s="607" t="s">
        <v>677</v>
      </c>
      <c r="D19" s="5" t="s">
        <v>678</v>
      </c>
      <c r="E19" s="5" t="s">
        <v>655</v>
      </c>
    </row>
    <row r="20" spans="1:5">
      <c r="A20" s="1010">
        <v>2.4</v>
      </c>
      <c r="B20" s="51">
        <v>44956</v>
      </c>
      <c r="C20" s="5" t="s">
        <v>4870</v>
      </c>
      <c r="D20" s="5" t="s">
        <v>658</v>
      </c>
      <c r="E20" s="5" t="s">
        <v>655</v>
      </c>
    </row>
    <row r="21" spans="1:5">
      <c r="A21" s="1010">
        <v>2.5</v>
      </c>
      <c r="B21" s="51">
        <v>44956</v>
      </c>
      <c r="C21" s="5" t="s">
        <v>4871</v>
      </c>
      <c r="D21" s="5" t="s">
        <v>658</v>
      </c>
      <c r="E21" s="5" t="s">
        <v>655</v>
      </c>
    </row>
    <row r="22" spans="1:5">
      <c r="A22" s="1010">
        <v>3</v>
      </c>
      <c r="B22" s="51">
        <v>44956</v>
      </c>
      <c r="C22" s="5" t="s">
        <v>651</v>
      </c>
      <c r="D22" s="5" t="s">
        <v>658</v>
      </c>
      <c r="E22" s="5" t="s">
        <v>651</v>
      </c>
    </row>
    <row r="23" spans="1:5">
      <c r="A23" s="1010">
        <v>3</v>
      </c>
      <c r="B23" s="51">
        <v>44957</v>
      </c>
      <c r="C23" s="5" t="s">
        <v>687</v>
      </c>
      <c r="D23" s="5" t="s">
        <v>676</v>
      </c>
      <c r="E23" s="5" t="s">
        <v>661</v>
      </c>
    </row>
    <row r="24" spans="1:5">
      <c r="A24" s="1010">
        <v>3</v>
      </c>
      <c r="B24" s="51">
        <v>44970</v>
      </c>
      <c r="C24" s="5" t="s">
        <v>691</v>
      </c>
      <c r="D24" s="5" t="s">
        <v>676</v>
      </c>
      <c r="E24" s="5" t="s">
        <v>661</v>
      </c>
    </row>
    <row r="25" spans="1:5">
      <c r="A25" s="1010">
        <v>3</v>
      </c>
      <c r="B25" s="191">
        <v>44998</v>
      </c>
      <c r="C25" s="5" t="s">
        <v>692</v>
      </c>
      <c r="D25" s="5" t="s">
        <v>678</v>
      </c>
      <c r="E25" s="5" t="s">
        <v>661</v>
      </c>
    </row>
    <row r="26" spans="1:5">
      <c r="A26" s="1010" t="s">
        <v>666</v>
      </c>
      <c r="B26" s="191">
        <v>45078</v>
      </c>
      <c r="C26" s="5" t="s">
        <v>699</v>
      </c>
      <c r="D26" s="5" t="s">
        <v>678</v>
      </c>
      <c r="E26" s="5" t="s">
        <v>661</v>
      </c>
    </row>
    <row r="27" spans="1:5">
      <c r="A27" s="1010" t="s">
        <v>666</v>
      </c>
      <c r="B27" s="191">
        <v>45097</v>
      </c>
      <c r="C27" s="5" t="s">
        <v>700</v>
      </c>
      <c r="D27" s="5" t="s">
        <v>678</v>
      </c>
      <c r="E27" s="5" t="s">
        <v>661</v>
      </c>
    </row>
    <row r="28" spans="1:5">
      <c r="A28" s="1010" t="s">
        <v>666</v>
      </c>
      <c r="B28" s="1065">
        <v>45205</v>
      </c>
      <c r="C28" s="595" t="s">
        <v>701</v>
      </c>
      <c r="D28" s="595" t="s">
        <v>678</v>
      </c>
      <c r="E28" s="596" t="s">
        <v>661</v>
      </c>
    </row>
  </sheetData>
  <pageMargins left="0.7" right="0.7" top="0.75" bottom="0.75" header="0.3" footer="0.3"/>
  <pageSetup paperSize="9" orientation="portrait" r:id="rId1"/>
  <headerFooter>
    <oddFooter>&amp;C_x000D_&amp;1#&amp;"Calibri"&amp;11&amp;KFF0000 Internal</oddFooter>
  </headerFooter>
  <tableParts count="1">
    <tablePart r:id="rId2"/>
  </tableParts>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46599-3A45-43D1-8303-66ABB56BCECE}">
  <sheetPr codeName="Sheet19"/>
  <dimension ref="A1:K62"/>
  <sheetViews>
    <sheetView workbookViewId="0">
      <pane ySplit="3" topLeftCell="A37" activePane="bottomLeft" state="frozen"/>
      <selection activeCell="C22" activeCellId="1" sqref="A1:AS1 C22"/>
      <selection pane="bottomLeft" activeCell="A41" sqref="A41:A45"/>
    </sheetView>
  </sheetViews>
  <sheetFormatPr defaultColWidth="9.15625" defaultRowHeight="14.4"/>
  <cols>
    <col min="1" max="1" width="34.68359375" style="2" customWidth="1"/>
    <col min="2" max="2" width="44.68359375" customWidth="1"/>
    <col min="3" max="3" width="54.68359375" customWidth="1"/>
    <col min="7" max="7" width="16.68359375" customWidth="1"/>
    <col min="8" max="8" width="12.15625" bestFit="1" customWidth="1"/>
    <col min="9" max="9" width="13.578125" bestFit="1" customWidth="1"/>
    <col min="10" max="10" width="11.83984375" bestFit="1" customWidth="1"/>
    <col min="11" max="11" width="18.15625" customWidth="1"/>
  </cols>
  <sheetData>
    <row r="1" spans="1:11">
      <c r="A1" s="524" t="s">
        <v>4509</v>
      </c>
      <c r="B1" s="1744" t="s">
        <v>1702</v>
      </c>
      <c r="C1" s="1745"/>
      <c r="D1" s="1746" t="s">
        <v>106</v>
      </c>
      <c r="E1" s="1748"/>
      <c r="F1" s="453">
        <v>2</v>
      </c>
      <c r="G1" s="525"/>
      <c r="H1" s="526" t="s">
        <v>80</v>
      </c>
      <c r="I1" s="526" t="s">
        <v>79</v>
      </c>
      <c r="J1" s="527" t="s">
        <v>81</v>
      </c>
      <c r="K1" s="456"/>
    </row>
    <row r="2" spans="1:11">
      <c r="A2" s="563"/>
      <c r="B2" s="447"/>
      <c r="C2" s="447"/>
      <c r="D2" s="447"/>
      <c r="E2" s="447"/>
      <c r="F2" s="447"/>
      <c r="G2" s="447"/>
      <c r="H2" s="447"/>
      <c r="I2" s="447"/>
      <c r="J2" s="447"/>
      <c r="K2" s="458"/>
    </row>
    <row r="3" spans="1:11" ht="28.8">
      <c r="A3" s="556" t="s">
        <v>4510</v>
      </c>
      <c r="B3" s="557" t="s">
        <v>4511</v>
      </c>
      <c r="C3" s="557" t="s">
        <v>710</v>
      </c>
      <c r="D3" s="558" t="s">
        <v>711</v>
      </c>
      <c r="E3" s="558" t="s">
        <v>712</v>
      </c>
      <c r="F3" s="558" t="s">
        <v>713</v>
      </c>
      <c r="G3" s="559" t="s">
        <v>714</v>
      </c>
      <c r="H3" s="560" t="s">
        <v>715</v>
      </c>
      <c r="I3" s="558" t="s">
        <v>716</v>
      </c>
      <c r="J3" s="561" t="s">
        <v>717</v>
      </c>
      <c r="K3" s="562" t="s">
        <v>4512</v>
      </c>
    </row>
    <row r="4" spans="1:11" ht="28.8">
      <c r="A4" s="1752" t="s">
        <v>1980</v>
      </c>
      <c r="B4" s="564" t="s">
        <v>4872</v>
      </c>
      <c r="C4" s="565" t="s">
        <v>4873</v>
      </c>
      <c r="D4" s="564" t="s">
        <v>48</v>
      </c>
      <c r="E4" s="564">
        <v>0</v>
      </c>
      <c r="F4" s="564">
        <v>1</v>
      </c>
      <c r="G4" s="565" t="s">
        <v>1055</v>
      </c>
      <c r="H4" s="564">
        <v>0</v>
      </c>
      <c r="I4" s="332">
        <v>8</v>
      </c>
      <c r="J4" s="566" t="s">
        <v>1056</v>
      </c>
      <c r="K4" s="567">
        <v>1</v>
      </c>
    </row>
    <row r="5" spans="1:11" ht="57.6">
      <c r="A5" s="1749"/>
      <c r="B5" s="115" t="s">
        <v>4874</v>
      </c>
      <c r="C5" s="116" t="s">
        <v>4875</v>
      </c>
      <c r="D5" s="115" t="s">
        <v>48</v>
      </c>
      <c r="E5" s="115">
        <v>0</v>
      </c>
      <c r="F5" s="115">
        <v>1</v>
      </c>
      <c r="G5" s="116" t="s">
        <v>1055</v>
      </c>
      <c r="H5" s="115">
        <v>0</v>
      </c>
      <c r="I5" s="1341">
        <v>8</v>
      </c>
      <c r="J5" s="528" t="s">
        <v>1056</v>
      </c>
      <c r="K5" s="538">
        <v>1</v>
      </c>
    </row>
    <row r="6" spans="1:11" ht="28.8">
      <c r="A6" s="1749"/>
      <c r="B6" s="115" t="s">
        <v>4876</v>
      </c>
      <c r="C6" s="116" t="s">
        <v>4877</v>
      </c>
      <c r="D6" s="115" t="s">
        <v>48</v>
      </c>
      <c r="E6" s="115">
        <v>0</v>
      </c>
      <c r="F6" s="115">
        <v>1</v>
      </c>
      <c r="G6" s="116" t="s">
        <v>1055</v>
      </c>
      <c r="H6" s="115">
        <v>0</v>
      </c>
      <c r="I6" s="1341">
        <v>8</v>
      </c>
      <c r="J6" s="528" t="s">
        <v>1056</v>
      </c>
      <c r="K6" s="538">
        <v>1</v>
      </c>
    </row>
    <row r="7" spans="1:11" ht="28.8">
      <c r="A7" s="1749"/>
      <c r="B7" s="115" t="s">
        <v>4878</v>
      </c>
      <c r="C7" s="116" t="s">
        <v>4879</v>
      </c>
      <c r="D7" s="115" t="s">
        <v>48</v>
      </c>
      <c r="E7" s="115">
        <v>0</v>
      </c>
      <c r="F7" s="115">
        <v>1</v>
      </c>
      <c r="G7" s="116" t="s">
        <v>1055</v>
      </c>
      <c r="H7" s="115">
        <v>0</v>
      </c>
      <c r="I7" s="1341">
        <v>8</v>
      </c>
      <c r="J7" s="528" t="s">
        <v>1056</v>
      </c>
      <c r="K7" s="538">
        <v>1</v>
      </c>
    </row>
    <row r="8" spans="1:11" ht="28.8">
      <c r="A8" s="1749"/>
      <c r="B8" s="115" t="s">
        <v>4880</v>
      </c>
      <c r="C8" s="116" t="s">
        <v>4881</v>
      </c>
      <c r="D8" s="115" t="s">
        <v>48</v>
      </c>
      <c r="E8" s="115">
        <v>0</v>
      </c>
      <c r="F8" s="115">
        <v>1</v>
      </c>
      <c r="G8" s="116" t="s">
        <v>1055</v>
      </c>
      <c r="H8" s="115">
        <v>0</v>
      </c>
      <c r="I8" s="1341">
        <v>8</v>
      </c>
      <c r="J8" s="528" t="s">
        <v>1056</v>
      </c>
      <c r="K8" s="538">
        <v>1</v>
      </c>
    </row>
    <row r="9" spans="1:11" ht="28.8">
      <c r="A9" s="1749"/>
      <c r="B9" s="115" t="s">
        <v>4882</v>
      </c>
      <c r="C9" s="116" t="s">
        <v>4883</v>
      </c>
      <c r="D9" s="115" t="s">
        <v>48</v>
      </c>
      <c r="E9" s="115">
        <v>0</v>
      </c>
      <c r="F9" s="115">
        <v>1</v>
      </c>
      <c r="G9" s="116" t="s">
        <v>1055</v>
      </c>
      <c r="H9" s="115">
        <v>0</v>
      </c>
      <c r="I9" s="1341">
        <v>8</v>
      </c>
      <c r="J9" s="528" t="s">
        <v>1056</v>
      </c>
      <c r="K9" s="538">
        <v>1</v>
      </c>
    </row>
    <row r="10" spans="1:11" ht="28.8">
      <c r="A10" s="1749"/>
      <c r="B10" s="115" t="s">
        <v>4884</v>
      </c>
      <c r="C10" s="116" t="s">
        <v>4885</v>
      </c>
      <c r="D10" s="115" t="s">
        <v>48</v>
      </c>
      <c r="E10" s="115">
        <v>0</v>
      </c>
      <c r="F10" s="115">
        <v>1</v>
      </c>
      <c r="G10" s="116" t="s">
        <v>1055</v>
      </c>
      <c r="H10" s="115">
        <v>0</v>
      </c>
      <c r="I10" s="1341">
        <v>8</v>
      </c>
      <c r="J10" s="528" t="s">
        <v>1056</v>
      </c>
      <c r="K10" s="538">
        <v>1</v>
      </c>
    </row>
    <row r="11" spans="1:11" ht="28.8">
      <c r="A11" s="1749"/>
      <c r="B11" s="115" t="s">
        <v>4886</v>
      </c>
      <c r="C11" s="116" t="s">
        <v>4887</v>
      </c>
      <c r="D11" s="115" t="s">
        <v>48</v>
      </c>
      <c r="E11" s="115">
        <v>0</v>
      </c>
      <c r="F11" s="115">
        <v>1</v>
      </c>
      <c r="G11" s="116" t="s">
        <v>1055</v>
      </c>
      <c r="H11" s="115">
        <v>0</v>
      </c>
      <c r="I11" s="1341">
        <v>8</v>
      </c>
      <c r="J11" s="528" t="s">
        <v>1056</v>
      </c>
      <c r="K11" s="538">
        <v>1</v>
      </c>
    </row>
    <row r="12" spans="1:11" ht="28.8">
      <c r="A12" s="1749"/>
      <c r="B12" s="115" t="s">
        <v>4888</v>
      </c>
      <c r="C12" s="116" t="s">
        <v>4889</v>
      </c>
      <c r="D12" s="115" t="s">
        <v>48</v>
      </c>
      <c r="E12" s="115">
        <v>0</v>
      </c>
      <c r="F12" s="115">
        <v>1</v>
      </c>
      <c r="G12" s="116" t="s">
        <v>1055</v>
      </c>
      <c r="H12" s="115">
        <v>0</v>
      </c>
      <c r="I12" s="1341">
        <v>8</v>
      </c>
      <c r="J12" s="528" t="s">
        <v>1056</v>
      </c>
      <c r="K12" s="538">
        <v>1</v>
      </c>
    </row>
    <row r="13" spans="1:11" ht="28.8">
      <c r="A13" s="1749"/>
      <c r="B13" s="115" t="s">
        <v>4890</v>
      </c>
      <c r="C13" s="116" t="s">
        <v>4891</v>
      </c>
      <c r="D13" s="115" t="s">
        <v>48</v>
      </c>
      <c r="E13" s="115">
        <v>0</v>
      </c>
      <c r="F13" s="115">
        <v>1</v>
      </c>
      <c r="G13" s="116" t="s">
        <v>1055</v>
      </c>
      <c r="H13" s="115">
        <v>0</v>
      </c>
      <c r="I13" s="1341">
        <v>8</v>
      </c>
      <c r="J13" s="528" t="s">
        <v>1056</v>
      </c>
      <c r="K13" s="538">
        <v>1</v>
      </c>
    </row>
    <row r="14" spans="1:11" ht="28.8">
      <c r="A14" s="1749"/>
      <c r="B14" s="115" t="s">
        <v>4892</v>
      </c>
      <c r="C14" s="116" t="s">
        <v>4893</v>
      </c>
      <c r="D14" s="115" t="s">
        <v>48</v>
      </c>
      <c r="E14" s="115">
        <v>0</v>
      </c>
      <c r="F14" s="115">
        <v>1</v>
      </c>
      <c r="G14" s="116" t="s">
        <v>1055</v>
      </c>
      <c r="H14" s="115">
        <v>0</v>
      </c>
      <c r="I14" s="1341">
        <v>8</v>
      </c>
      <c r="J14" s="528" t="s">
        <v>1056</v>
      </c>
      <c r="K14" s="538">
        <v>1</v>
      </c>
    </row>
    <row r="15" spans="1:11" ht="28.8">
      <c r="A15" s="1749"/>
      <c r="B15" s="115" t="s">
        <v>4894</v>
      </c>
      <c r="C15" s="116" t="s">
        <v>4895</v>
      </c>
      <c r="D15" s="115" t="s">
        <v>48</v>
      </c>
      <c r="E15" s="115">
        <v>0</v>
      </c>
      <c r="F15" s="115">
        <v>1</v>
      </c>
      <c r="G15" s="116" t="s">
        <v>1055</v>
      </c>
      <c r="H15" s="115">
        <v>0</v>
      </c>
      <c r="I15" s="1341">
        <v>8</v>
      </c>
      <c r="J15" s="528" t="s">
        <v>1056</v>
      </c>
      <c r="K15" s="538">
        <v>1</v>
      </c>
    </row>
    <row r="16" spans="1:11" ht="28.8">
      <c r="A16" s="1753"/>
      <c r="B16" s="161" t="s">
        <v>4896</v>
      </c>
      <c r="C16" s="161" t="s">
        <v>4897</v>
      </c>
      <c r="D16" s="161" t="s">
        <v>48</v>
      </c>
      <c r="E16" s="161">
        <v>0</v>
      </c>
      <c r="F16" s="161">
        <v>1</v>
      </c>
      <c r="G16" s="162" t="s">
        <v>1055</v>
      </c>
      <c r="H16" s="161">
        <v>0</v>
      </c>
      <c r="I16" s="1350">
        <v>8</v>
      </c>
      <c r="J16" s="529" t="s">
        <v>1056</v>
      </c>
      <c r="K16" s="537">
        <v>1</v>
      </c>
    </row>
    <row r="17" spans="1:11" ht="28.8">
      <c r="A17" s="1749" t="s">
        <v>1995</v>
      </c>
      <c r="B17" s="129" t="s">
        <v>4898</v>
      </c>
      <c r="C17" s="129" t="s">
        <v>4899</v>
      </c>
      <c r="D17" s="129" t="s">
        <v>48</v>
      </c>
      <c r="E17" s="129">
        <v>0</v>
      </c>
      <c r="F17" s="129">
        <v>1</v>
      </c>
      <c r="G17" s="130" t="s">
        <v>1055</v>
      </c>
      <c r="H17" s="129">
        <v>0</v>
      </c>
      <c r="I17" s="167">
        <v>8</v>
      </c>
      <c r="J17" s="530" t="s">
        <v>1056</v>
      </c>
      <c r="K17" s="539">
        <v>1</v>
      </c>
    </row>
    <row r="18" spans="1:11" ht="28.8">
      <c r="A18" s="1749"/>
      <c r="B18" s="115" t="s">
        <v>4900</v>
      </c>
      <c r="C18" s="116" t="s">
        <v>4901</v>
      </c>
      <c r="D18" s="115" t="s">
        <v>48</v>
      </c>
      <c r="E18" s="115">
        <v>0</v>
      </c>
      <c r="F18" s="115">
        <v>1</v>
      </c>
      <c r="G18" s="116" t="s">
        <v>1055</v>
      </c>
      <c r="H18" s="115">
        <v>0</v>
      </c>
      <c r="I18" s="1341">
        <v>8</v>
      </c>
      <c r="J18" s="528" t="s">
        <v>1056</v>
      </c>
      <c r="K18" s="538">
        <v>1</v>
      </c>
    </row>
    <row r="19" spans="1:11" ht="28.8">
      <c r="A19" s="1749"/>
      <c r="B19" s="116" t="s">
        <v>4902</v>
      </c>
      <c r="C19" s="116" t="s">
        <v>4903</v>
      </c>
      <c r="D19" s="115" t="s">
        <v>48</v>
      </c>
      <c r="E19" s="115">
        <v>0</v>
      </c>
      <c r="F19" s="115">
        <v>1</v>
      </c>
      <c r="G19" s="116" t="s">
        <v>1055</v>
      </c>
      <c r="H19" s="115">
        <v>0</v>
      </c>
      <c r="I19" s="1341">
        <v>8</v>
      </c>
      <c r="J19" s="528" t="s">
        <v>1056</v>
      </c>
      <c r="K19" s="538">
        <v>1</v>
      </c>
    </row>
    <row r="20" spans="1:11" ht="28.8">
      <c r="A20" s="1749"/>
      <c r="B20" s="115" t="s">
        <v>4904</v>
      </c>
      <c r="C20" s="116" t="s">
        <v>4905</v>
      </c>
      <c r="D20" s="115" t="s">
        <v>48</v>
      </c>
      <c r="E20" s="115">
        <v>0</v>
      </c>
      <c r="F20" s="115">
        <v>1</v>
      </c>
      <c r="G20" s="116" t="s">
        <v>1055</v>
      </c>
      <c r="H20" s="115">
        <v>0</v>
      </c>
      <c r="I20" s="1341">
        <v>8</v>
      </c>
      <c r="J20" s="528" t="s">
        <v>1056</v>
      </c>
      <c r="K20" s="538">
        <v>1</v>
      </c>
    </row>
    <row r="21" spans="1:11" ht="28.8">
      <c r="A21" s="1753"/>
      <c r="B21" s="161" t="s">
        <v>4906</v>
      </c>
      <c r="C21" s="162" t="s">
        <v>4907</v>
      </c>
      <c r="D21" s="161" t="s">
        <v>48</v>
      </c>
      <c r="E21" s="161">
        <v>0</v>
      </c>
      <c r="F21" s="161">
        <v>1</v>
      </c>
      <c r="G21" s="162" t="s">
        <v>1055</v>
      </c>
      <c r="H21" s="161">
        <v>0</v>
      </c>
      <c r="I21" s="1350">
        <v>8</v>
      </c>
      <c r="J21" s="529" t="s">
        <v>1056</v>
      </c>
      <c r="K21" s="537">
        <v>1</v>
      </c>
    </row>
    <row r="22" spans="1:11" ht="28.8">
      <c r="A22" s="1749" t="s">
        <v>2011</v>
      </c>
      <c r="B22" s="129" t="s">
        <v>4908</v>
      </c>
      <c r="C22" s="130" t="s">
        <v>4909</v>
      </c>
      <c r="D22" s="129" t="s">
        <v>48</v>
      </c>
      <c r="E22" s="129">
        <v>0</v>
      </c>
      <c r="F22" s="129">
        <v>1</v>
      </c>
      <c r="G22" s="130" t="s">
        <v>1055</v>
      </c>
      <c r="H22" s="129">
        <v>0</v>
      </c>
      <c r="I22" s="167">
        <v>8</v>
      </c>
      <c r="J22" s="530" t="s">
        <v>1056</v>
      </c>
      <c r="K22" s="539">
        <v>1</v>
      </c>
    </row>
    <row r="23" spans="1:11" ht="28.8">
      <c r="A23" s="1749"/>
      <c r="B23" s="115" t="s">
        <v>4910</v>
      </c>
      <c r="C23" s="116" t="s">
        <v>4911</v>
      </c>
      <c r="D23" s="115" t="s">
        <v>48</v>
      </c>
      <c r="E23" s="115">
        <v>0</v>
      </c>
      <c r="F23" s="115">
        <v>1</v>
      </c>
      <c r="G23" s="116" t="s">
        <v>1055</v>
      </c>
      <c r="H23" s="115">
        <v>0</v>
      </c>
      <c r="I23" s="1341">
        <v>8</v>
      </c>
      <c r="J23" s="528" t="s">
        <v>1056</v>
      </c>
      <c r="K23" s="538">
        <v>1</v>
      </c>
    </row>
    <row r="24" spans="1:11" ht="28.8">
      <c r="A24" s="1749"/>
      <c r="B24" s="115" t="s">
        <v>4912</v>
      </c>
      <c r="C24" s="116" t="s">
        <v>4913</v>
      </c>
      <c r="D24" s="115" t="s">
        <v>48</v>
      </c>
      <c r="E24" s="115">
        <v>0</v>
      </c>
      <c r="F24" s="115">
        <v>1</v>
      </c>
      <c r="G24" s="116" t="s">
        <v>1055</v>
      </c>
      <c r="H24" s="115">
        <v>0</v>
      </c>
      <c r="I24" s="1341">
        <v>8</v>
      </c>
      <c r="J24" s="528" t="s">
        <v>1056</v>
      </c>
      <c r="K24" s="538">
        <v>1</v>
      </c>
    </row>
    <row r="25" spans="1:11" ht="28.8">
      <c r="A25" s="1749"/>
      <c r="B25" s="115" t="s">
        <v>4914</v>
      </c>
      <c r="C25" s="116" t="s">
        <v>4915</v>
      </c>
      <c r="D25" s="115" t="s">
        <v>48</v>
      </c>
      <c r="E25" s="115">
        <v>0</v>
      </c>
      <c r="F25" s="115">
        <v>1</v>
      </c>
      <c r="G25" s="116" t="s">
        <v>1055</v>
      </c>
      <c r="H25" s="115">
        <v>0</v>
      </c>
      <c r="I25" s="1341">
        <v>8</v>
      </c>
      <c r="J25" s="528" t="s">
        <v>1056</v>
      </c>
      <c r="K25" s="538">
        <v>1</v>
      </c>
    </row>
    <row r="26" spans="1:11" ht="28.8">
      <c r="A26" s="1749"/>
      <c r="B26" s="115" t="s">
        <v>4916</v>
      </c>
      <c r="C26" s="116" t="s">
        <v>4889</v>
      </c>
      <c r="D26" s="115" t="s">
        <v>48</v>
      </c>
      <c r="E26" s="115">
        <v>0</v>
      </c>
      <c r="F26" s="115">
        <v>1</v>
      </c>
      <c r="G26" s="116" t="s">
        <v>1055</v>
      </c>
      <c r="H26" s="115">
        <v>0</v>
      </c>
      <c r="I26" s="1341">
        <v>8</v>
      </c>
      <c r="J26" s="528" t="s">
        <v>1056</v>
      </c>
      <c r="K26" s="538">
        <v>1</v>
      </c>
    </row>
    <row r="27" spans="1:11" ht="28.8">
      <c r="A27" s="1749"/>
      <c r="B27" s="115" t="s">
        <v>4917</v>
      </c>
      <c r="C27" s="116" t="s">
        <v>4918</v>
      </c>
      <c r="D27" s="115" t="s">
        <v>48</v>
      </c>
      <c r="E27" s="115">
        <v>0</v>
      </c>
      <c r="F27" s="115">
        <v>1</v>
      </c>
      <c r="G27" s="116" t="s">
        <v>1055</v>
      </c>
      <c r="H27" s="115">
        <v>0</v>
      </c>
      <c r="I27" s="1341">
        <v>8</v>
      </c>
      <c r="J27" s="528" t="s">
        <v>1056</v>
      </c>
      <c r="K27" s="538">
        <v>1</v>
      </c>
    </row>
    <row r="28" spans="1:11" ht="28.8">
      <c r="A28" s="1749"/>
      <c r="B28" s="115" t="s">
        <v>4919</v>
      </c>
      <c r="C28" s="116" t="s">
        <v>4920</v>
      </c>
      <c r="D28" s="115" t="s">
        <v>48</v>
      </c>
      <c r="E28" s="115">
        <v>0</v>
      </c>
      <c r="F28" s="115">
        <v>1</v>
      </c>
      <c r="G28" s="116" t="s">
        <v>1055</v>
      </c>
      <c r="H28" s="115">
        <v>0</v>
      </c>
      <c r="I28" s="1341">
        <v>8</v>
      </c>
      <c r="J28" s="528" t="s">
        <v>1056</v>
      </c>
      <c r="K28" s="538">
        <v>1</v>
      </c>
    </row>
    <row r="29" spans="1:11" ht="28.8">
      <c r="A29" s="1749"/>
      <c r="B29" s="115" t="s">
        <v>4921</v>
      </c>
      <c r="C29" s="116" t="s">
        <v>4922</v>
      </c>
      <c r="D29" s="115" t="s">
        <v>48</v>
      </c>
      <c r="E29" s="115">
        <v>0</v>
      </c>
      <c r="F29" s="115">
        <v>1</v>
      </c>
      <c r="G29" s="116" t="s">
        <v>1055</v>
      </c>
      <c r="H29" s="115">
        <v>0</v>
      </c>
      <c r="I29" s="1341">
        <v>8</v>
      </c>
      <c r="J29" s="528" t="s">
        <v>1056</v>
      </c>
      <c r="K29" s="538">
        <v>1</v>
      </c>
    </row>
    <row r="30" spans="1:11" ht="28.8">
      <c r="A30" s="1749"/>
      <c r="B30" s="115" t="s">
        <v>4902</v>
      </c>
      <c r="C30" s="116" t="s">
        <v>4903</v>
      </c>
      <c r="D30" s="115" t="s">
        <v>48</v>
      </c>
      <c r="E30" s="115">
        <v>0</v>
      </c>
      <c r="F30" s="115">
        <v>1</v>
      </c>
      <c r="G30" s="116" t="s">
        <v>1055</v>
      </c>
      <c r="H30" s="115">
        <v>0</v>
      </c>
      <c r="I30" s="1341">
        <v>8</v>
      </c>
      <c r="J30" s="528" t="s">
        <v>1056</v>
      </c>
      <c r="K30" s="538">
        <v>1</v>
      </c>
    </row>
    <row r="31" spans="1:11" ht="28.8">
      <c r="A31" s="1749"/>
      <c r="B31" s="115" t="s">
        <v>4904</v>
      </c>
      <c r="C31" s="115" t="s">
        <v>4905</v>
      </c>
      <c r="D31" s="115" t="s">
        <v>48</v>
      </c>
      <c r="E31" s="115">
        <v>0</v>
      </c>
      <c r="F31" s="115">
        <v>1</v>
      </c>
      <c r="G31" s="116" t="s">
        <v>1055</v>
      </c>
      <c r="H31" s="115">
        <v>0</v>
      </c>
      <c r="I31" s="1341">
        <v>8</v>
      </c>
      <c r="J31" s="528" t="s">
        <v>1056</v>
      </c>
      <c r="K31" s="538">
        <v>1</v>
      </c>
    </row>
    <row r="32" spans="1:11" ht="28.8">
      <c r="A32" s="1749"/>
      <c r="B32" s="115" t="s">
        <v>4906</v>
      </c>
      <c r="C32" s="115" t="s">
        <v>4907</v>
      </c>
      <c r="D32" s="115" t="s">
        <v>48</v>
      </c>
      <c r="E32" s="115">
        <v>0</v>
      </c>
      <c r="F32" s="115">
        <v>1</v>
      </c>
      <c r="G32" s="116" t="s">
        <v>1055</v>
      </c>
      <c r="H32" s="115">
        <v>0</v>
      </c>
      <c r="I32" s="1341">
        <v>8</v>
      </c>
      <c r="J32" s="528" t="s">
        <v>1056</v>
      </c>
      <c r="K32" s="538">
        <v>1</v>
      </c>
    </row>
    <row r="33" spans="1:11" ht="28.8">
      <c r="A33" s="1749"/>
      <c r="B33" s="115" t="s">
        <v>4923</v>
      </c>
      <c r="C33" s="116" t="s">
        <v>4924</v>
      </c>
      <c r="D33" s="115" t="s">
        <v>48</v>
      </c>
      <c r="E33" s="115">
        <v>0</v>
      </c>
      <c r="F33" s="115">
        <v>1</v>
      </c>
      <c r="G33" s="116" t="s">
        <v>1055</v>
      </c>
      <c r="H33" s="115">
        <v>0</v>
      </c>
      <c r="I33" s="1341">
        <v>8</v>
      </c>
      <c r="J33" s="528" t="s">
        <v>1056</v>
      </c>
      <c r="K33" s="538">
        <v>1</v>
      </c>
    </row>
    <row r="34" spans="1:11" ht="28.8">
      <c r="A34" s="1753"/>
      <c r="B34" s="161" t="s">
        <v>4925</v>
      </c>
      <c r="C34" s="162" t="s">
        <v>4926</v>
      </c>
      <c r="D34" s="161" t="s">
        <v>48</v>
      </c>
      <c r="E34" s="161">
        <v>0</v>
      </c>
      <c r="F34" s="161">
        <v>1</v>
      </c>
      <c r="G34" s="162" t="s">
        <v>1055</v>
      </c>
      <c r="H34" s="161">
        <v>0</v>
      </c>
      <c r="I34" s="1350">
        <v>8</v>
      </c>
      <c r="J34" s="529" t="s">
        <v>1056</v>
      </c>
      <c r="K34" s="537">
        <v>1</v>
      </c>
    </row>
    <row r="35" spans="1:11" ht="28.8">
      <c r="A35" s="1749" t="s">
        <v>2710</v>
      </c>
      <c r="B35" s="129" t="s">
        <v>4927</v>
      </c>
      <c r="C35" s="129" t="s">
        <v>4928</v>
      </c>
      <c r="D35" s="129" t="s">
        <v>48</v>
      </c>
      <c r="E35" s="129">
        <v>0</v>
      </c>
      <c r="F35" s="129">
        <v>1</v>
      </c>
      <c r="G35" s="130" t="s">
        <v>1055</v>
      </c>
      <c r="H35" s="129">
        <v>0</v>
      </c>
      <c r="I35" s="154">
        <v>8</v>
      </c>
      <c r="J35" s="530" t="s">
        <v>1056</v>
      </c>
      <c r="K35" s="539">
        <v>1</v>
      </c>
    </row>
    <row r="36" spans="1:11" ht="28.8">
      <c r="A36" s="1750"/>
      <c r="B36" s="115" t="s">
        <v>4929</v>
      </c>
      <c r="C36" s="115" t="s">
        <v>4930</v>
      </c>
      <c r="D36" s="115" t="s">
        <v>48</v>
      </c>
      <c r="E36" s="115">
        <v>0</v>
      </c>
      <c r="F36" s="115">
        <v>1</v>
      </c>
      <c r="G36" s="116" t="s">
        <v>1055</v>
      </c>
      <c r="H36" s="115">
        <v>0</v>
      </c>
      <c r="I36" s="155">
        <v>8</v>
      </c>
      <c r="J36" s="528" t="s">
        <v>1056</v>
      </c>
      <c r="K36" s="538">
        <v>1</v>
      </c>
    </row>
    <row r="37" spans="1:11" ht="28.8">
      <c r="A37" s="1750"/>
      <c r="B37" s="115" t="s">
        <v>4931</v>
      </c>
      <c r="C37" s="115" t="s">
        <v>4932</v>
      </c>
      <c r="D37" s="115" t="s">
        <v>48</v>
      </c>
      <c r="E37" s="115">
        <v>0</v>
      </c>
      <c r="F37" s="115">
        <v>1</v>
      </c>
      <c r="G37" s="116" t="s">
        <v>1055</v>
      </c>
      <c r="H37" s="115">
        <v>0</v>
      </c>
      <c r="I37" s="155">
        <v>8</v>
      </c>
      <c r="J37" s="528" t="s">
        <v>1056</v>
      </c>
      <c r="K37" s="538">
        <v>1</v>
      </c>
    </row>
    <row r="38" spans="1:11" ht="28.8">
      <c r="A38" s="1750"/>
      <c r="B38" s="115" t="s">
        <v>4933</v>
      </c>
      <c r="C38" s="115" t="s">
        <v>4934</v>
      </c>
      <c r="D38" s="115" t="s">
        <v>48</v>
      </c>
      <c r="E38" s="115">
        <v>0</v>
      </c>
      <c r="F38" s="115">
        <v>1</v>
      </c>
      <c r="G38" s="116" t="s">
        <v>1055</v>
      </c>
      <c r="H38" s="115">
        <v>0</v>
      </c>
      <c r="I38" s="155">
        <v>8</v>
      </c>
      <c r="J38" s="528" t="s">
        <v>1056</v>
      </c>
      <c r="K38" s="538">
        <v>1</v>
      </c>
    </row>
    <row r="39" spans="1:11" ht="28.8">
      <c r="A39" s="1750"/>
      <c r="B39" s="115" t="s">
        <v>4935</v>
      </c>
      <c r="C39" s="115" t="s">
        <v>4936</v>
      </c>
      <c r="D39" s="115" t="s">
        <v>48</v>
      </c>
      <c r="E39" s="115">
        <v>0</v>
      </c>
      <c r="F39" s="115">
        <v>1</v>
      </c>
      <c r="G39" s="116" t="s">
        <v>1055</v>
      </c>
      <c r="H39" s="115">
        <v>0</v>
      </c>
      <c r="I39" s="155">
        <v>8</v>
      </c>
      <c r="J39" s="528" t="s">
        <v>1056</v>
      </c>
      <c r="K39" s="538">
        <v>1</v>
      </c>
    </row>
    <row r="40" spans="1:11" ht="28.8">
      <c r="A40" s="1751"/>
      <c r="B40" s="161" t="s">
        <v>4937</v>
      </c>
      <c r="C40" s="161" t="s">
        <v>4938</v>
      </c>
      <c r="D40" s="161" t="s">
        <v>48</v>
      </c>
      <c r="E40" s="161">
        <v>0</v>
      </c>
      <c r="F40" s="161">
        <v>1</v>
      </c>
      <c r="G40" s="162" t="s">
        <v>1055</v>
      </c>
      <c r="H40" s="161">
        <v>0</v>
      </c>
      <c r="I40" s="163">
        <v>8</v>
      </c>
      <c r="J40" s="529" t="s">
        <v>1056</v>
      </c>
      <c r="K40" s="537">
        <v>1</v>
      </c>
    </row>
    <row r="41" spans="1:11" ht="28.8">
      <c r="A41" s="1749" t="s">
        <v>1742</v>
      </c>
      <c r="B41" s="129" t="s">
        <v>4927</v>
      </c>
      <c r="C41" s="129" t="s">
        <v>4928</v>
      </c>
      <c r="D41" s="129" t="s">
        <v>48</v>
      </c>
      <c r="E41" s="129">
        <v>0</v>
      </c>
      <c r="F41" s="129">
        <v>1</v>
      </c>
      <c r="G41" s="130" t="s">
        <v>1055</v>
      </c>
      <c r="H41" s="129">
        <v>0</v>
      </c>
      <c r="I41" s="154">
        <v>8</v>
      </c>
      <c r="J41" s="530" t="s">
        <v>1056</v>
      </c>
      <c r="K41" s="539">
        <v>1</v>
      </c>
    </row>
    <row r="42" spans="1:11" ht="28.8">
      <c r="A42" s="1750"/>
      <c r="B42" s="115" t="s">
        <v>4929</v>
      </c>
      <c r="C42" s="115" t="s">
        <v>4930</v>
      </c>
      <c r="D42" s="115" t="s">
        <v>48</v>
      </c>
      <c r="E42" s="115">
        <v>0</v>
      </c>
      <c r="F42" s="115">
        <v>1</v>
      </c>
      <c r="G42" s="116" t="s">
        <v>1055</v>
      </c>
      <c r="H42" s="115">
        <v>0</v>
      </c>
      <c r="I42" s="155">
        <v>8</v>
      </c>
      <c r="J42" s="528" t="s">
        <v>1056</v>
      </c>
      <c r="K42" s="538">
        <v>1</v>
      </c>
    </row>
    <row r="43" spans="1:11" ht="28.8">
      <c r="A43" s="1750"/>
      <c r="B43" s="115" t="s">
        <v>4931</v>
      </c>
      <c r="C43" s="115" t="s">
        <v>4932</v>
      </c>
      <c r="D43" s="115" t="s">
        <v>48</v>
      </c>
      <c r="E43" s="115">
        <v>0</v>
      </c>
      <c r="F43" s="115">
        <v>1</v>
      </c>
      <c r="G43" s="116" t="s">
        <v>1055</v>
      </c>
      <c r="H43" s="115">
        <v>0</v>
      </c>
      <c r="I43" s="155">
        <v>8</v>
      </c>
      <c r="J43" s="528" t="s">
        <v>1056</v>
      </c>
      <c r="K43" s="538">
        <v>1</v>
      </c>
    </row>
    <row r="44" spans="1:11" ht="28.8">
      <c r="A44" s="1750"/>
      <c r="B44" s="115" t="s">
        <v>4933</v>
      </c>
      <c r="C44" s="115" t="s">
        <v>4934</v>
      </c>
      <c r="D44" s="115" t="s">
        <v>48</v>
      </c>
      <c r="E44" s="115">
        <v>0</v>
      </c>
      <c r="F44" s="115">
        <v>1</v>
      </c>
      <c r="G44" s="116" t="s">
        <v>1055</v>
      </c>
      <c r="H44" s="115">
        <v>0</v>
      </c>
      <c r="I44" s="155">
        <v>8</v>
      </c>
      <c r="J44" s="528" t="s">
        <v>1056</v>
      </c>
      <c r="K44" s="538">
        <v>1</v>
      </c>
    </row>
    <row r="45" spans="1:11" ht="28.8">
      <c r="A45" s="1751"/>
      <c r="B45" s="161" t="s">
        <v>4935</v>
      </c>
      <c r="C45" s="161" t="s">
        <v>4936</v>
      </c>
      <c r="D45" s="161" t="s">
        <v>48</v>
      </c>
      <c r="E45" s="161">
        <v>0</v>
      </c>
      <c r="F45" s="161">
        <v>1</v>
      </c>
      <c r="G45" s="162" t="s">
        <v>1055</v>
      </c>
      <c r="H45" s="161">
        <v>0</v>
      </c>
      <c r="I45" s="163">
        <v>8</v>
      </c>
      <c r="J45" s="529" t="s">
        <v>1056</v>
      </c>
      <c r="K45" s="537">
        <v>1</v>
      </c>
    </row>
    <row r="46" spans="1:11" ht="28.8">
      <c r="A46" s="531" t="s">
        <v>1727</v>
      </c>
      <c r="B46" s="532" t="s">
        <v>48</v>
      </c>
      <c r="C46" s="532" t="s">
        <v>4939</v>
      </c>
      <c r="D46" s="532" t="s">
        <v>1072</v>
      </c>
      <c r="E46" s="532">
        <v>0</v>
      </c>
      <c r="F46" s="532" t="s">
        <v>920</v>
      </c>
      <c r="G46" s="533" t="s">
        <v>4940</v>
      </c>
      <c r="H46" s="532" t="s">
        <v>920</v>
      </c>
      <c r="I46" s="534">
        <v>32</v>
      </c>
      <c r="J46" s="535" t="s">
        <v>922</v>
      </c>
      <c r="K46" s="536" t="s">
        <v>48</v>
      </c>
    </row>
    <row r="47" spans="1:11" ht="28.8">
      <c r="A47" s="531" t="s">
        <v>1734</v>
      </c>
      <c r="B47" s="532" t="s">
        <v>48</v>
      </c>
      <c r="C47" s="532" t="s">
        <v>4941</v>
      </c>
      <c r="D47" s="532" t="s">
        <v>919</v>
      </c>
      <c r="E47" s="532">
        <v>0</v>
      </c>
      <c r="F47" s="532" t="s">
        <v>920</v>
      </c>
      <c r="G47" s="533" t="s">
        <v>2248</v>
      </c>
      <c r="H47" s="532" t="s">
        <v>920</v>
      </c>
      <c r="I47" s="534">
        <v>32</v>
      </c>
      <c r="J47" s="535" t="s">
        <v>922</v>
      </c>
      <c r="K47" s="536" t="s">
        <v>48</v>
      </c>
    </row>
    <row r="48" spans="1:11" ht="28.8">
      <c r="A48" s="531" t="s">
        <v>2017</v>
      </c>
      <c r="B48" s="532" t="s">
        <v>48</v>
      </c>
      <c r="C48" s="532" t="s">
        <v>4942</v>
      </c>
      <c r="D48" s="532" t="s">
        <v>996</v>
      </c>
      <c r="E48" s="532">
        <v>0</v>
      </c>
      <c r="F48" s="532" t="s">
        <v>920</v>
      </c>
      <c r="G48" s="533" t="s">
        <v>4943</v>
      </c>
      <c r="H48" s="532" t="s">
        <v>920</v>
      </c>
      <c r="I48" s="534">
        <v>32</v>
      </c>
      <c r="J48" s="535" t="s">
        <v>922</v>
      </c>
      <c r="K48" s="536" t="s">
        <v>48</v>
      </c>
    </row>
    <row r="49" spans="1:11" ht="28.8">
      <c r="A49" s="531" t="s">
        <v>1711</v>
      </c>
      <c r="B49" s="532" t="s">
        <v>48</v>
      </c>
      <c r="C49" s="533" t="s">
        <v>4944</v>
      </c>
      <c r="D49" s="532" t="s">
        <v>48</v>
      </c>
      <c r="E49" s="679">
        <v>0</v>
      </c>
      <c r="F49" s="532">
        <v>255</v>
      </c>
      <c r="G49" s="533" t="s">
        <v>4945</v>
      </c>
      <c r="H49" s="532">
        <v>255</v>
      </c>
      <c r="I49" s="534">
        <v>8</v>
      </c>
      <c r="J49" s="535" t="s">
        <v>743</v>
      </c>
      <c r="K49" s="536" t="s">
        <v>48</v>
      </c>
    </row>
    <row r="50" spans="1:11" ht="56.25" customHeight="1">
      <c r="A50" s="531" t="s">
        <v>1717</v>
      </c>
      <c r="B50" s="532" t="s">
        <v>48</v>
      </c>
      <c r="C50" s="533" t="s">
        <v>4946</v>
      </c>
      <c r="D50" s="532" t="s">
        <v>48</v>
      </c>
      <c r="E50" s="679" t="s">
        <v>4947</v>
      </c>
      <c r="F50" s="532">
        <v>65535</v>
      </c>
      <c r="G50" s="680" t="s">
        <v>4948</v>
      </c>
      <c r="H50" s="532">
        <v>65535</v>
      </c>
      <c r="I50" s="681">
        <v>16</v>
      </c>
      <c r="J50" s="535" t="s">
        <v>991</v>
      </c>
      <c r="K50" s="536" t="s">
        <v>48</v>
      </c>
    </row>
    <row r="51" spans="1:11" ht="25.8">
      <c r="A51" s="531" t="s">
        <v>1783</v>
      </c>
      <c r="B51" s="532" t="s">
        <v>48</v>
      </c>
      <c r="C51" s="533" t="s">
        <v>4949</v>
      </c>
      <c r="D51" s="532" t="s">
        <v>1035</v>
      </c>
      <c r="E51" s="679">
        <v>0</v>
      </c>
      <c r="F51" s="532" t="s">
        <v>920</v>
      </c>
      <c r="G51" s="680" t="s">
        <v>1118</v>
      </c>
      <c r="H51" s="532" t="s">
        <v>920</v>
      </c>
      <c r="I51" s="681">
        <v>32</v>
      </c>
      <c r="J51" s="535" t="s">
        <v>922</v>
      </c>
      <c r="K51" s="536" t="s">
        <v>48</v>
      </c>
    </row>
    <row r="52" spans="1:11" ht="28.8">
      <c r="A52" s="531" t="s">
        <v>1800</v>
      </c>
      <c r="B52" s="532" t="s">
        <v>48</v>
      </c>
      <c r="C52" s="533" t="s">
        <v>4950</v>
      </c>
      <c r="D52" s="532" t="s">
        <v>996</v>
      </c>
      <c r="E52" s="679">
        <v>0</v>
      </c>
      <c r="F52" s="532" t="s">
        <v>920</v>
      </c>
      <c r="G52" s="533" t="s">
        <v>1722</v>
      </c>
      <c r="H52" s="532" t="s">
        <v>920</v>
      </c>
      <c r="I52" s="534">
        <v>32</v>
      </c>
      <c r="J52" s="535" t="s">
        <v>922</v>
      </c>
      <c r="K52" s="536" t="s">
        <v>48</v>
      </c>
    </row>
    <row r="53" spans="1:11" ht="28.8">
      <c r="A53" s="531" t="s">
        <v>1817</v>
      </c>
      <c r="B53" s="532" t="s">
        <v>48</v>
      </c>
      <c r="C53" s="533" t="s">
        <v>4951</v>
      </c>
      <c r="D53" s="532" t="s">
        <v>919</v>
      </c>
      <c r="E53" s="679">
        <v>0</v>
      </c>
      <c r="F53" s="532" t="s">
        <v>920</v>
      </c>
      <c r="G53" s="533" t="s">
        <v>4943</v>
      </c>
      <c r="H53" s="532" t="s">
        <v>920</v>
      </c>
      <c r="I53" s="534">
        <v>32</v>
      </c>
      <c r="J53" s="535" t="s">
        <v>922</v>
      </c>
      <c r="K53" s="536" t="s">
        <v>48</v>
      </c>
    </row>
    <row r="54" spans="1:11" ht="28.8">
      <c r="A54" s="531" t="s">
        <v>1834</v>
      </c>
      <c r="B54" s="532" t="s">
        <v>48</v>
      </c>
      <c r="C54" s="533" t="s">
        <v>4952</v>
      </c>
      <c r="D54" s="532" t="s">
        <v>1072</v>
      </c>
      <c r="E54" s="679">
        <v>0</v>
      </c>
      <c r="F54" s="532" t="s">
        <v>920</v>
      </c>
      <c r="G54" s="533" t="s">
        <v>4943</v>
      </c>
      <c r="H54" s="532" t="s">
        <v>920</v>
      </c>
      <c r="I54" s="534">
        <v>32</v>
      </c>
      <c r="J54" s="535" t="s">
        <v>922</v>
      </c>
      <c r="K54" s="536" t="s">
        <v>48</v>
      </c>
    </row>
    <row r="55" spans="1:11" ht="28.8">
      <c r="A55" s="531" t="s">
        <v>2137</v>
      </c>
      <c r="B55" s="532" t="s">
        <v>48</v>
      </c>
      <c r="C55" s="533" t="s">
        <v>4953</v>
      </c>
      <c r="D55" s="532" t="s">
        <v>996</v>
      </c>
      <c r="E55" s="679">
        <v>0</v>
      </c>
      <c r="F55" s="532" t="s">
        <v>920</v>
      </c>
      <c r="G55" s="533" t="s">
        <v>4954</v>
      </c>
      <c r="H55" s="532" t="s">
        <v>920</v>
      </c>
      <c r="I55" s="534">
        <v>32</v>
      </c>
      <c r="J55" s="535" t="s">
        <v>922</v>
      </c>
      <c r="K55" s="536" t="s">
        <v>48</v>
      </c>
    </row>
    <row r="56" spans="1:11" ht="25.8">
      <c r="A56" s="531" t="s">
        <v>2176</v>
      </c>
      <c r="B56" s="532" t="s">
        <v>48</v>
      </c>
      <c r="C56" s="533" t="s">
        <v>4955</v>
      </c>
      <c r="D56" s="532" t="s">
        <v>1035</v>
      </c>
      <c r="E56" s="679">
        <v>0</v>
      </c>
      <c r="F56" s="532" t="s">
        <v>920</v>
      </c>
      <c r="G56" s="680" t="s">
        <v>4956</v>
      </c>
      <c r="H56" s="532" t="s">
        <v>920</v>
      </c>
      <c r="I56" s="681">
        <v>32</v>
      </c>
      <c r="J56" s="535" t="s">
        <v>922</v>
      </c>
      <c r="K56" s="536" t="s">
        <v>48</v>
      </c>
    </row>
    <row r="57" spans="1:11" ht="25.8">
      <c r="A57" s="531" t="s">
        <v>2198</v>
      </c>
      <c r="B57" s="532" t="s">
        <v>48</v>
      </c>
      <c r="C57" s="533" t="s">
        <v>4957</v>
      </c>
      <c r="D57" s="532" t="s">
        <v>1035</v>
      </c>
      <c r="E57" s="679">
        <v>0</v>
      </c>
      <c r="F57" s="532" t="s">
        <v>920</v>
      </c>
      <c r="G57" s="680" t="s">
        <v>4958</v>
      </c>
      <c r="H57" s="532" t="s">
        <v>920</v>
      </c>
      <c r="I57" s="681">
        <v>32</v>
      </c>
      <c r="J57" s="535" t="s">
        <v>922</v>
      </c>
      <c r="K57" s="536" t="s">
        <v>48</v>
      </c>
    </row>
    <row r="58" spans="1:11" ht="28.8">
      <c r="A58" s="531" t="s">
        <v>2383</v>
      </c>
      <c r="B58" s="532" t="s">
        <v>48</v>
      </c>
      <c r="C58" s="533" t="s">
        <v>4959</v>
      </c>
      <c r="D58" s="532" t="s">
        <v>996</v>
      </c>
      <c r="E58" s="679">
        <v>0</v>
      </c>
      <c r="F58" s="532" t="s">
        <v>920</v>
      </c>
      <c r="G58" s="533" t="s">
        <v>2248</v>
      </c>
      <c r="H58" s="532" t="s">
        <v>920</v>
      </c>
      <c r="I58" s="534">
        <v>32</v>
      </c>
      <c r="J58" s="535" t="s">
        <v>922</v>
      </c>
      <c r="K58" s="536" t="s">
        <v>48</v>
      </c>
    </row>
    <row r="59" spans="1:11" ht="25.8">
      <c r="A59" s="531" t="s">
        <v>2460</v>
      </c>
      <c r="B59" s="532" t="s">
        <v>48</v>
      </c>
      <c r="C59" s="533" t="s">
        <v>4960</v>
      </c>
      <c r="D59" s="532" t="s">
        <v>1035</v>
      </c>
      <c r="E59" s="679">
        <v>0</v>
      </c>
      <c r="F59" s="532" t="s">
        <v>920</v>
      </c>
      <c r="G59" s="680" t="s">
        <v>4961</v>
      </c>
      <c r="H59" s="532" t="s">
        <v>920</v>
      </c>
      <c r="I59" s="681">
        <v>32</v>
      </c>
      <c r="J59" s="535" t="s">
        <v>922</v>
      </c>
      <c r="K59" s="536" t="s">
        <v>48</v>
      </c>
    </row>
    <row r="60" spans="1:11" ht="28.8">
      <c r="A60" s="531" t="s">
        <v>1998</v>
      </c>
      <c r="B60" s="532" t="s">
        <v>48</v>
      </c>
      <c r="C60" s="533" t="s">
        <v>4962</v>
      </c>
      <c r="D60" s="532" t="s">
        <v>996</v>
      </c>
      <c r="E60" s="679">
        <v>0</v>
      </c>
      <c r="F60" s="532" t="s">
        <v>920</v>
      </c>
      <c r="G60" s="533" t="s">
        <v>1924</v>
      </c>
      <c r="H60" s="532" t="s">
        <v>920</v>
      </c>
      <c r="I60" s="534">
        <v>32</v>
      </c>
      <c r="J60" s="535" t="s">
        <v>922</v>
      </c>
      <c r="K60" s="536" t="s">
        <v>48</v>
      </c>
    </row>
    <row r="61" spans="1:11" ht="28.8">
      <c r="A61" s="531" t="s">
        <v>2601</v>
      </c>
      <c r="B61" s="532" t="s">
        <v>48</v>
      </c>
      <c r="C61" s="533" t="s">
        <v>4963</v>
      </c>
      <c r="D61" s="532" t="s">
        <v>1035</v>
      </c>
      <c r="E61" s="679">
        <v>0</v>
      </c>
      <c r="F61" s="532" t="s">
        <v>920</v>
      </c>
      <c r="G61" s="533" t="s">
        <v>4422</v>
      </c>
      <c r="H61" s="532" t="s">
        <v>920</v>
      </c>
      <c r="I61" s="534">
        <v>32</v>
      </c>
      <c r="J61" s="535" t="s">
        <v>922</v>
      </c>
      <c r="K61" s="536" t="s">
        <v>48</v>
      </c>
    </row>
    <row r="62" spans="1:11" ht="25.8">
      <c r="A62" s="682" t="s">
        <v>2834</v>
      </c>
      <c r="B62" s="683" t="s">
        <v>48</v>
      </c>
      <c r="C62" s="684" t="s">
        <v>4964</v>
      </c>
      <c r="D62" s="683" t="s">
        <v>1035</v>
      </c>
      <c r="E62" s="714">
        <v>0</v>
      </c>
      <c r="F62" s="683" t="s">
        <v>920</v>
      </c>
      <c r="G62" s="685" t="s">
        <v>4965</v>
      </c>
      <c r="H62" s="683" t="s">
        <v>920</v>
      </c>
      <c r="I62" s="715">
        <v>32</v>
      </c>
      <c r="J62" s="686" t="s">
        <v>922</v>
      </c>
      <c r="K62" s="536" t="s">
        <v>48</v>
      </c>
    </row>
  </sheetData>
  <autoFilter ref="A3:J3" xr:uid="{51946599-3A45-43D1-8303-66ABB56BCECE}"/>
  <mergeCells count="7">
    <mergeCell ref="B1:C1"/>
    <mergeCell ref="D1:E1"/>
    <mergeCell ref="A35:A40"/>
    <mergeCell ref="A41:A45"/>
    <mergeCell ref="A4:A16"/>
    <mergeCell ref="A17:A21"/>
    <mergeCell ref="A22:A34"/>
  </mergeCells>
  <hyperlinks>
    <hyperlink ref="H1" location="AVI_FCF_VD!A1" display="AVI_FCF_VD" xr:uid="{1BB39510-CBFC-45E7-949D-4612392B7A08}"/>
    <hyperlink ref="I1" location="AVI_FCF_VRU!A1" display="AVI_FCF_VRU" xr:uid="{F487162F-3575-42BC-AC81-65B12382AB04}"/>
    <hyperlink ref="J1" location="AVI_FCF_CV!A1" display="AVI_FCF_CV" xr:uid="{293ABE53-9603-4A84-8886-D1278302775D}"/>
  </hyperlinks>
  <pageMargins left="0.7" right="0.7" top="0.75" bottom="0.75" header="0.3" footer="0.3"/>
  <headerFooter>
    <oddFooter>&amp;C_x000D_&amp;1#&amp;"Calibri"&amp;11&amp;KFF0000 Internal</oddFooter>
  </headerFooter>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F450F-164D-41E9-BA13-F65A21268888}">
  <sheetPr codeName="Sheet21"/>
  <dimension ref="A1:E25"/>
  <sheetViews>
    <sheetView workbookViewId="0">
      <pane ySplit="1" topLeftCell="A23" activePane="bottomLeft" state="frozen"/>
      <selection activeCell="C22" activeCellId="1" sqref="A1:AS1 C22"/>
      <selection pane="bottomLeft" activeCell="B25" sqref="B25"/>
    </sheetView>
  </sheetViews>
  <sheetFormatPr defaultColWidth="9.15625" defaultRowHeight="14.4"/>
  <cols>
    <col min="1" max="1" width="11" style="1014" bestFit="1" customWidth="1"/>
    <col min="2" max="2" width="10.41796875" style="40" bestFit="1" customWidth="1"/>
    <col min="3" max="3" width="56.68359375" customWidth="1"/>
    <col min="4" max="4" width="14.83984375" bestFit="1" customWidth="1"/>
    <col min="5" max="5" width="11.578125" bestFit="1" customWidth="1"/>
  </cols>
  <sheetData>
    <row r="1" spans="1:5">
      <c r="A1" s="1017" t="s">
        <v>644</v>
      </c>
      <c r="B1" s="660" t="s">
        <v>645</v>
      </c>
      <c r="C1" s="643" t="s">
        <v>646</v>
      </c>
      <c r="D1" s="643" t="s">
        <v>647</v>
      </c>
      <c r="E1" s="644" t="s">
        <v>793</v>
      </c>
    </row>
    <row r="2" spans="1:5" ht="28.8">
      <c r="A2" s="1010">
        <v>0.1</v>
      </c>
      <c r="B2" s="51">
        <v>44714</v>
      </c>
      <c r="C2" s="576" t="s">
        <v>4966</v>
      </c>
      <c r="D2" s="5" t="s">
        <v>676</v>
      </c>
      <c r="E2" s="5" t="s">
        <v>655</v>
      </c>
    </row>
    <row r="3" spans="1:5">
      <c r="A3" s="1010">
        <v>0.2</v>
      </c>
      <c r="B3" s="51">
        <v>44715</v>
      </c>
      <c r="C3" s="5" t="s">
        <v>4967</v>
      </c>
      <c r="D3" s="5" t="s">
        <v>676</v>
      </c>
      <c r="E3" s="5" t="s">
        <v>655</v>
      </c>
    </row>
    <row r="4" spans="1:5">
      <c r="A4" s="1010">
        <v>0.2</v>
      </c>
      <c r="B4" s="51">
        <v>44715</v>
      </c>
      <c r="C4" s="5" t="s">
        <v>1745</v>
      </c>
      <c r="D4" s="5" t="s">
        <v>796</v>
      </c>
      <c r="E4" s="5" t="s">
        <v>655</v>
      </c>
    </row>
    <row r="5" spans="1:5" ht="28.8">
      <c r="A5" s="1010">
        <v>0.3</v>
      </c>
      <c r="B5" s="51">
        <v>44715</v>
      </c>
      <c r="C5" s="576" t="s">
        <v>4968</v>
      </c>
      <c r="D5" s="5" t="s">
        <v>676</v>
      </c>
      <c r="E5" s="5" t="s">
        <v>655</v>
      </c>
    </row>
    <row r="6" spans="1:5">
      <c r="A6" s="1010">
        <v>0.3</v>
      </c>
      <c r="B6" s="651">
        <v>44715</v>
      </c>
      <c r="C6" s="5" t="s">
        <v>4969</v>
      </c>
      <c r="D6" s="5" t="s">
        <v>796</v>
      </c>
      <c r="E6" s="5" t="s">
        <v>655</v>
      </c>
    </row>
    <row r="7" spans="1:5">
      <c r="A7" s="1010">
        <v>1</v>
      </c>
      <c r="B7" s="652">
        <v>44719</v>
      </c>
      <c r="C7" s="5" t="s">
        <v>4970</v>
      </c>
      <c r="D7" s="5" t="s">
        <v>676</v>
      </c>
      <c r="E7" s="5" t="s">
        <v>651</v>
      </c>
    </row>
    <row r="8" spans="1:5">
      <c r="A8" s="1010">
        <v>1</v>
      </c>
      <c r="B8" s="51">
        <v>44719</v>
      </c>
      <c r="C8" s="5" t="s">
        <v>660</v>
      </c>
      <c r="D8" s="5" t="s">
        <v>654</v>
      </c>
      <c r="E8" s="5" t="s">
        <v>661</v>
      </c>
    </row>
    <row r="9" spans="1:5">
      <c r="A9" s="1010">
        <v>1</v>
      </c>
      <c r="B9" s="51">
        <v>44742</v>
      </c>
      <c r="C9" s="576" t="s">
        <v>667</v>
      </c>
      <c r="D9" s="5" t="s">
        <v>654</v>
      </c>
      <c r="E9" s="5" t="s">
        <v>661</v>
      </c>
    </row>
    <row r="10" spans="1:5" ht="57.6">
      <c r="A10" s="1010">
        <v>1</v>
      </c>
      <c r="B10" s="51">
        <v>44747</v>
      </c>
      <c r="C10" s="576" t="s">
        <v>4971</v>
      </c>
      <c r="D10" s="5" t="s">
        <v>654</v>
      </c>
      <c r="E10" s="5" t="s">
        <v>661</v>
      </c>
    </row>
    <row r="11" spans="1:5">
      <c r="A11" s="1010">
        <v>1.1000000000000001</v>
      </c>
      <c r="B11" s="51">
        <v>44895</v>
      </c>
      <c r="C11" s="5" t="s">
        <v>4333</v>
      </c>
      <c r="D11" s="5" t="s">
        <v>683</v>
      </c>
      <c r="E11" s="5" t="s">
        <v>655</v>
      </c>
    </row>
    <row r="12" spans="1:5">
      <c r="A12" s="1010">
        <v>1.2</v>
      </c>
      <c r="B12" s="188">
        <v>44897</v>
      </c>
      <c r="C12" s="576" t="s">
        <v>4869</v>
      </c>
      <c r="D12" s="5" t="s">
        <v>676</v>
      </c>
      <c r="E12" s="5" t="s">
        <v>655</v>
      </c>
    </row>
    <row r="13" spans="1:5">
      <c r="A13" s="1010">
        <v>1.3</v>
      </c>
      <c r="B13" s="51">
        <v>44897</v>
      </c>
      <c r="C13" s="5" t="s">
        <v>4645</v>
      </c>
      <c r="D13" s="5" t="s">
        <v>683</v>
      </c>
      <c r="E13" s="5" t="s">
        <v>655</v>
      </c>
    </row>
    <row r="14" spans="1:5" ht="72">
      <c r="A14" s="1010">
        <v>1.4</v>
      </c>
      <c r="B14" s="51">
        <v>44949</v>
      </c>
      <c r="C14" s="576" t="s">
        <v>4972</v>
      </c>
      <c r="D14" s="5" t="s">
        <v>676</v>
      </c>
      <c r="E14" s="5" t="s">
        <v>655</v>
      </c>
    </row>
    <row r="15" spans="1:5">
      <c r="A15" s="1010">
        <v>1.4</v>
      </c>
      <c r="B15" s="51">
        <v>44956</v>
      </c>
      <c r="C15" s="5" t="s">
        <v>1602</v>
      </c>
      <c r="D15" s="5" t="s">
        <v>658</v>
      </c>
      <c r="E15" s="5" t="s">
        <v>655</v>
      </c>
    </row>
    <row r="16" spans="1:5">
      <c r="A16" s="1010">
        <v>1.5</v>
      </c>
      <c r="B16" s="51">
        <v>44956</v>
      </c>
      <c r="C16" s="5" t="s">
        <v>4871</v>
      </c>
      <c r="D16" s="5" t="s">
        <v>658</v>
      </c>
      <c r="E16" s="5" t="s">
        <v>655</v>
      </c>
    </row>
    <row r="17" spans="1:5" ht="230.4">
      <c r="A17" s="1010">
        <v>1.6</v>
      </c>
      <c r="B17" s="51">
        <v>44956</v>
      </c>
      <c r="C17" s="576" t="s">
        <v>4973</v>
      </c>
      <c r="D17" s="5" t="s">
        <v>676</v>
      </c>
      <c r="E17" s="5" t="s">
        <v>655</v>
      </c>
    </row>
    <row r="18" spans="1:5">
      <c r="A18" s="1010">
        <v>1.6</v>
      </c>
      <c r="B18" s="51">
        <v>44957</v>
      </c>
      <c r="C18" s="5" t="s">
        <v>1602</v>
      </c>
      <c r="D18" s="5" t="s">
        <v>658</v>
      </c>
      <c r="E18" s="5" t="s">
        <v>655</v>
      </c>
    </row>
    <row r="19" spans="1:5">
      <c r="A19" s="1010">
        <v>2</v>
      </c>
      <c r="B19" s="51">
        <v>44957</v>
      </c>
      <c r="C19" s="5" t="s">
        <v>4970</v>
      </c>
      <c r="D19" s="5" t="s">
        <v>676</v>
      </c>
      <c r="E19" s="5" t="s">
        <v>651</v>
      </c>
    </row>
    <row r="20" spans="1:5">
      <c r="A20" s="1010">
        <v>2</v>
      </c>
      <c r="B20" s="51">
        <v>44957</v>
      </c>
      <c r="C20" s="5" t="s">
        <v>687</v>
      </c>
      <c r="D20" s="5" t="s">
        <v>676</v>
      </c>
      <c r="E20" s="5" t="s">
        <v>661</v>
      </c>
    </row>
    <row r="21" spans="1:5">
      <c r="A21" s="1010">
        <v>2</v>
      </c>
      <c r="B21" s="51">
        <v>44970</v>
      </c>
      <c r="C21" s="5" t="s">
        <v>691</v>
      </c>
      <c r="D21" s="5" t="s">
        <v>676</v>
      </c>
      <c r="E21" s="5" t="s">
        <v>661</v>
      </c>
    </row>
    <row r="22" spans="1:5">
      <c r="A22" s="1010">
        <v>2</v>
      </c>
      <c r="B22" s="191">
        <v>44998</v>
      </c>
      <c r="C22" s="5" t="s">
        <v>692</v>
      </c>
      <c r="D22" s="5" t="s">
        <v>678</v>
      </c>
      <c r="E22" s="5" t="s">
        <v>661</v>
      </c>
    </row>
    <row r="23" spans="1:5">
      <c r="A23" s="1010" t="s">
        <v>659</v>
      </c>
      <c r="B23" s="191">
        <v>45078</v>
      </c>
      <c r="C23" s="5" t="s">
        <v>699</v>
      </c>
      <c r="D23" s="5" t="s">
        <v>678</v>
      </c>
      <c r="E23" s="5" t="s">
        <v>661</v>
      </c>
    </row>
    <row r="24" spans="1:5">
      <c r="A24" s="1010" t="s">
        <v>659</v>
      </c>
      <c r="B24" s="191">
        <v>45097</v>
      </c>
      <c r="C24" s="5" t="s">
        <v>700</v>
      </c>
      <c r="D24" s="5" t="s">
        <v>678</v>
      </c>
      <c r="E24" s="5" t="s">
        <v>661</v>
      </c>
    </row>
    <row r="25" spans="1:5">
      <c r="A25" s="1010" t="s">
        <v>659</v>
      </c>
      <c r="B25" s="1065">
        <v>45205</v>
      </c>
      <c r="C25" s="595" t="s">
        <v>701</v>
      </c>
      <c r="D25" s="595" t="s">
        <v>678</v>
      </c>
      <c r="E25" s="596" t="s">
        <v>661</v>
      </c>
    </row>
  </sheetData>
  <pageMargins left="0.7" right="0.7" top="0.75" bottom="0.75" header="0.3" footer="0.3"/>
  <headerFooter>
    <oddFooter>&amp;C_x000D_&amp;1#&amp;"Calibri"&amp;11&amp;KFF0000 Internal</oddFooter>
  </headerFooter>
  <tableParts count="1">
    <tablePart r:id="rId1"/>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D7F16-77E3-45B3-AA84-D1D674954CC3}">
  <sheetPr codeName="Sheet40"/>
  <dimension ref="A1:K45"/>
  <sheetViews>
    <sheetView tabSelected="1" zoomScaleNormal="100" workbookViewId="0">
      <pane ySplit="3" topLeftCell="A6" activePane="bottomLeft" state="frozen"/>
      <selection activeCell="C22" activeCellId="1" sqref="A1:AS1 C22"/>
      <selection pane="bottomLeft" activeCell="G8" sqref="G8"/>
    </sheetView>
  </sheetViews>
  <sheetFormatPr defaultColWidth="9.15625" defaultRowHeight="14.4"/>
  <cols>
    <col min="1" max="1" width="29.15625" customWidth="1"/>
    <col min="2" max="2" width="20.578125" customWidth="1"/>
    <col min="3" max="3" width="57.578125" customWidth="1"/>
    <col min="4" max="4" width="8.26171875" style="3" customWidth="1"/>
    <col min="5" max="5" width="6.68359375" style="3" customWidth="1"/>
    <col min="6" max="6" width="7.68359375" style="3" customWidth="1"/>
    <col min="7" max="7" width="27.15625" style="3" customWidth="1"/>
    <col min="8" max="8" width="19.68359375" style="3" bestFit="1" customWidth="1"/>
    <col min="9" max="10" width="22.83984375" style="3" bestFit="1" customWidth="1"/>
    <col min="11" max="11" width="18.68359375" customWidth="1"/>
  </cols>
  <sheetData>
    <row r="1" spans="1:11">
      <c r="A1" s="480">
        <v>1</v>
      </c>
      <c r="B1" s="1756" t="s">
        <v>3660</v>
      </c>
      <c r="C1" s="1757"/>
      <c r="D1" s="1754" t="s">
        <v>106</v>
      </c>
      <c r="E1" s="1755"/>
      <c r="F1" s="481">
        <v>4</v>
      </c>
      <c r="G1" s="482" t="s">
        <v>75</v>
      </c>
      <c r="H1" s="483" t="s">
        <v>76</v>
      </c>
      <c r="I1" s="484" t="s">
        <v>78</v>
      </c>
      <c r="J1" s="485" t="s">
        <v>77</v>
      </c>
      <c r="K1" s="451"/>
    </row>
    <row r="2" spans="1:11">
      <c r="A2" s="486"/>
      <c r="B2" s="487"/>
      <c r="C2" s="487"/>
      <c r="D2" s="488"/>
      <c r="E2" s="488"/>
      <c r="F2" s="488"/>
      <c r="G2" s="488"/>
      <c r="H2" s="488"/>
      <c r="I2" s="488"/>
      <c r="J2" s="1503"/>
      <c r="K2" s="489"/>
    </row>
    <row r="3" spans="1:11" ht="28.8">
      <c r="A3" s="498" t="s">
        <v>4510</v>
      </c>
      <c r="B3" s="102" t="s">
        <v>4511</v>
      </c>
      <c r="C3" s="102" t="s">
        <v>710</v>
      </c>
      <c r="D3" s="102" t="s">
        <v>711</v>
      </c>
      <c r="E3" s="102" t="s">
        <v>712</v>
      </c>
      <c r="F3" s="102" t="s">
        <v>713</v>
      </c>
      <c r="G3" s="102" t="s">
        <v>714</v>
      </c>
      <c r="H3" s="103" t="s">
        <v>715</v>
      </c>
      <c r="I3" s="102" t="s">
        <v>716</v>
      </c>
      <c r="J3" s="478" t="s">
        <v>717</v>
      </c>
      <c r="K3" s="448" t="s">
        <v>4512</v>
      </c>
    </row>
    <row r="4" spans="1:11" ht="77.400000000000006">
      <c r="A4" s="1760" t="s">
        <v>3676</v>
      </c>
      <c r="B4" s="490" t="s">
        <v>4974</v>
      </c>
      <c r="C4" s="491" t="s">
        <v>4975</v>
      </c>
      <c r="D4" s="492" t="s">
        <v>48</v>
      </c>
      <c r="E4" s="492">
        <v>0</v>
      </c>
      <c r="F4" s="492">
        <v>255</v>
      </c>
      <c r="G4" s="493" t="s">
        <v>4976</v>
      </c>
      <c r="H4" s="492">
        <v>255</v>
      </c>
      <c r="I4" s="492">
        <v>8</v>
      </c>
      <c r="J4" s="492" t="s">
        <v>743</v>
      </c>
      <c r="K4" s="494">
        <v>1</v>
      </c>
    </row>
    <row r="5" spans="1:11">
      <c r="A5" s="1761"/>
      <c r="B5" s="59" t="s">
        <v>4977</v>
      </c>
      <c r="C5" s="267" t="s">
        <v>4978</v>
      </c>
      <c r="D5" s="479" t="s">
        <v>48</v>
      </c>
      <c r="E5" s="479" t="s">
        <v>48</v>
      </c>
      <c r="F5" s="479" t="s">
        <v>48</v>
      </c>
      <c r="G5" s="495" t="s">
        <v>48</v>
      </c>
      <c r="H5" s="479" t="s">
        <v>48</v>
      </c>
      <c r="I5" s="479">
        <v>32</v>
      </c>
      <c r="J5" s="479" t="s">
        <v>1583</v>
      </c>
      <c r="K5" s="496">
        <v>1</v>
      </c>
    </row>
    <row r="6" spans="1:11" ht="206.4">
      <c r="A6" s="1761"/>
      <c r="B6" s="59" t="s">
        <v>717</v>
      </c>
      <c r="C6" s="268" t="s">
        <v>4979</v>
      </c>
      <c r="D6" s="60" t="s">
        <v>48</v>
      </c>
      <c r="E6" s="60">
        <v>0</v>
      </c>
      <c r="F6" s="60">
        <v>255</v>
      </c>
      <c r="G6" s="108" t="s">
        <v>4980</v>
      </c>
      <c r="H6" s="60">
        <v>255</v>
      </c>
      <c r="I6" s="60">
        <v>8</v>
      </c>
      <c r="J6" s="479" t="s">
        <v>743</v>
      </c>
      <c r="K6" s="496">
        <v>1</v>
      </c>
    </row>
    <row r="7" spans="1:11" ht="25.8">
      <c r="A7" s="1761"/>
      <c r="B7" s="59" t="s">
        <v>4981</v>
      </c>
      <c r="C7" s="267" t="s">
        <v>4982</v>
      </c>
      <c r="D7" s="479" t="s">
        <v>48</v>
      </c>
      <c r="E7" s="479" t="s">
        <v>48</v>
      </c>
      <c r="F7" s="479" t="s">
        <v>48</v>
      </c>
      <c r="G7" s="495" t="s">
        <v>48</v>
      </c>
      <c r="H7" s="479" t="s">
        <v>48</v>
      </c>
      <c r="I7" s="479">
        <v>32</v>
      </c>
      <c r="J7" s="479" t="s">
        <v>1583</v>
      </c>
      <c r="K7" s="496">
        <v>1</v>
      </c>
    </row>
    <row r="8" spans="1:11" ht="167.7">
      <c r="A8" s="1761"/>
      <c r="B8" s="59" t="s">
        <v>4983</v>
      </c>
      <c r="C8" s="268" t="s">
        <v>4984</v>
      </c>
      <c r="D8" s="60" t="s">
        <v>48</v>
      </c>
      <c r="E8" s="60">
        <v>0</v>
      </c>
      <c r="F8" s="60">
        <v>255</v>
      </c>
      <c r="G8" s="108" t="s">
        <v>4985</v>
      </c>
      <c r="H8" s="60">
        <v>255</v>
      </c>
      <c r="I8" s="60">
        <v>8</v>
      </c>
      <c r="J8" s="479" t="s">
        <v>743</v>
      </c>
      <c r="K8" s="496">
        <v>1</v>
      </c>
    </row>
    <row r="9" spans="1:11" ht="25.8">
      <c r="A9" s="1761"/>
      <c r="B9" s="59" t="s">
        <v>4986</v>
      </c>
      <c r="C9" s="268" t="s">
        <v>4987</v>
      </c>
      <c r="D9" s="60" t="s">
        <v>919</v>
      </c>
      <c r="E9" s="60">
        <v>0</v>
      </c>
      <c r="F9" s="60" t="s">
        <v>920</v>
      </c>
      <c r="G9" s="108" t="s">
        <v>3114</v>
      </c>
      <c r="H9" s="60" t="s">
        <v>920</v>
      </c>
      <c r="I9" s="60">
        <v>32</v>
      </c>
      <c r="J9" s="479" t="s">
        <v>922</v>
      </c>
      <c r="K9" s="496">
        <v>1</v>
      </c>
    </row>
    <row r="10" spans="1:11" ht="25.8">
      <c r="A10" s="1761"/>
      <c r="B10" s="59" t="s">
        <v>4988</v>
      </c>
      <c r="C10" s="267" t="s">
        <v>4989</v>
      </c>
      <c r="D10" s="479" t="s">
        <v>919</v>
      </c>
      <c r="E10" s="479">
        <v>0</v>
      </c>
      <c r="F10" s="60" t="s">
        <v>920</v>
      </c>
      <c r="G10" s="108" t="s">
        <v>4990</v>
      </c>
      <c r="H10" s="60" t="s">
        <v>920</v>
      </c>
      <c r="I10" s="60">
        <v>32</v>
      </c>
      <c r="J10" s="479" t="s">
        <v>922</v>
      </c>
      <c r="K10" s="496">
        <v>1</v>
      </c>
    </row>
    <row r="11" spans="1:11" ht="32.25" customHeight="1">
      <c r="A11" s="1761"/>
      <c r="B11" s="59" t="s">
        <v>4991</v>
      </c>
      <c r="C11" s="268" t="s">
        <v>4992</v>
      </c>
      <c r="D11" s="60" t="s">
        <v>48</v>
      </c>
      <c r="E11" s="60">
        <v>0</v>
      </c>
      <c r="F11" s="60">
        <v>1</v>
      </c>
      <c r="G11" s="108" t="s">
        <v>1055</v>
      </c>
      <c r="H11" s="60">
        <v>0</v>
      </c>
      <c r="I11" s="60">
        <v>8</v>
      </c>
      <c r="J11" s="479" t="s">
        <v>1056</v>
      </c>
      <c r="K11" s="496">
        <v>1</v>
      </c>
    </row>
    <row r="12" spans="1:11" ht="38.700000000000003">
      <c r="A12" s="1761"/>
      <c r="B12" s="59" t="s">
        <v>4993</v>
      </c>
      <c r="C12" s="497" t="s">
        <v>4994</v>
      </c>
      <c r="D12" s="60" t="s">
        <v>919</v>
      </c>
      <c r="E12" s="60">
        <v>0</v>
      </c>
      <c r="F12" s="60" t="s">
        <v>920</v>
      </c>
      <c r="G12" s="108" t="s">
        <v>3494</v>
      </c>
      <c r="H12" s="60" t="s">
        <v>920</v>
      </c>
      <c r="I12" s="60">
        <v>32</v>
      </c>
      <c r="J12" s="479" t="s">
        <v>922</v>
      </c>
      <c r="K12" s="496">
        <v>1</v>
      </c>
    </row>
    <row r="13" spans="1:11" ht="38.700000000000003">
      <c r="A13" s="1761"/>
      <c r="B13" s="59" t="s">
        <v>4995</v>
      </c>
      <c r="C13" s="497" t="s">
        <v>4996</v>
      </c>
      <c r="D13" s="60" t="s">
        <v>919</v>
      </c>
      <c r="E13" s="60">
        <v>0</v>
      </c>
      <c r="F13" s="60" t="s">
        <v>920</v>
      </c>
      <c r="G13" s="108" t="s">
        <v>3494</v>
      </c>
      <c r="H13" s="60" t="s">
        <v>920</v>
      </c>
      <c r="I13" s="60">
        <v>32</v>
      </c>
      <c r="J13" s="479" t="s">
        <v>922</v>
      </c>
      <c r="K13" s="496">
        <v>1</v>
      </c>
    </row>
    <row r="14" spans="1:11" ht="25.8">
      <c r="A14" s="1761"/>
      <c r="B14" s="59" t="s">
        <v>4997</v>
      </c>
      <c r="C14" s="497" t="s">
        <v>4998</v>
      </c>
      <c r="D14" s="60" t="s">
        <v>48</v>
      </c>
      <c r="E14" s="60" t="s">
        <v>48</v>
      </c>
      <c r="F14" s="60" t="s">
        <v>48</v>
      </c>
      <c r="G14" s="60" t="s">
        <v>48</v>
      </c>
      <c r="H14" s="60" t="s">
        <v>48</v>
      </c>
      <c r="I14" s="60">
        <v>8</v>
      </c>
      <c r="J14" s="479" t="s">
        <v>1538</v>
      </c>
      <c r="K14" s="496">
        <v>1</v>
      </c>
    </row>
    <row r="15" spans="1:11" ht="63.75" customHeight="1">
      <c r="A15" s="1760" t="s">
        <v>3738</v>
      </c>
      <c r="B15" s="490" t="s">
        <v>4999</v>
      </c>
      <c r="C15" s="499" t="s">
        <v>5000</v>
      </c>
      <c r="D15" s="492" t="s">
        <v>919</v>
      </c>
      <c r="E15" s="492">
        <v>-30</v>
      </c>
      <c r="F15" s="492" t="s">
        <v>920</v>
      </c>
      <c r="G15" s="493" t="s">
        <v>5001</v>
      </c>
      <c r="H15" s="492" t="s">
        <v>920</v>
      </c>
      <c r="I15" s="492">
        <v>32</v>
      </c>
      <c r="J15" s="500" t="s">
        <v>922</v>
      </c>
      <c r="K15" s="494">
        <v>1</v>
      </c>
    </row>
    <row r="16" spans="1:11" ht="63.75" customHeight="1">
      <c r="A16" s="1761"/>
      <c r="B16" s="501" t="s">
        <v>5002</v>
      </c>
      <c r="C16" s="267" t="s">
        <v>5000</v>
      </c>
      <c r="D16" s="479" t="s">
        <v>48</v>
      </c>
      <c r="E16" s="479">
        <v>-2</v>
      </c>
      <c r="F16" s="60" t="s">
        <v>920</v>
      </c>
      <c r="G16" s="108" t="s">
        <v>5003</v>
      </c>
      <c r="H16" s="60" t="s">
        <v>920</v>
      </c>
      <c r="I16" s="60">
        <v>32</v>
      </c>
      <c r="J16" s="479" t="s">
        <v>922</v>
      </c>
      <c r="K16" s="496">
        <v>1</v>
      </c>
    </row>
    <row r="17" spans="1:11" ht="63.75" customHeight="1">
      <c r="A17" s="1761"/>
      <c r="B17" s="59" t="s">
        <v>5004</v>
      </c>
      <c r="C17" s="267" t="s">
        <v>5000</v>
      </c>
      <c r="D17" s="60" t="s">
        <v>5005</v>
      </c>
      <c r="E17" s="60">
        <v>-0.125</v>
      </c>
      <c r="F17" s="60" t="s">
        <v>920</v>
      </c>
      <c r="G17" s="108" t="s">
        <v>5006</v>
      </c>
      <c r="H17" s="60" t="s">
        <v>920</v>
      </c>
      <c r="I17" s="60">
        <v>32</v>
      </c>
      <c r="J17" s="479" t="s">
        <v>922</v>
      </c>
      <c r="K17" s="496">
        <v>1</v>
      </c>
    </row>
    <row r="18" spans="1:11" ht="63.75" customHeight="1">
      <c r="A18" s="1761"/>
      <c r="B18" s="501" t="s">
        <v>5007</v>
      </c>
      <c r="C18" s="267" t="s">
        <v>5000</v>
      </c>
      <c r="D18" s="479" t="s">
        <v>5008</v>
      </c>
      <c r="E18" s="479">
        <v>-4.0000000000000001E-3</v>
      </c>
      <c r="F18" s="60" t="s">
        <v>920</v>
      </c>
      <c r="G18" s="108" t="s">
        <v>5009</v>
      </c>
      <c r="H18" s="60" t="s">
        <v>920</v>
      </c>
      <c r="I18" s="60">
        <v>32</v>
      </c>
      <c r="J18" s="479" t="s">
        <v>922</v>
      </c>
      <c r="K18" s="496">
        <v>1</v>
      </c>
    </row>
    <row r="19" spans="1:11" ht="25.8">
      <c r="A19" s="1761"/>
      <c r="B19" s="59" t="s">
        <v>5010</v>
      </c>
      <c r="C19" s="268" t="s">
        <v>5011</v>
      </c>
      <c r="D19" s="60" t="s">
        <v>919</v>
      </c>
      <c r="E19" s="60">
        <v>0</v>
      </c>
      <c r="F19" s="60" t="s">
        <v>920</v>
      </c>
      <c r="G19" s="60" t="s">
        <v>5012</v>
      </c>
      <c r="H19" s="60" t="s">
        <v>920</v>
      </c>
      <c r="I19" s="60">
        <v>32</v>
      </c>
      <c r="J19" s="479" t="s">
        <v>922</v>
      </c>
      <c r="K19" s="502">
        <v>1</v>
      </c>
    </row>
    <row r="20" spans="1:11" ht="25.8">
      <c r="A20" s="1761"/>
      <c r="B20" s="501" t="s">
        <v>201</v>
      </c>
      <c r="C20" s="268" t="s">
        <v>5013</v>
      </c>
      <c r="D20" s="60" t="s">
        <v>919</v>
      </c>
      <c r="E20" s="479">
        <v>0</v>
      </c>
      <c r="F20" s="60" t="s">
        <v>920</v>
      </c>
      <c r="G20" s="60" t="s">
        <v>5012</v>
      </c>
      <c r="H20" s="60" t="s">
        <v>920</v>
      </c>
      <c r="I20" s="60">
        <v>32</v>
      </c>
      <c r="J20" s="479" t="s">
        <v>922</v>
      </c>
      <c r="K20" s="504">
        <v>1</v>
      </c>
    </row>
    <row r="21" spans="1:11" ht="45.75" customHeight="1">
      <c r="A21" s="1758" t="s">
        <v>3673</v>
      </c>
      <c r="B21" s="503" t="s">
        <v>5014</v>
      </c>
      <c r="C21" s="499" t="s">
        <v>5015</v>
      </c>
      <c r="D21" s="500" t="s">
        <v>48</v>
      </c>
      <c r="E21" s="500" t="s">
        <v>48</v>
      </c>
      <c r="F21" s="500" t="s">
        <v>48</v>
      </c>
      <c r="G21" s="500" t="s">
        <v>48</v>
      </c>
      <c r="H21" s="500" t="s">
        <v>48</v>
      </c>
      <c r="I21" s="492">
        <v>8</v>
      </c>
      <c r="J21" s="500" t="s">
        <v>3755</v>
      </c>
      <c r="K21" s="494">
        <v>1</v>
      </c>
    </row>
    <row r="22" spans="1:11" ht="43.5" customHeight="1">
      <c r="A22" s="1762"/>
      <c r="B22" s="501" t="s">
        <v>5016</v>
      </c>
      <c r="C22" s="268" t="s">
        <v>5017</v>
      </c>
      <c r="D22" s="479" t="s">
        <v>48</v>
      </c>
      <c r="E22" s="479" t="s">
        <v>48</v>
      </c>
      <c r="F22" s="479" t="s">
        <v>48</v>
      </c>
      <c r="G22" s="479" t="s">
        <v>48</v>
      </c>
      <c r="H22" s="479" t="s">
        <v>48</v>
      </c>
      <c r="I22" s="60">
        <v>8</v>
      </c>
      <c r="J22" s="479" t="s">
        <v>3755</v>
      </c>
      <c r="K22" s="496">
        <v>1</v>
      </c>
    </row>
    <row r="23" spans="1:11" ht="25.8">
      <c r="A23" s="1762"/>
      <c r="B23" s="501" t="s">
        <v>5018</v>
      </c>
      <c r="C23" s="267" t="s">
        <v>5019</v>
      </c>
      <c r="D23" s="479" t="s">
        <v>48</v>
      </c>
      <c r="E23" s="479" t="s">
        <v>48</v>
      </c>
      <c r="F23" s="479" t="s">
        <v>48</v>
      </c>
      <c r="G23" s="479" t="s">
        <v>48</v>
      </c>
      <c r="H23" s="479" t="s">
        <v>48</v>
      </c>
      <c r="I23" s="479">
        <v>16</v>
      </c>
      <c r="J23" s="479" t="s">
        <v>1544</v>
      </c>
      <c r="K23" s="496">
        <v>1</v>
      </c>
    </row>
    <row r="24" spans="1:11" ht="29.25" customHeight="1">
      <c r="A24" s="1762"/>
      <c r="B24" s="59" t="s">
        <v>5020</v>
      </c>
      <c r="C24" s="267" t="s">
        <v>5021</v>
      </c>
      <c r="D24" s="60" t="s">
        <v>48</v>
      </c>
      <c r="E24" s="60" t="s">
        <v>48</v>
      </c>
      <c r="F24" s="60" t="s">
        <v>48</v>
      </c>
      <c r="G24" s="108" t="s">
        <v>48</v>
      </c>
      <c r="H24" s="60" t="s">
        <v>48</v>
      </c>
      <c r="I24" s="60">
        <v>32</v>
      </c>
      <c r="J24" s="479" t="s">
        <v>1577</v>
      </c>
      <c r="K24" s="496">
        <v>1</v>
      </c>
    </row>
    <row r="25" spans="1:11">
      <c r="A25" s="1762"/>
      <c r="B25" s="59" t="s">
        <v>5022</v>
      </c>
      <c r="C25" s="268" t="s">
        <v>5023</v>
      </c>
      <c r="D25" s="60" t="s">
        <v>48</v>
      </c>
      <c r="E25" s="60" t="s">
        <v>48</v>
      </c>
      <c r="F25" s="60" t="s">
        <v>48</v>
      </c>
      <c r="G25" s="108" t="s">
        <v>48</v>
      </c>
      <c r="H25" s="60" t="s">
        <v>48</v>
      </c>
      <c r="I25" s="60">
        <v>8</v>
      </c>
      <c r="J25" s="479" t="s">
        <v>1547</v>
      </c>
      <c r="K25" s="496">
        <v>1</v>
      </c>
    </row>
    <row r="26" spans="1:11">
      <c r="A26" s="1762"/>
      <c r="B26" s="59" t="s">
        <v>5024</v>
      </c>
      <c r="C26" s="268" t="s">
        <v>5025</v>
      </c>
      <c r="D26" s="60" t="s">
        <v>48</v>
      </c>
      <c r="E26" s="60" t="s">
        <v>48</v>
      </c>
      <c r="F26" s="60" t="s">
        <v>48</v>
      </c>
      <c r="G26" s="108" t="s">
        <v>48</v>
      </c>
      <c r="H26" s="60" t="s">
        <v>48</v>
      </c>
      <c r="I26" s="60">
        <v>48</v>
      </c>
      <c r="J26" s="479" t="s">
        <v>5026</v>
      </c>
      <c r="K26" s="496">
        <v>1</v>
      </c>
    </row>
    <row r="27" spans="1:11" ht="73.5" customHeight="1">
      <c r="A27" s="1762"/>
      <c r="B27" s="501" t="s">
        <v>5027</v>
      </c>
      <c r="C27" s="267" t="s">
        <v>5028</v>
      </c>
      <c r="D27" s="479" t="s">
        <v>48</v>
      </c>
      <c r="E27" s="479">
        <v>0</v>
      </c>
      <c r="F27" s="479">
        <v>255</v>
      </c>
      <c r="G27" s="495" t="s">
        <v>5029</v>
      </c>
      <c r="H27" s="479">
        <v>255</v>
      </c>
      <c r="I27" s="60">
        <v>8</v>
      </c>
      <c r="J27" s="479" t="s">
        <v>743</v>
      </c>
      <c r="K27" s="496">
        <v>1</v>
      </c>
    </row>
    <row r="28" spans="1:11" ht="27" customHeight="1">
      <c r="A28" s="1762"/>
      <c r="B28" s="501" t="s">
        <v>5030</v>
      </c>
      <c r="C28" s="267" t="s">
        <v>5031</v>
      </c>
      <c r="D28" s="479" t="s">
        <v>48</v>
      </c>
      <c r="E28" s="479" t="s">
        <v>48</v>
      </c>
      <c r="F28" s="479" t="s">
        <v>48</v>
      </c>
      <c r="G28" s="495" t="s">
        <v>48</v>
      </c>
      <c r="H28" s="479" t="s">
        <v>48</v>
      </c>
      <c r="I28" s="479">
        <v>224</v>
      </c>
      <c r="J28" s="479" t="s">
        <v>5032</v>
      </c>
      <c r="K28" s="496">
        <v>1</v>
      </c>
    </row>
    <row r="29" spans="1:11" ht="29.25" customHeight="1">
      <c r="A29" s="1762"/>
      <c r="B29" s="59" t="s">
        <v>5033</v>
      </c>
      <c r="C29" s="267" t="s">
        <v>5034</v>
      </c>
      <c r="D29" s="479" t="s">
        <v>48</v>
      </c>
      <c r="E29" s="479" t="s">
        <v>48</v>
      </c>
      <c r="F29" s="479" t="s">
        <v>48</v>
      </c>
      <c r="G29" s="495" t="s">
        <v>48</v>
      </c>
      <c r="H29" s="479" t="s">
        <v>48</v>
      </c>
      <c r="I29" s="479">
        <v>224</v>
      </c>
      <c r="J29" s="479" t="s">
        <v>5032</v>
      </c>
      <c r="K29" s="496">
        <v>1</v>
      </c>
    </row>
    <row r="30" spans="1:11" ht="33" customHeight="1">
      <c r="A30" s="1762"/>
      <c r="B30" s="59" t="s">
        <v>5035</v>
      </c>
      <c r="C30" s="267" t="s">
        <v>5036</v>
      </c>
      <c r="D30" s="479" t="s">
        <v>48</v>
      </c>
      <c r="E30" s="479">
        <v>0</v>
      </c>
      <c r="F30" s="479">
        <v>1</v>
      </c>
      <c r="G30" s="495" t="s">
        <v>1055</v>
      </c>
      <c r="H30" s="479">
        <v>0</v>
      </c>
      <c r="I30" s="60">
        <v>8</v>
      </c>
      <c r="J30" s="479" t="s">
        <v>1056</v>
      </c>
      <c r="K30" s="496">
        <v>1</v>
      </c>
    </row>
    <row r="31" spans="1:11" ht="41.25" customHeight="1">
      <c r="A31" s="1762"/>
      <c r="B31" s="501" t="s">
        <v>5037</v>
      </c>
      <c r="C31" s="267" t="s">
        <v>5038</v>
      </c>
      <c r="D31" s="479" t="s">
        <v>48</v>
      </c>
      <c r="E31" s="479">
        <v>0</v>
      </c>
      <c r="F31" s="479">
        <v>1</v>
      </c>
      <c r="G31" s="495" t="s">
        <v>1055</v>
      </c>
      <c r="H31" s="479">
        <v>0</v>
      </c>
      <c r="I31" s="60">
        <v>8</v>
      </c>
      <c r="J31" s="479" t="s">
        <v>1056</v>
      </c>
      <c r="K31" s="496">
        <v>1</v>
      </c>
    </row>
    <row r="32" spans="1:11" ht="103.2">
      <c r="A32" s="1758" t="s">
        <v>3870</v>
      </c>
      <c r="B32" s="490" t="s">
        <v>717</v>
      </c>
      <c r="C32" s="503" t="s">
        <v>5039</v>
      </c>
      <c r="D32" s="500" t="s">
        <v>48</v>
      </c>
      <c r="E32" s="500">
        <v>0</v>
      </c>
      <c r="F32" s="500">
        <v>255</v>
      </c>
      <c r="G32" s="505" t="s">
        <v>5040</v>
      </c>
      <c r="H32" s="500">
        <v>255</v>
      </c>
      <c r="I32" s="492">
        <v>8</v>
      </c>
      <c r="J32" s="492" t="s">
        <v>743</v>
      </c>
      <c r="K32" s="494">
        <v>1</v>
      </c>
    </row>
    <row r="33" spans="1:11" ht="90.3">
      <c r="A33" s="1762"/>
      <c r="B33" s="59" t="s">
        <v>4983</v>
      </c>
      <c r="C33" s="268" t="s">
        <v>5041</v>
      </c>
      <c r="D33" s="60" t="s">
        <v>48</v>
      </c>
      <c r="E33" s="60">
        <v>0</v>
      </c>
      <c r="F33" s="60">
        <v>255</v>
      </c>
      <c r="G33" s="108" t="s">
        <v>5042</v>
      </c>
      <c r="H33" s="479">
        <v>255</v>
      </c>
      <c r="I33" s="60">
        <v>8</v>
      </c>
      <c r="J33" s="479" t="s">
        <v>743</v>
      </c>
      <c r="K33" s="496">
        <v>1</v>
      </c>
    </row>
    <row r="34" spans="1:11" ht="31.5" customHeight="1">
      <c r="A34" s="1762"/>
      <c r="B34" s="59" t="s">
        <v>4526</v>
      </c>
      <c r="C34" s="59" t="s">
        <v>5043</v>
      </c>
      <c r="D34" s="60" t="s">
        <v>919</v>
      </c>
      <c r="E34" s="60">
        <v>0</v>
      </c>
      <c r="F34" s="60" t="s">
        <v>920</v>
      </c>
      <c r="G34" s="108" t="s">
        <v>5044</v>
      </c>
      <c r="H34" s="60" t="s">
        <v>920</v>
      </c>
      <c r="I34" s="60">
        <v>32</v>
      </c>
      <c r="J34" s="479" t="s">
        <v>922</v>
      </c>
      <c r="K34" s="496">
        <v>1</v>
      </c>
    </row>
    <row r="35" spans="1:11" ht="31.5" customHeight="1">
      <c r="A35" s="1762"/>
      <c r="B35" s="59" t="s">
        <v>5045</v>
      </c>
      <c r="C35" s="59" t="s">
        <v>5046</v>
      </c>
      <c r="D35" s="60" t="s">
        <v>919</v>
      </c>
      <c r="E35" s="60">
        <v>0</v>
      </c>
      <c r="F35" s="60" t="s">
        <v>920</v>
      </c>
      <c r="G35" s="108" t="s">
        <v>5044</v>
      </c>
      <c r="H35" s="60" t="s">
        <v>920</v>
      </c>
      <c r="I35" s="60">
        <v>32</v>
      </c>
      <c r="J35" s="60" t="s">
        <v>922</v>
      </c>
      <c r="K35" s="496">
        <v>1</v>
      </c>
    </row>
    <row r="36" spans="1:11" ht="30" customHeight="1">
      <c r="A36" s="1760" t="s">
        <v>5026</v>
      </c>
      <c r="B36" s="490" t="s">
        <v>5047</v>
      </c>
      <c r="C36" s="490" t="s">
        <v>5048</v>
      </c>
      <c r="D36" s="492" t="s">
        <v>48</v>
      </c>
      <c r="E36" s="492">
        <v>0</v>
      </c>
      <c r="F36" s="492">
        <v>1</v>
      </c>
      <c r="G36" s="493" t="s">
        <v>1055</v>
      </c>
      <c r="H36" s="492">
        <v>0</v>
      </c>
      <c r="I36" s="492">
        <v>8</v>
      </c>
      <c r="J36" s="492" t="s">
        <v>1056</v>
      </c>
      <c r="K36" s="494">
        <v>1</v>
      </c>
    </row>
    <row r="37" spans="1:11" ht="30" customHeight="1">
      <c r="A37" s="1761"/>
      <c r="B37" s="59" t="s">
        <v>5049</v>
      </c>
      <c r="C37" s="59" t="s">
        <v>5050</v>
      </c>
      <c r="D37" s="60" t="s">
        <v>48</v>
      </c>
      <c r="E37" s="60">
        <v>0</v>
      </c>
      <c r="F37" s="60">
        <v>1</v>
      </c>
      <c r="G37" s="108" t="s">
        <v>1055</v>
      </c>
      <c r="H37" s="60">
        <v>0</v>
      </c>
      <c r="I37" s="60">
        <v>8</v>
      </c>
      <c r="J37" s="479" t="s">
        <v>1056</v>
      </c>
      <c r="K37" s="496">
        <v>1</v>
      </c>
    </row>
    <row r="38" spans="1:11" ht="57.75" customHeight="1">
      <c r="A38" s="1761"/>
      <c r="B38" s="59" t="s">
        <v>5051</v>
      </c>
      <c r="C38" s="59" t="s">
        <v>5052</v>
      </c>
      <c r="D38" s="60" t="s">
        <v>48</v>
      </c>
      <c r="E38" s="60">
        <v>0</v>
      </c>
      <c r="F38" s="60">
        <v>1</v>
      </c>
      <c r="G38" s="108" t="s">
        <v>1055</v>
      </c>
      <c r="H38" s="60">
        <v>0</v>
      </c>
      <c r="I38" s="60">
        <v>8</v>
      </c>
      <c r="J38" s="479" t="s">
        <v>1056</v>
      </c>
      <c r="K38" s="496">
        <v>1</v>
      </c>
    </row>
    <row r="39" spans="1:11" ht="25.8">
      <c r="A39" s="1761"/>
      <c r="B39" s="59" t="s">
        <v>5053</v>
      </c>
      <c r="C39" s="59" t="s">
        <v>5054</v>
      </c>
      <c r="D39" s="60" t="s">
        <v>48</v>
      </c>
      <c r="E39" s="60">
        <v>0</v>
      </c>
      <c r="F39" s="60">
        <v>1</v>
      </c>
      <c r="G39" s="108" t="s">
        <v>1055</v>
      </c>
      <c r="H39" s="60">
        <v>0</v>
      </c>
      <c r="I39" s="60">
        <v>8</v>
      </c>
      <c r="J39" s="479" t="s">
        <v>1056</v>
      </c>
      <c r="K39" s="496">
        <v>1</v>
      </c>
    </row>
    <row r="40" spans="1:11" ht="27.75" customHeight="1">
      <c r="A40" s="1761"/>
      <c r="B40" s="59" t="s">
        <v>5055</v>
      </c>
      <c r="C40" s="59" t="s">
        <v>5056</v>
      </c>
      <c r="D40" s="60" t="s">
        <v>48</v>
      </c>
      <c r="E40" s="60">
        <v>0</v>
      </c>
      <c r="F40" s="60">
        <v>1</v>
      </c>
      <c r="G40" s="108" t="s">
        <v>1055</v>
      </c>
      <c r="H40" s="60">
        <v>0</v>
      </c>
      <c r="I40" s="60">
        <v>8</v>
      </c>
      <c r="J40" s="479" t="s">
        <v>1056</v>
      </c>
      <c r="K40" s="496">
        <v>1</v>
      </c>
    </row>
    <row r="41" spans="1:11" ht="27.75" customHeight="1">
      <c r="A41" s="1761"/>
      <c r="B41" s="59" t="s">
        <v>5057</v>
      </c>
      <c r="C41" s="59" t="s">
        <v>5058</v>
      </c>
      <c r="D41" s="60" t="s">
        <v>48</v>
      </c>
      <c r="E41" s="60">
        <v>0</v>
      </c>
      <c r="F41" s="60">
        <v>1</v>
      </c>
      <c r="G41" s="108" t="s">
        <v>1055</v>
      </c>
      <c r="H41" s="60">
        <v>0</v>
      </c>
      <c r="I41" s="60">
        <v>8</v>
      </c>
      <c r="J41" s="479" t="s">
        <v>1056</v>
      </c>
      <c r="K41" s="496">
        <v>1</v>
      </c>
    </row>
    <row r="42" spans="1:11">
      <c r="A42" s="1758" t="s">
        <v>5032</v>
      </c>
      <c r="B42" s="490" t="s">
        <v>5059</v>
      </c>
      <c r="C42" s="499" t="s">
        <v>5060</v>
      </c>
      <c r="D42" s="500" t="s">
        <v>48</v>
      </c>
      <c r="E42" s="500" t="s">
        <v>48</v>
      </c>
      <c r="F42" s="500" t="s">
        <v>48</v>
      </c>
      <c r="G42" s="505" t="s">
        <v>48</v>
      </c>
      <c r="H42" s="500" t="s">
        <v>48</v>
      </c>
      <c r="I42" s="500">
        <v>192</v>
      </c>
      <c r="J42" s="500" t="s">
        <v>3738</v>
      </c>
      <c r="K42" s="494">
        <v>1</v>
      </c>
    </row>
    <row r="43" spans="1:11" ht="25.8">
      <c r="A43" s="1759"/>
      <c r="B43" s="507" t="s">
        <v>5061</v>
      </c>
      <c r="C43" s="508" t="s">
        <v>5062</v>
      </c>
      <c r="D43" s="190" t="s">
        <v>919</v>
      </c>
      <c r="E43" s="190">
        <v>0</v>
      </c>
      <c r="F43" s="190" t="s">
        <v>920</v>
      </c>
      <c r="G43" s="506" t="s">
        <v>5012</v>
      </c>
      <c r="H43" s="190" t="s">
        <v>920</v>
      </c>
      <c r="I43" s="190">
        <v>32</v>
      </c>
      <c r="J43" s="190" t="s">
        <v>922</v>
      </c>
      <c r="K43" s="27">
        <v>1</v>
      </c>
    </row>
    <row r="44" spans="1:11">
      <c r="A44" s="74"/>
      <c r="B44" s="59"/>
    </row>
    <row r="45" spans="1:11">
      <c r="A45" s="74"/>
    </row>
  </sheetData>
  <autoFilter ref="A3:K3" xr:uid="{6EDD7F16-77E3-45B3-AA84-D1D674954CC3}"/>
  <mergeCells count="8">
    <mergeCell ref="D1:E1"/>
    <mergeCell ref="B1:C1"/>
    <mergeCell ref="A42:A43"/>
    <mergeCell ref="A4:A14"/>
    <mergeCell ref="A15:A20"/>
    <mergeCell ref="A21:A31"/>
    <mergeCell ref="A36:A41"/>
    <mergeCell ref="A32:A35"/>
  </mergeCells>
  <phoneticPr fontId="55" type="noConversion"/>
  <hyperlinks>
    <hyperlink ref="G1" location="AVI_Lanes_Host!A1" display="AVI_Lanes_Host" xr:uid="{5BE4C5A6-EFBE-46CC-85A8-64E71096F53D}"/>
    <hyperlink ref="H1" location="AVI_Lanes_Adjacent!A1" display="AVI_Lanes_Adjacent" xr:uid="{9A07E788-9C0C-4DE9-9897-51AFEE66C6CB}"/>
    <hyperlink ref="I1" location="AVI_Lanes_Applications!A1" display="AVI_Lanes_Applications" xr:uid="{F87C9D21-622A-47E2-8F3F-AB79D8364D3A}"/>
    <hyperlink ref="J1" location="AVI_Lanes_Road_Edge!A1" display="AVI_Lanes_Road_Edge" xr:uid="{607D33E3-79A9-486D-845A-5936564FDB93}"/>
  </hyperlinks>
  <pageMargins left="0.7" right="0.7" top="0.75" bottom="0.75" header="0.3" footer="0.3"/>
  <pageSetup paperSize="9" orientation="portrait" r:id="rId1"/>
  <headerFooter>
    <oddFooter>&amp;C_x000D_&amp;1#&amp;"Calibri"&amp;11&amp;KFF0000 Internal</oddFooter>
  </headerFooter>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05043-B5E2-4136-8B3A-A94DF91061FD}">
  <sheetPr codeName="Sheet43"/>
  <dimension ref="A1:E41"/>
  <sheetViews>
    <sheetView zoomScaleNormal="100" workbookViewId="0">
      <pane ySplit="1" topLeftCell="A30" activePane="bottomLeft" state="frozen"/>
      <selection activeCell="C22" activeCellId="1" sqref="A1:AS1 C22"/>
      <selection pane="bottomLeft" activeCell="B37" sqref="B37"/>
    </sheetView>
  </sheetViews>
  <sheetFormatPr defaultColWidth="9.15625" defaultRowHeight="14.4"/>
  <cols>
    <col min="1" max="1" width="11" style="1014" bestFit="1" customWidth="1"/>
    <col min="2" max="2" width="9.83984375" style="40" bestFit="1" customWidth="1"/>
    <col min="3" max="3" width="50.26171875" style="2" bestFit="1" customWidth="1"/>
    <col min="4" max="4" width="17.578125" bestFit="1" customWidth="1"/>
    <col min="5" max="5" width="11.578125" customWidth="1"/>
  </cols>
  <sheetData>
    <row r="1" spans="1:5">
      <c r="A1" s="1017" t="s">
        <v>644</v>
      </c>
      <c r="B1" s="660" t="s">
        <v>645</v>
      </c>
      <c r="C1" s="661" t="s">
        <v>646</v>
      </c>
      <c r="D1" s="643" t="s">
        <v>647</v>
      </c>
      <c r="E1" s="644" t="s">
        <v>793</v>
      </c>
    </row>
    <row r="2" spans="1:5" ht="18.600000000000001" customHeight="1">
      <c r="A2" s="629">
        <v>0.1</v>
      </c>
      <c r="B2" s="188">
        <v>44687</v>
      </c>
      <c r="C2" s="584" t="s">
        <v>4797</v>
      </c>
      <c r="D2" s="585" t="s">
        <v>654</v>
      </c>
      <c r="E2" s="586" t="s">
        <v>655</v>
      </c>
    </row>
    <row r="3" spans="1:5" ht="100.8">
      <c r="A3" s="1010">
        <v>0.2</v>
      </c>
      <c r="B3" s="51">
        <v>44693</v>
      </c>
      <c r="C3" s="576" t="s">
        <v>5063</v>
      </c>
      <c r="D3" s="5"/>
      <c r="E3" s="5"/>
    </row>
    <row r="4" spans="1:5" ht="15" customHeight="1">
      <c r="A4" s="1010">
        <v>0.2</v>
      </c>
      <c r="B4" s="51">
        <v>44693</v>
      </c>
      <c r="C4" s="576" t="s">
        <v>3686</v>
      </c>
      <c r="D4" s="5" t="s">
        <v>658</v>
      </c>
      <c r="E4" s="586" t="s">
        <v>655</v>
      </c>
    </row>
    <row r="5" spans="1:5" ht="28.8">
      <c r="A5" s="1010">
        <v>0.3</v>
      </c>
      <c r="B5" s="51">
        <v>44694</v>
      </c>
      <c r="C5" s="576" t="s">
        <v>5064</v>
      </c>
      <c r="D5" s="653" t="s">
        <v>654</v>
      </c>
      <c r="E5" s="5" t="s">
        <v>655</v>
      </c>
    </row>
    <row r="6" spans="1:5" ht="15.6" customHeight="1">
      <c r="A6" s="1010">
        <v>0.4</v>
      </c>
      <c r="B6" s="51">
        <v>44705</v>
      </c>
      <c r="C6" s="576" t="s">
        <v>5065</v>
      </c>
      <c r="D6" s="653" t="s">
        <v>654</v>
      </c>
      <c r="E6" s="5" t="s">
        <v>655</v>
      </c>
    </row>
    <row r="7" spans="1:5">
      <c r="A7" s="1010">
        <v>0.5</v>
      </c>
      <c r="B7" s="51">
        <v>44706</v>
      </c>
      <c r="C7" s="576" t="s">
        <v>5066</v>
      </c>
      <c r="D7" s="653" t="s">
        <v>654</v>
      </c>
      <c r="E7" s="5" t="s">
        <v>655</v>
      </c>
    </row>
    <row r="8" spans="1:5">
      <c r="A8" s="1010">
        <v>0.5</v>
      </c>
      <c r="B8" s="51">
        <v>44712</v>
      </c>
      <c r="C8" s="576" t="s">
        <v>1352</v>
      </c>
      <c r="D8" s="653" t="s">
        <v>796</v>
      </c>
      <c r="E8" s="5" t="s">
        <v>655</v>
      </c>
    </row>
    <row r="9" spans="1:5">
      <c r="A9" s="1010">
        <v>0.6</v>
      </c>
      <c r="B9" s="51">
        <v>44713</v>
      </c>
      <c r="C9" s="576" t="s">
        <v>5067</v>
      </c>
      <c r="D9" s="653" t="s">
        <v>654</v>
      </c>
      <c r="E9" s="5" t="s">
        <v>655</v>
      </c>
    </row>
    <row r="10" spans="1:5" ht="17.5" customHeight="1">
      <c r="A10" s="1010">
        <v>1</v>
      </c>
      <c r="B10" s="51">
        <v>44713</v>
      </c>
      <c r="C10" s="576"/>
      <c r="D10" s="653" t="s">
        <v>654</v>
      </c>
      <c r="E10" s="5" t="s">
        <v>651</v>
      </c>
    </row>
    <row r="11" spans="1:5" ht="16.899999999999999" customHeight="1">
      <c r="A11" s="1010">
        <v>1</v>
      </c>
      <c r="B11" s="51">
        <v>44719</v>
      </c>
      <c r="C11" s="576" t="s">
        <v>660</v>
      </c>
      <c r="D11" s="653" t="s">
        <v>654</v>
      </c>
      <c r="E11" s="5" t="s">
        <v>661</v>
      </c>
    </row>
    <row r="12" spans="1:5" ht="16.899999999999999" customHeight="1">
      <c r="A12" s="1010">
        <v>1.1000000000000001</v>
      </c>
      <c r="B12" s="51">
        <v>44727</v>
      </c>
      <c r="C12" s="576" t="s">
        <v>5068</v>
      </c>
      <c r="D12" s="653" t="s">
        <v>654</v>
      </c>
      <c r="E12" s="5" t="s">
        <v>655</v>
      </c>
    </row>
    <row r="13" spans="1:5" ht="15" customHeight="1">
      <c r="A13" s="1010">
        <v>1.1000000000000001</v>
      </c>
      <c r="B13" s="51">
        <v>44728</v>
      </c>
      <c r="C13" s="576" t="s">
        <v>1434</v>
      </c>
      <c r="D13" s="5" t="s">
        <v>658</v>
      </c>
      <c r="E13" s="5" t="s">
        <v>655</v>
      </c>
    </row>
    <row r="14" spans="1:5" ht="15.75" customHeight="1">
      <c r="A14" s="1010">
        <v>2</v>
      </c>
      <c r="B14" s="51">
        <v>44728</v>
      </c>
      <c r="C14" s="576" t="s">
        <v>4970</v>
      </c>
      <c r="D14" s="5" t="s">
        <v>654</v>
      </c>
      <c r="E14" s="5" t="s">
        <v>651</v>
      </c>
    </row>
    <row r="15" spans="1:5" ht="28.8">
      <c r="A15" s="1010">
        <v>2.1</v>
      </c>
      <c r="B15" s="51">
        <v>44741</v>
      </c>
      <c r="C15" s="576" t="s">
        <v>5069</v>
      </c>
      <c r="D15" s="5" t="s">
        <v>654</v>
      </c>
      <c r="E15" s="5" t="s">
        <v>655</v>
      </c>
    </row>
    <row r="16" spans="1:5" ht="15.75" customHeight="1">
      <c r="A16" s="1010">
        <v>2.1</v>
      </c>
      <c r="B16" s="51">
        <v>44741</v>
      </c>
      <c r="C16" s="576" t="s">
        <v>1434</v>
      </c>
      <c r="D16" s="5" t="s">
        <v>658</v>
      </c>
      <c r="E16" s="5" t="s">
        <v>655</v>
      </c>
    </row>
    <row r="17" spans="1:5" ht="16.5" customHeight="1">
      <c r="A17" s="1010">
        <v>3</v>
      </c>
      <c r="B17" s="51">
        <v>44741</v>
      </c>
      <c r="C17" s="576" t="s">
        <v>4970</v>
      </c>
      <c r="D17" s="5" t="s">
        <v>654</v>
      </c>
      <c r="E17" s="5" t="s">
        <v>651</v>
      </c>
    </row>
    <row r="18" spans="1:5" ht="20.25" customHeight="1">
      <c r="A18" s="1010">
        <v>3</v>
      </c>
      <c r="B18" s="51">
        <v>44742</v>
      </c>
      <c r="C18" s="576" t="s">
        <v>667</v>
      </c>
      <c r="D18" s="5" t="s">
        <v>654</v>
      </c>
      <c r="E18" s="5" t="s">
        <v>661</v>
      </c>
    </row>
    <row r="19" spans="1:5" ht="28.8">
      <c r="A19" s="1010">
        <v>3.1</v>
      </c>
      <c r="B19" s="51">
        <v>44753</v>
      </c>
      <c r="C19" s="576" t="s">
        <v>5070</v>
      </c>
      <c r="D19" s="5" t="s">
        <v>796</v>
      </c>
      <c r="E19" s="5" t="s">
        <v>655</v>
      </c>
    </row>
    <row r="20" spans="1:5" ht="72">
      <c r="A20" s="1010">
        <v>3.2</v>
      </c>
      <c r="B20" s="51">
        <v>44889</v>
      </c>
      <c r="C20" s="576" t="s">
        <v>5071</v>
      </c>
      <c r="D20" s="5" t="s">
        <v>654</v>
      </c>
      <c r="E20" s="5" t="s">
        <v>655</v>
      </c>
    </row>
    <row r="21" spans="1:5" ht="14.5" customHeight="1">
      <c r="A21" s="1010">
        <v>3.3</v>
      </c>
      <c r="B21" s="51">
        <v>44895</v>
      </c>
      <c r="C21" s="5" t="s">
        <v>4333</v>
      </c>
      <c r="D21" s="5" t="s">
        <v>683</v>
      </c>
      <c r="E21" s="5" t="s">
        <v>655</v>
      </c>
    </row>
    <row r="22" spans="1:5" ht="13.15" customHeight="1">
      <c r="A22" s="1010">
        <v>3.4</v>
      </c>
      <c r="B22" s="51">
        <v>44897</v>
      </c>
      <c r="C22" s="576" t="s">
        <v>4645</v>
      </c>
      <c r="D22" s="5" t="s">
        <v>683</v>
      </c>
      <c r="E22" s="5" t="s">
        <v>655</v>
      </c>
    </row>
    <row r="23" spans="1:5" ht="57.6">
      <c r="A23" s="1010">
        <v>3.4</v>
      </c>
      <c r="B23" s="51">
        <v>44901</v>
      </c>
      <c r="C23" s="576" t="s">
        <v>5072</v>
      </c>
      <c r="D23" s="5" t="s">
        <v>683</v>
      </c>
      <c r="E23" s="5" t="s">
        <v>655</v>
      </c>
    </row>
    <row r="24" spans="1:5" ht="13.15" customHeight="1">
      <c r="A24" s="1010">
        <v>3.4</v>
      </c>
      <c r="B24" s="51">
        <v>44902</v>
      </c>
      <c r="C24" s="576" t="s">
        <v>5073</v>
      </c>
      <c r="D24" s="5" t="s">
        <v>676</v>
      </c>
      <c r="E24" s="5" t="s">
        <v>655</v>
      </c>
    </row>
    <row r="25" spans="1:5" ht="39" customHeight="1">
      <c r="A25" s="1010">
        <v>3.5</v>
      </c>
      <c r="B25" s="51">
        <v>44904</v>
      </c>
      <c r="C25" s="576" t="s">
        <v>5074</v>
      </c>
      <c r="D25" s="5" t="s">
        <v>676</v>
      </c>
      <c r="E25" s="5" t="s">
        <v>655</v>
      </c>
    </row>
    <row r="26" spans="1:5" ht="14.5" customHeight="1">
      <c r="A26" s="1010">
        <v>3.6</v>
      </c>
      <c r="B26" s="51">
        <v>44916</v>
      </c>
      <c r="C26" s="576" t="s">
        <v>5075</v>
      </c>
      <c r="D26" s="5" t="s">
        <v>796</v>
      </c>
      <c r="E26" s="5" t="s">
        <v>655</v>
      </c>
    </row>
    <row r="27" spans="1:5" ht="17.5" customHeight="1">
      <c r="A27" s="1010">
        <v>3.6</v>
      </c>
      <c r="B27" s="51">
        <v>44946</v>
      </c>
      <c r="C27" s="576" t="s">
        <v>3809</v>
      </c>
      <c r="D27" s="5" t="s">
        <v>676</v>
      </c>
      <c r="E27" s="5" t="s">
        <v>655</v>
      </c>
    </row>
    <row r="28" spans="1:5" ht="43.2">
      <c r="A28" s="1010">
        <v>3.7</v>
      </c>
      <c r="B28" s="51">
        <v>44949</v>
      </c>
      <c r="C28" s="576" t="s">
        <v>5076</v>
      </c>
      <c r="D28" s="5" t="s">
        <v>5077</v>
      </c>
      <c r="E28" s="5" t="s">
        <v>655</v>
      </c>
    </row>
    <row r="29" spans="1:5" ht="15.75" customHeight="1">
      <c r="A29" s="1010">
        <v>3.7</v>
      </c>
      <c r="B29" s="51">
        <v>44950</v>
      </c>
      <c r="C29" s="576" t="s">
        <v>5078</v>
      </c>
      <c r="D29" s="5" t="s">
        <v>678</v>
      </c>
      <c r="E29" s="5" t="s">
        <v>655</v>
      </c>
    </row>
    <row r="30" spans="1:5" ht="13.15" customHeight="1">
      <c r="A30" s="1010">
        <v>3.8</v>
      </c>
      <c r="B30" s="51">
        <v>44956</v>
      </c>
      <c r="C30" s="5" t="s">
        <v>4871</v>
      </c>
      <c r="D30" s="5" t="s">
        <v>658</v>
      </c>
      <c r="E30" s="5" t="s">
        <v>655</v>
      </c>
    </row>
    <row r="31" spans="1:5" ht="12" customHeight="1">
      <c r="A31" s="1010">
        <v>4</v>
      </c>
      <c r="B31" s="51">
        <v>44956</v>
      </c>
      <c r="C31" s="576" t="s">
        <v>4970</v>
      </c>
      <c r="D31" s="5" t="s">
        <v>658</v>
      </c>
      <c r="E31" s="5" t="s">
        <v>651</v>
      </c>
    </row>
    <row r="32" spans="1:5" ht="13.15" customHeight="1">
      <c r="A32" s="1010">
        <v>4</v>
      </c>
      <c r="B32" s="51">
        <v>44957</v>
      </c>
      <c r="C32" s="5" t="s">
        <v>687</v>
      </c>
      <c r="D32" s="5" t="s">
        <v>676</v>
      </c>
      <c r="E32" s="5" t="s">
        <v>661</v>
      </c>
    </row>
    <row r="33" spans="1:5" ht="15" customHeight="1">
      <c r="A33" s="1010">
        <v>4</v>
      </c>
      <c r="B33" s="51">
        <v>44970</v>
      </c>
      <c r="C33" s="576" t="s">
        <v>691</v>
      </c>
      <c r="D33" s="5" t="s">
        <v>676</v>
      </c>
      <c r="E33" s="5" t="s">
        <v>661</v>
      </c>
    </row>
    <row r="34" spans="1:5" ht="18.600000000000001" customHeight="1">
      <c r="A34" s="1010">
        <v>4</v>
      </c>
      <c r="B34" s="191">
        <v>44998</v>
      </c>
      <c r="C34" s="2" t="s">
        <v>692</v>
      </c>
      <c r="D34" s="5" t="s">
        <v>678</v>
      </c>
      <c r="E34" s="5" t="s">
        <v>661</v>
      </c>
    </row>
    <row r="35" spans="1:5" ht="16.149999999999999" customHeight="1">
      <c r="A35" s="1010" t="s">
        <v>686</v>
      </c>
      <c r="B35" s="191">
        <v>45078</v>
      </c>
      <c r="C35" s="5" t="s">
        <v>699</v>
      </c>
      <c r="D35" s="5" t="s">
        <v>678</v>
      </c>
      <c r="E35" s="5" t="s">
        <v>661</v>
      </c>
    </row>
    <row r="36" spans="1:5">
      <c r="A36" s="1012" t="s">
        <v>686</v>
      </c>
      <c r="B36" s="191">
        <v>45097</v>
      </c>
      <c r="C36" s="576" t="s">
        <v>700</v>
      </c>
      <c r="D36" s="5" t="s">
        <v>678</v>
      </c>
      <c r="E36" s="5" t="s">
        <v>661</v>
      </c>
    </row>
    <row r="37" spans="1:5">
      <c r="A37" s="1012" t="s">
        <v>686</v>
      </c>
      <c r="B37" s="1065">
        <v>45205</v>
      </c>
      <c r="C37" s="595" t="s">
        <v>701</v>
      </c>
      <c r="D37" s="595" t="s">
        <v>678</v>
      </c>
      <c r="E37" s="596" t="s">
        <v>661</v>
      </c>
    </row>
    <row r="38" spans="1:5" ht="18" customHeight="1"/>
    <row r="39" spans="1:5" ht="16.149999999999999" customHeight="1"/>
    <row r="41" spans="1:5" ht="15" customHeight="1"/>
  </sheetData>
  <phoneticPr fontId="55" type="noConversion"/>
  <pageMargins left="0.7" right="0.7" top="0.75" bottom="0.75" header="0.3" footer="0.3"/>
  <pageSetup paperSize="9" orientation="portrait" r:id="rId1"/>
  <headerFooter>
    <oddFooter>&amp;C_x000D_&amp;1#&amp;"Calibri"&amp;11&amp;KFF0000 Internal</oddFooter>
  </headerFooter>
  <tableParts count="1">
    <tablePart r:id="rId2"/>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60E39-D6A4-4F3B-8B8A-C411CB28272F}">
  <sheetPr codeName="Sheet58"/>
  <dimension ref="A1:K36"/>
  <sheetViews>
    <sheetView workbookViewId="0">
      <pane ySplit="3" topLeftCell="A27" activePane="bottomLeft" state="frozen"/>
      <selection activeCell="C22" activeCellId="1" sqref="A1:AS1 C22"/>
      <selection pane="bottomLeft" activeCell="B30" sqref="B30"/>
    </sheetView>
  </sheetViews>
  <sheetFormatPr defaultColWidth="9.15625" defaultRowHeight="14.4"/>
  <cols>
    <col min="1" max="1" width="33.578125" customWidth="1"/>
    <col min="2" max="2" width="29" customWidth="1"/>
    <col min="3" max="3" width="32.578125" style="2" customWidth="1"/>
    <col min="7" max="7" width="21.83984375" customWidth="1"/>
    <col min="9" max="9" width="24.68359375" bestFit="1" customWidth="1"/>
    <col min="10" max="10" width="26.26171875" bestFit="1" customWidth="1"/>
    <col min="11" max="11" width="17" customWidth="1"/>
  </cols>
  <sheetData>
    <row r="1" spans="1:11">
      <c r="A1" s="452" t="s">
        <v>4509</v>
      </c>
      <c r="B1" s="1744" t="s">
        <v>3178</v>
      </c>
      <c r="C1" s="1745"/>
      <c r="D1" s="1746" t="s">
        <v>106</v>
      </c>
      <c r="E1" s="1747"/>
      <c r="F1" s="453">
        <v>3</v>
      </c>
      <c r="G1" s="525"/>
      <c r="H1" s="540" t="s">
        <v>85</v>
      </c>
      <c r="I1" s="540" t="s">
        <v>86</v>
      </c>
      <c r="J1" s="455" t="s">
        <v>87</v>
      </c>
      <c r="K1" s="456"/>
    </row>
    <row r="2" spans="1:11">
      <c r="A2" s="457"/>
      <c r="B2" s="447"/>
      <c r="C2" s="447"/>
      <c r="D2" s="447"/>
      <c r="E2" s="447"/>
      <c r="F2" s="447"/>
      <c r="G2" s="449"/>
      <c r="H2" s="447"/>
      <c r="I2" s="447"/>
      <c r="J2" s="447"/>
      <c r="K2" s="458"/>
    </row>
    <row r="3" spans="1:11" ht="28.8">
      <c r="A3" s="463" t="s">
        <v>4510</v>
      </c>
      <c r="B3" s="464" t="s">
        <v>4511</v>
      </c>
      <c r="C3" s="544" t="s">
        <v>710</v>
      </c>
      <c r="D3" s="465" t="s">
        <v>711</v>
      </c>
      <c r="E3" s="465" t="s">
        <v>712</v>
      </c>
      <c r="F3" s="465" t="s">
        <v>713</v>
      </c>
      <c r="G3" s="466" t="s">
        <v>714</v>
      </c>
      <c r="H3" s="467" t="s">
        <v>715</v>
      </c>
      <c r="I3" s="465" t="s">
        <v>716</v>
      </c>
      <c r="J3" s="468" t="s">
        <v>717</v>
      </c>
      <c r="K3" s="523" t="s">
        <v>4512</v>
      </c>
    </row>
    <row r="4" spans="1:11" ht="25.8">
      <c r="A4" s="1741" t="s">
        <v>3195</v>
      </c>
      <c r="B4" s="459" t="s">
        <v>5079</v>
      </c>
      <c r="C4" s="460" t="s">
        <v>5080</v>
      </c>
      <c r="D4" s="461" t="s">
        <v>48</v>
      </c>
      <c r="E4" s="461">
        <v>0</v>
      </c>
      <c r="F4" s="461">
        <v>1</v>
      </c>
      <c r="G4" s="459" t="s">
        <v>1055</v>
      </c>
      <c r="H4" s="461">
        <v>0</v>
      </c>
      <c r="I4" s="461">
        <v>8</v>
      </c>
      <c r="J4" s="461" t="s">
        <v>1056</v>
      </c>
      <c r="K4" s="475">
        <v>1</v>
      </c>
    </row>
    <row r="5" spans="1:11" ht="25.8">
      <c r="A5" s="1742"/>
      <c r="B5" s="59" t="s">
        <v>5081</v>
      </c>
      <c r="C5" s="268" t="s">
        <v>5082</v>
      </c>
      <c r="D5" s="60" t="s">
        <v>48</v>
      </c>
      <c r="E5" s="60">
        <v>0</v>
      </c>
      <c r="F5" s="60">
        <v>1</v>
      </c>
      <c r="G5" s="59" t="s">
        <v>1055</v>
      </c>
      <c r="H5" s="60">
        <v>0</v>
      </c>
      <c r="I5" s="60">
        <v>8</v>
      </c>
      <c r="J5" s="60" t="s">
        <v>1056</v>
      </c>
      <c r="K5" s="476">
        <v>1</v>
      </c>
    </row>
    <row r="6" spans="1:11" ht="25.8">
      <c r="A6" s="1742"/>
      <c r="B6" s="59" t="s">
        <v>5083</v>
      </c>
      <c r="C6" s="268" t="s">
        <v>5084</v>
      </c>
      <c r="D6" s="60" t="s">
        <v>48</v>
      </c>
      <c r="E6" s="60">
        <v>0</v>
      </c>
      <c r="F6" s="60">
        <v>1</v>
      </c>
      <c r="G6" s="59" t="s">
        <v>1055</v>
      </c>
      <c r="H6" s="60">
        <v>0</v>
      </c>
      <c r="I6" s="60">
        <v>8</v>
      </c>
      <c r="J6" s="60" t="s">
        <v>1056</v>
      </c>
      <c r="K6" s="476">
        <v>1</v>
      </c>
    </row>
    <row r="7" spans="1:11" ht="25.8">
      <c r="A7" s="1742"/>
      <c r="B7" s="59" t="s">
        <v>5085</v>
      </c>
      <c r="C7" s="268" t="s">
        <v>5086</v>
      </c>
      <c r="D7" s="60" t="s">
        <v>48</v>
      </c>
      <c r="E7" s="60">
        <v>0</v>
      </c>
      <c r="F7" s="60">
        <v>1</v>
      </c>
      <c r="G7" s="59" t="s">
        <v>1055</v>
      </c>
      <c r="H7" s="60">
        <v>0</v>
      </c>
      <c r="I7" s="60">
        <v>8</v>
      </c>
      <c r="J7" s="60" t="s">
        <v>1056</v>
      </c>
      <c r="K7" s="476">
        <v>1</v>
      </c>
    </row>
    <row r="8" spans="1:11" ht="25.8">
      <c r="A8" s="1742"/>
      <c r="B8" s="59" t="s">
        <v>5087</v>
      </c>
      <c r="C8" s="268" t="s">
        <v>5088</v>
      </c>
      <c r="D8" s="60" t="s">
        <v>48</v>
      </c>
      <c r="E8" s="60">
        <v>0</v>
      </c>
      <c r="F8" s="60">
        <v>1</v>
      </c>
      <c r="G8" s="59" t="s">
        <v>1055</v>
      </c>
      <c r="H8" s="60">
        <v>0</v>
      </c>
      <c r="I8" s="60">
        <v>8</v>
      </c>
      <c r="J8" s="60" t="s">
        <v>1056</v>
      </c>
      <c r="K8" s="476">
        <v>1</v>
      </c>
    </row>
    <row r="9" spans="1:11" ht="25.8">
      <c r="A9" s="1742"/>
      <c r="B9" s="59" t="s">
        <v>5089</v>
      </c>
      <c r="C9" s="268" t="s">
        <v>5090</v>
      </c>
      <c r="D9" s="60" t="s">
        <v>48</v>
      </c>
      <c r="E9" s="60">
        <v>0</v>
      </c>
      <c r="F9" s="60">
        <v>1</v>
      </c>
      <c r="G9" s="59" t="s">
        <v>1055</v>
      </c>
      <c r="H9" s="60">
        <v>0</v>
      </c>
      <c r="I9" s="60">
        <v>8</v>
      </c>
      <c r="J9" s="60" t="s">
        <v>1056</v>
      </c>
      <c r="K9" s="476">
        <v>1</v>
      </c>
    </row>
    <row r="10" spans="1:11" ht="25.8">
      <c r="A10" s="1742"/>
      <c r="B10" s="59" t="s">
        <v>5091</v>
      </c>
      <c r="C10" s="267" t="s">
        <v>5092</v>
      </c>
      <c r="D10" s="60" t="s">
        <v>48</v>
      </c>
      <c r="E10" s="60">
        <v>0</v>
      </c>
      <c r="F10" s="60">
        <v>1</v>
      </c>
      <c r="G10" s="59" t="s">
        <v>1055</v>
      </c>
      <c r="H10" s="60">
        <v>0</v>
      </c>
      <c r="I10" s="60">
        <v>8</v>
      </c>
      <c r="J10" s="60" t="s">
        <v>1056</v>
      </c>
      <c r="K10" s="476">
        <v>1</v>
      </c>
    </row>
    <row r="11" spans="1:11" ht="25.8">
      <c r="A11" s="1742"/>
      <c r="B11" s="59" t="s">
        <v>5093</v>
      </c>
      <c r="C11" s="268" t="s">
        <v>5094</v>
      </c>
      <c r="D11" s="60" t="s">
        <v>48</v>
      </c>
      <c r="E11" s="60">
        <v>0</v>
      </c>
      <c r="F11" s="60">
        <v>1</v>
      </c>
      <c r="G11" s="59" t="s">
        <v>1055</v>
      </c>
      <c r="H11" s="60">
        <v>0</v>
      </c>
      <c r="I11" s="60">
        <v>8</v>
      </c>
      <c r="J11" s="60" t="s">
        <v>1056</v>
      </c>
      <c r="K11" s="476">
        <v>1</v>
      </c>
    </row>
    <row r="12" spans="1:11" ht="25.8">
      <c r="A12" s="1742"/>
      <c r="B12" s="59" t="s">
        <v>5095</v>
      </c>
      <c r="C12" s="268" t="s">
        <v>5096</v>
      </c>
      <c r="D12" s="60" t="s">
        <v>48</v>
      </c>
      <c r="E12" s="60">
        <v>0</v>
      </c>
      <c r="F12" s="60">
        <v>1</v>
      </c>
      <c r="G12" s="59" t="s">
        <v>1055</v>
      </c>
      <c r="H12" s="60">
        <v>0</v>
      </c>
      <c r="I12" s="60">
        <v>8</v>
      </c>
      <c r="J12" s="60" t="s">
        <v>1056</v>
      </c>
      <c r="K12" s="476">
        <v>1</v>
      </c>
    </row>
    <row r="13" spans="1:11" ht="25.8">
      <c r="A13" s="1742"/>
      <c r="B13" s="59" t="s">
        <v>5097</v>
      </c>
      <c r="C13" s="269" t="s">
        <v>5098</v>
      </c>
      <c r="D13" s="60" t="s">
        <v>48</v>
      </c>
      <c r="E13" s="60">
        <v>0</v>
      </c>
      <c r="F13" s="60">
        <v>1</v>
      </c>
      <c r="G13" s="59" t="s">
        <v>1055</v>
      </c>
      <c r="H13" s="60">
        <v>0</v>
      </c>
      <c r="I13" s="60">
        <v>8</v>
      </c>
      <c r="J13" s="60" t="s">
        <v>1056</v>
      </c>
      <c r="K13" s="476">
        <v>1</v>
      </c>
    </row>
    <row r="14" spans="1:11" ht="38.700000000000003">
      <c r="A14" s="1742"/>
      <c r="B14" s="59" t="s">
        <v>5099</v>
      </c>
      <c r="C14" s="269" t="s">
        <v>5100</v>
      </c>
      <c r="D14" s="60" t="s">
        <v>48</v>
      </c>
      <c r="E14" s="60">
        <v>0</v>
      </c>
      <c r="F14" s="60">
        <v>1</v>
      </c>
      <c r="G14" s="59" t="s">
        <v>1055</v>
      </c>
      <c r="H14" s="60">
        <v>0</v>
      </c>
      <c r="I14" s="60">
        <v>8</v>
      </c>
      <c r="J14" s="60" t="s">
        <v>1056</v>
      </c>
      <c r="K14" s="476">
        <v>1</v>
      </c>
    </row>
    <row r="15" spans="1:11" ht="38.700000000000003">
      <c r="A15" s="1742"/>
      <c r="B15" s="59" t="s">
        <v>5101</v>
      </c>
      <c r="C15" s="269" t="s">
        <v>5102</v>
      </c>
      <c r="D15" s="60" t="s">
        <v>48</v>
      </c>
      <c r="E15" s="60">
        <v>0</v>
      </c>
      <c r="F15" s="60">
        <v>1</v>
      </c>
      <c r="G15" s="59" t="s">
        <v>1055</v>
      </c>
      <c r="H15" s="60">
        <v>0</v>
      </c>
      <c r="I15" s="60">
        <v>8</v>
      </c>
      <c r="J15" s="60" t="s">
        <v>1056</v>
      </c>
      <c r="K15" s="476">
        <v>1</v>
      </c>
    </row>
    <row r="16" spans="1:11" ht="25.8">
      <c r="A16" s="1742"/>
      <c r="B16" s="59" t="s">
        <v>5103</v>
      </c>
      <c r="C16" s="269" t="s">
        <v>5104</v>
      </c>
      <c r="D16" s="60" t="s">
        <v>48</v>
      </c>
      <c r="E16" s="60">
        <v>0</v>
      </c>
      <c r="F16" s="60">
        <v>1</v>
      </c>
      <c r="G16" s="59" t="s">
        <v>1055</v>
      </c>
      <c r="H16" s="60">
        <v>0</v>
      </c>
      <c r="I16" s="60">
        <v>8</v>
      </c>
      <c r="J16" s="60" t="s">
        <v>1056</v>
      </c>
      <c r="K16" s="476">
        <v>1</v>
      </c>
    </row>
    <row r="17" spans="1:11" ht="25.8">
      <c r="A17" s="1742"/>
      <c r="B17" s="59" t="s">
        <v>5105</v>
      </c>
      <c r="C17" s="269" t="s">
        <v>5106</v>
      </c>
      <c r="D17" s="60" t="s">
        <v>48</v>
      </c>
      <c r="E17" s="60">
        <v>0</v>
      </c>
      <c r="F17" s="60">
        <v>1</v>
      </c>
      <c r="G17" s="59" t="s">
        <v>1055</v>
      </c>
      <c r="H17" s="60">
        <v>0</v>
      </c>
      <c r="I17" s="60">
        <v>8</v>
      </c>
      <c r="J17" s="60" t="s">
        <v>1056</v>
      </c>
      <c r="K17" s="476">
        <v>1</v>
      </c>
    </row>
    <row r="18" spans="1:11" ht="25.8">
      <c r="A18" s="1742"/>
      <c r="B18" s="59" t="s">
        <v>5107</v>
      </c>
      <c r="C18" s="269" t="s">
        <v>5108</v>
      </c>
      <c r="D18" s="60" t="s">
        <v>48</v>
      </c>
      <c r="E18" s="60">
        <v>0</v>
      </c>
      <c r="F18" s="60">
        <v>1</v>
      </c>
      <c r="G18" s="59" t="s">
        <v>1055</v>
      </c>
      <c r="H18" s="60">
        <v>0</v>
      </c>
      <c r="I18" s="60">
        <v>8</v>
      </c>
      <c r="J18" s="60" t="s">
        <v>1056</v>
      </c>
      <c r="K18" s="476">
        <v>1</v>
      </c>
    </row>
    <row r="19" spans="1:11" ht="25.8">
      <c r="A19" s="1742"/>
      <c r="B19" s="59" t="s">
        <v>5109</v>
      </c>
      <c r="C19" s="269" t="s">
        <v>5110</v>
      </c>
      <c r="D19" s="60" t="s">
        <v>48</v>
      </c>
      <c r="E19" s="60">
        <v>0</v>
      </c>
      <c r="F19" s="60">
        <v>1</v>
      </c>
      <c r="G19" s="59" t="s">
        <v>1055</v>
      </c>
      <c r="H19" s="60">
        <v>0</v>
      </c>
      <c r="I19" s="60">
        <v>8</v>
      </c>
      <c r="J19" s="60" t="s">
        <v>1056</v>
      </c>
      <c r="K19" s="476">
        <v>1</v>
      </c>
    </row>
    <row r="20" spans="1:11" ht="25.8">
      <c r="A20" s="1742"/>
      <c r="B20" s="59" t="s">
        <v>5111</v>
      </c>
      <c r="C20" s="269" t="s">
        <v>5112</v>
      </c>
      <c r="D20" s="60" t="s">
        <v>48</v>
      </c>
      <c r="E20" s="60">
        <v>0</v>
      </c>
      <c r="F20" s="60">
        <v>1</v>
      </c>
      <c r="G20" s="59" t="s">
        <v>1055</v>
      </c>
      <c r="H20" s="60">
        <v>0</v>
      </c>
      <c r="I20" s="60">
        <v>8</v>
      </c>
      <c r="J20" s="60" t="s">
        <v>1056</v>
      </c>
      <c r="K20" s="476">
        <v>1</v>
      </c>
    </row>
    <row r="21" spans="1:11" ht="25.8">
      <c r="A21" s="1742"/>
      <c r="B21" s="59" t="s">
        <v>5113</v>
      </c>
      <c r="C21" s="269" t="s">
        <v>5114</v>
      </c>
      <c r="D21" s="60" t="s">
        <v>48</v>
      </c>
      <c r="E21" s="60">
        <v>0</v>
      </c>
      <c r="F21" s="60">
        <v>1</v>
      </c>
      <c r="G21" s="59" t="s">
        <v>1055</v>
      </c>
      <c r="H21" s="60">
        <v>0</v>
      </c>
      <c r="I21" s="60">
        <v>8</v>
      </c>
      <c r="J21" s="60" t="s">
        <v>1056</v>
      </c>
      <c r="K21" s="476">
        <v>1</v>
      </c>
    </row>
    <row r="22" spans="1:11" ht="25.8">
      <c r="A22" s="1742"/>
      <c r="B22" s="59" t="s">
        <v>5115</v>
      </c>
      <c r="C22" s="269" t="s">
        <v>5116</v>
      </c>
      <c r="D22" s="60" t="s">
        <v>48</v>
      </c>
      <c r="E22" s="60">
        <v>0</v>
      </c>
      <c r="F22" s="60">
        <v>1</v>
      </c>
      <c r="G22" s="59" t="s">
        <v>1055</v>
      </c>
      <c r="H22" s="60">
        <v>0</v>
      </c>
      <c r="I22" s="60">
        <v>8</v>
      </c>
      <c r="J22" s="60" t="s">
        <v>1056</v>
      </c>
      <c r="K22" s="476">
        <v>1</v>
      </c>
    </row>
    <row r="23" spans="1:11" ht="25.8">
      <c r="A23" s="1742"/>
      <c r="B23" s="59" t="s">
        <v>5117</v>
      </c>
      <c r="C23" s="269" t="s">
        <v>5118</v>
      </c>
      <c r="D23" s="60" t="s">
        <v>48</v>
      </c>
      <c r="E23" s="60">
        <v>0</v>
      </c>
      <c r="F23" s="60">
        <v>1</v>
      </c>
      <c r="G23" s="59" t="s">
        <v>1055</v>
      </c>
      <c r="H23" s="60">
        <v>0</v>
      </c>
      <c r="I23" s="60">
        <v>8</v>
      </c>
      <c r="J23" s="60" t="s">
        <v>1056</v>
      </c>
      <c r="K23" s="476">
        <v>1</v>
      </c>
    </row>
    <row r="24" spans="1:11" ht="25.8">
      <c r="A24" s="1742"/>
      <c r="B24" s="59" t="s">
        <v>5119</v>
      </c>
      <c r="C24" s="269" t="s">
        <v>5120</v>
      </c>
      <c r="D24" s="60" t="s">
        <v>48</v>
      </c>
      <c r="E24" s="60">
        <v>0</v>
      </c>
      <c r="F24" s="60">
        <v>1</v>
      </c>
      <c r="G24" s="59" t="s">
        <v>1055</v>
      </c>
      <c r="H24" s="60">
        <v>0</v>
      </c>
      <c r="I24" s="60">
        <v>8</v>
      </c>
      <c r="J24" s="60" t="s">
        <v>1056</v>
      </c>
      <c r="K24" s="476">
        <v>1</v>
      </c>
    </row>
    <row r="25" spans="1:11" ht="82.5" customHeight="1">
      <c r="A25" s="545" t="s">
        <v>3184</v>
      </c>
      <c r="B25" s="382" t="s">
        <v>48</v>
      </c>
      <c r="C25" s="341" t="s">
        <v>5121</v>
      </c>
      <c r="D25" s="546" t="s">
        <v>48</v>
      </c>
      <c r="E25" s="461">
        <v>1</v>
      </c>
      <c r="F25" s="461">
        <v>255</v>
      </c>
      <c r="G25" s="547" t="s">
        <v>5122</v>
      </c>
      <c r="H25" s="461">
        <v>255</v>
      </c>
      <c r="I25" s="461">
        <v>8</v>
      </c>
      <c r="J25" s="461" t="s">
        <v>743</v>
      </c>
      <c r="K25" s="475" t="s">
        <v>48</v>
      </c>
    </row>
    <row r="26" spans="1:11" ht="123" customHeight="1">
      <c r="A26" s="545" t="s">
        <v>3187</v>
      </c>
      <c r="B26" s="382" t="s">
        <v>48</v>
      </c>
      <c r="C26" s="341" t="s">
        <v>5123</v>
      </c>
      <c r="D26" s="546" t="s">
        <v>48</v>
      </c>
      <c r="E26" s="461">
        <v>1</v>
      </c>
      <c r="F26" s="461">
        <v>255</v>
      </c>
      <c r="G26" s="547" t="s">
        <v>5124</v>
      </c>
      <c r="H26" s="546">
        <v>255</v>
      </c>
      <c r="I26" s="461">
        <v>8</v>
      </c>
      <c r="J26" s="461" t="s">
        <v>743</v>
      </c>
      <c r="K26" s="475" t="s">
        <v>48</v>
      </c>
    </row>
    <row r="27" spans="1:11" ht="80.25" customHeight="1">
      <c r="A27" s="545" t="s">
        <v>3190</v>
      </c>
      <c r="B27" s="382" t="s">
        <v>48</v>
      </c>
      <c r="C27" s="341" t="s">
        <v>5125</v>
      </c>
      <c r="D27" s="546" t="s">
        <v>48</v>
      </c>
      <c r="E27" s="461">
        <v>0</v>
      </c>
      <c r="F27" s="461">
        <v>255</v>
      </c>
      <c r="G27" s="547" t="s">
        <v>5126</v>
      </c>
      <c r="H27" s="546">
        <v>255</v>
      </c>
      <c r="I27" s="461">
        <v>8</v>
      </c>
      <c r="J27" s="461" t="s">
        <v>743</v>
      </c>
      <c r="K27" s="475" t="s">
        <v>48</v>
      </c>
    </row>
    <row r="28" spans="1:11" ht="28.8">
      <c r="A28" s="551" t="s">
        <v>3198</v>
      </c>
      <c r="B28" s="382" t="s">
        <v>48</v>
      </c>
      <c r="C28" s="548" t="s">
        <v>3197</v>
      </c>
      <c r="D28" s="546" t="s">
        <v>48</v>
      </c>
      <c r="E28" s="461">
        <v>0</v>
      </c>
      <c r="F28" s="461" t="s">
        <v>920</v>
      </c>
      <c r="G28" s="547" t="s">
        <v>5127</v>
      </c>
      <c r="H28" s="461" t="s">
        <v>920</v>
      </c>
      <c r="I28" s="461">
        <v>32</v>
      </c>
      <c r="J28" s="461" t="s">
        <v>922</v>
      </c>
      <c r="K28" s="475" t="s">
        <v>48</v>
      </c>
    </row>
    <row r="29" spans="1:11" ht="25.8">
      <c r="A29" s="1763" t="s">
        <v>3957</v>
      </c>
      <c r="B29" s="19" t="s">
        <v>5128</v>
      </c>
      <c r="C29" s="548" t="s">
        <v>5129</v>
      </c>
      <c r="D29" s="461" t="s">
        <v>48</v>
      </c>
      <c r="E29" s="461">
        <v>0</v>
      </c>
      <c r="F29" s="461">
        <v>1</v>
      </c>
      <c r="G29" s="459" t="s">
        <v>1055</v>
      </c>
      <c r="H29" s="461">
        <v>0</v>
      </c>
      <c r="I29" s="461">
        <v>8</v>
      </c>
      <c r="J29" s="461" t="s">
        <v>1056</v>
      </c>
      <c r="K29" s="475">
        <v>1</v>
      </c>
    </row>
    <row r="30" spans="1:11" ht="28.8">
      <c r="A30" s="1764"/>
      <c r="B30" t="s">
        <v>5130</v>
      </c>
      <c r="C30" s="2" t="s">
        <v>5131</v>
      </c>
      <c r="D30" s="60" t="s">
        <v>48</v>
      </c>
      <c r="E30" s="60">
        <v>0</v>
      </c>
      <c r="F30" s="60">
        <v>1</v>
      </c>
      <c r="G30" s="59" t="s">
        <v>1055</v>
      </c>
      <c r="H30" s="60">
        <v>0</v>
      </c>
      <c r="I30" s="60">
        <v>8</v>
      </c>
      <c r="J30" s="60" t="s">
        <v>1056</v>
      </c>
      <c r="K30" s="476">
        <v>1</v>
      </c>
    </row>
    <row r="31" spans="1:11" ht="25.8">
      <c r="A31" s="1764"/>
      <c r="B31" s="87" t="s">
        <v>5132</v>
      </c>
      <c r="C31" s="2" t="s">
        <v>5133</v>
      </c>
      <c r="D31" s="60" t="s">
        <v>48</v>
      </c>
      <c r="E31" s="60">
        <v>0</v>
      </c>
      <c r="F31" s="60">
        <v>1</v>
      </c>
      <c r="G31" s="59" t="s">
        <v>1055</v>
      </c>
      <c r="H31" s="60">
        <v>0</v>
      </c>
      <c r="I31" s="60">
        <v>8</v>
      </c>
      <c r="J31" s="60" t="s">
        <v>1056</v>
      </c>
      <c r="K31" s="476">
        <v>1</v>
      </c>
    </row>
    <row r="32" spans="1:11" ht="25.8">
      <c r="A32" s="1764"/>
      <c r="B32" t="s">
        <v>5134</v>
      </c>
      <c r="C32" s="2" t="s">
        <v>5135</v>
      </c>
      <c r="D32" s="60" t="s">
        <v>48</v>
      </c>
      <c r="E32" s="60">
        <v>0</v>
      </c>
      <c r="F32" s="60">
        <v>1</v>
      </c>
      <c r="G32" s="59" t="s">
        <v>1055</v>
      </c>
      <c r="H32" s="60">
        <v>0</v>
      </c>
      <c r="I32" s="60">
        <v>8</v>
      </c>
      <c r="J32" s="60" t="s">
        <v>1056</v>
      </c>
      <c r="K32" s="476">
        <v>1</v>
      </c>
    </row>
    <row r="33" spans="1:11" ht="25.8">
      <c r="A33" s="1764"/>
      <c r="B33" t="s">
        <v>5136</v>
      </c>
      <c r="C33" s="2" t="s">
        <v>5137</v>
      </c>
      <c r="D33" s="60" t="s">
        <v>48</v>
      </c>
      <c r="E33" s="60">
        <v>0</v>
      </c>
      <c r="F33" s="60">
        <v>1</v>
      </c>
      <c r="G33" s="59" t="s">
        <v>1055</v>
      </c>
      <c r="H33" s="60">
        <v>0</v>
      </c>
      <c r="I33" s="60">
        <v>8</v>
      </c>
      <c r="J33" s="60" t="s">
        <v>1056</v>
      </c>
      <c r="K33" s="476">
        <v>1</v>
      </c>
    </row>
    <row r="34" spans="1:11" ht="28.8">
      <c r="A34" s="1764"/>
      <c r="B34" t="s">
        <v>5138</v>
      </c>
      <c r="C34" s="2" t="s">
        <v>5139</v>
      </c>
      <c r="D34" s="60" t="s">
        <v>48</v>
      </c>
      <c r="E34" s="60">
        <v>0</v>
      </c>
      <c r="F34" s="60">
        <v>1</v>
      </c>
      <c r="G34" s="59" t="s">
        <v>1055</v>
      </c>
      <c r="H34" s="60">
        <v>0</v>
      </c>
      <c r="I34" s="60">
        <v>8</v>
      </c>
      <c r="J34" s="60" t="s">
        <v>1056</v>
      </c>
      <c r="K34" s="476">
        <v>1</v>
      </c>
    </row>
    <row r="35" spans="1:11" ht="25.8">
      <c r="A35" s="1764"/>
      <c r="B35" t="s">
        <v>5140</v>
      </c>
      <c r="C35" s="2" t="s">
        <v>5141</v>
      </c>
      <c r="D35" s="60" t="s">
        <v>48</v>
      </c>
      <c r="E35" s="60">
        <v>0</v>
      </c>
      <c r="F35" s="60">
        <v>1</v>
      </c>
      <c r="G35" s="59" t="s">
        <v>1055</v>
      </c>
      <c r="H35" s="60">
        <v>0</v>
      </c>
      <c r="I35" s="60">
        <v>8</v>
      </c>
      <c r="J35" s="60" t="s">
        <v>1056</v>
      </c>
      <c r="K35" s="476">
        <v>1</v>
      </c>
    </row>
    <row r="36" spans="1:11" ht="25.8">
      <c r="A36" s="1765"/>
      <c r="B36" s="549" t="s">
        <v>5142</v>
      </c>
      <c r="C36" s="550" t="s">
        <v>5143</v>
      </c>
      <c r="D36" s="542" t="s">
        <v>48</v>
      </c>
      <c r="E36" s="542">
        <v>0</v>
      </c>
      <c r="F36" s="542">
        <v>1</v>
      </c>
      <c r="G36" s="541" t="s">
        <v>1055</v>
      </c>
      <c r="H36" s="542">
        <v>0</v>
      </c>
      <c r="I36" s="542">
        <v>8</v>
      </c>
      <c r="J36" s="542" t="s">
        <v>1056</v>
      </c>
      <c r="K36" s="543">
        <v>1</v>
      </c>
    </row>
  </sheetData>
  <autoFilter ref="A3:J3" xr:uid="{C9A60E39-D6A4-4F3B-8B8A-C411CB28272F}"/>
  <mergeCells count="4">
    <mergeCell ref="A4:A24"/>
    <mergeCell ref="A29:A36"/>
    <mergeCell ref="B1:C1"/>
    <mergeCell ref="D1:E1"/>
  </mergeCells>
  <hyperlinks>
    <hyperlink ref="H1" location="AVI_HLB!A1" display="AVI_HLB" xr:uid="{16641516-EE31-4EA6-B86D-436BF54AAEB1}"/>
    <hyperlink ref="I1" location="AVI_Light_Scene_Vehicles!A1" display="AVI_Light_Scene_Vehicles" xr:uid="{B4B66396-7A1B-49B4-9824-BA20EF03C231}"/>
    <hyperlink ref="J1" location="AVI_Light_Scene_Reflectors!A1" display="AVI_Light_Scene_Reflectors" xr:uid="{261C22C4-2A1E-49E3-918D-D657B507D49A}"/>
  </hyperlinks>
  <pageMargins left="0.7" right="0.7" top="0.75" bottom="0.75" header="0.3" footer="0.3"/>
  <headerFooter>
    <oddFooter>&amp;C_x000D_&amp;1#&amp;"Calibri"&amp;11&amp;KFF0000 Internal</oddFooter>
  </headerFooter>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71A40-531F-4088-96D5-89EAD8422A97}">
  <sheetPr codeName="Sheet59"/>
  <dimension ref="A1:E24"/>
  <sheetViews>
    <sheetView workbookViewId="0">
      <pane ySplit="1" topLeftCell="A12" activePane="bottomLeft" state="frozen"/>
      <selection pane="bottomLeft" activeCell="B24" sqref="B24"/>
    </sheetView>
  </sheetViews>
  <sheetFormatPr defaultColWidth="9.15625" defaultRowHeight="14.4"/>
  <cols>
    <col min="1" max="1" width="11" style="1014" bestFit="1" customWidth="1"/>
    <col min="2" max="2" width="11.68359375" style="40" customWidth="1"/>
    <col min="3" max="3" width="51.68359375" customWidth="1"/>
    <col min="4" max="4" width="14.83984375" bestFit="1" customWidth="1"/>
    <col min="5" max="5" width="11.68359375" customWidth="1"/>
  </cols>
  <sheetData>
    <row r="1" spans="1:5">
      <c r="A1" s="1017" t="s">
        <v>644</v>
      </c>
      <c r="B1" s="660" t="s">
        <v>645</v>
      </c>
      <c r="C1" s="643" t="s">
        <v>646</v>
      </c>
      <c r="D1" s="643" t="s">
        <v>647</v>
      </c>
      <c r="E1" s="644" t="s">
        <v>793</v>
      </c>
    </row>
    <row r="2" spans="1:5">
      <c r="A2" s="629">
        <v>0.1</v>
      </c>
      <c r="B2" s="188">
        <v>44694</v>
      </c>
      <c r="C2" s="584" t="s">
        <v>4797</v>
      </c>
      <c r="D2" s="585" t="s">
        <v>658</v>
      </c>
      <c r="E2" s="586" t="s">
        <v>655</v>
      </c>
    </row>
    <row r="3" spans="1:5" ht="87.6" customHeight="1">
      <c r="A3" s="1010">
        <v>0.2</v>
      </c>
      <c r="B3" s="188">
        <v>44694</v>
      </c>
      <c r="C3" s="576" t="s">
        <v>4462</v>
      </c>
      <c r="D3" s="585" t="s">
        <v>658</v>
      </c>
      <c r="E3" s="586" t="s">
        <v>655</v>
      </c>
    </row>
    <row r="4" spans="1:5">
      <c r="A4" s="1010">
        <v>0.2</v>
      </c>
      <c r="B4" s="188">
        <v>44697</v>
      </c>
      <c r="C4" s="5" t="s">
        <v>999</v>
      </c>
      <c r="D4" s="5" t="s">
        <v>3176</v>
      </c>
      <c r="E4" s="5" t="s">
        <v>655</v>
      </c>
    </row>
    <row r="5" spans="1:5">
      <c r="A5" s="1010">
        <v>0.3</v>
      </c>
      <c r="B5" s="51">
        <v>44698</v>
      </c>
      <c r="C5" s="5" t="s">
        <v>5144</v>
      </c>
      <c r="D5" s="585" t="s">
        <v>658</v>
      </c>
      <c r="E5" s="586" t="s">
        <v>655</v>
      </c>
    </row>
    <row r="6" spans="1:5">
      <c r="A6" s="1010">
        <v>0.3</v>
      </c>
      <c r="B6" s="51">
        <v>44711</v>
      </c>
      <c r="C6" s="5" t="s">
        <v>3205</v>
      </c>
      <c r="D6" s="5" t="s">
        <v>654</v>
      </c>
      <c r="E6" s="5" t="s">
        <v>655</v>
      </c>
    </row>
    <row r="7" spans="1:5">
      <c r="A7" s="1010">
        <v>1</v>
      </c>
      <c r="B7" s="51">
        <v>44711</v>
      </c>
      <c r="C7" s="5"/>
      <c r="D7" s="585" t="s">
        <v>658</v>
      </c>
      <c r="E7" s="5" t="s">
        <v>651</v>
      </c>
    </row>
    <row r="8" spans="1:5">
      <c r="A8" s="1010">
        <v>1</v>
      </c>
      <c r="B8" s="51">
        <v>44719</v>
      </c>
      <c r="C8" s="5" t="s">
        <v>660</v>
      </c>
      <c r="D8" s="5" t="s">
        <v>654</v>
      </c>
      <c r="E8" s="5" t="s">
        <v>661</v>
      </c>
    </row>
    <row r="9" spans="1:5" ht="28.8">
      <c r="A9" s="1010">
        <v>1.1000000000000001</v>
      </c>
      <c r="B9" s="51">
        <v>44735</v>
      </c>
      <c r="C9" s="576" t="s">
        <v>5145</v>
      </c>
      <c r="D9" s="585" t="s">
        <v>658</v>
      </c>
      <c r="E9" s="586" t="s">
        <v>655</v>
      </c>
    </row>
    <row r="10" spans="1:5">
      <c r="A10" s="1010">
        <v>1.1000000000000001</v>
      </c>
      <c r="B10" s="51">
        <v>44741</v>
      </c>
      <c r="C10" s="5" t="s">
        <v>5146</v>
      </c>
      <c r="D10" s="5" t="s">
        <v>654</v>
      </c>
      <c r="E10" s="5" t="s">
        <v>655</v>
      </c>
    </row>
    <row r="11" spans="1:5">
      <c r="A11" s="1010">
        <v>2</v>
      </c>
      <c r="B11" s="51">
        <v>44741</v>
      </c>
      <c r="C11" s="5"/>
      <c r="D11" s="585" t="s">
        <v>658</v>
      </c>
      <c r="E11" s="5" t="s">
        <v>651</v>
      </c>
    </row>
    <row r="12" spans="1:5">
      <c r="A12" s="1010">
        <v>2</v>
      </c>
      <c r="B12" s="51">
        <v>44742</v>
      </c>
      <c r="C12" s="5" t="s">
        <v>667</v>
      </c>
      <c r="D12" s="5" t="s">
        <v>654</v>
      </c>
      <c r="E12" s="5" t="s">
        <v>661</v>
      </c>
    </row>
    <row r="13" spans="1:5">
      <c r="A13" s="1010">
        <v>2.1</v>
      </c>
      <c r="B13" s="51">
        <v>44895</v>
      </c>
      <c r="C13" s="5" t="s">
        <v>4333</v>
      </c>
      <c r="D13" s="5" t="s">
        <v>683</v>
      </c>
      <c r="E13" s="5" t="s">
        <v>655</v>
      </c>
    </row>
    <row r="14" spans="1:5">
      <c r="A14" s="1010">
        <v>2.2000000000000002</v>
      </c>
      <c r="B14" s="51">
        <v>44897</v>
      </c>
      <c r="C14" s="5" t="s">
        <v>5147</v>
      </c>
      <c r="D14" s="5" t="s">
        <v>676</v>
      </c>
      <c r="E14" s="5" t="s">
        <v>655</v>
      </c>
    </row>
    <row r="15" spans="1:5">
      <c r="A15" s="1010">
        <v>2.2999999999999998</v>
      </c>
      <c r="B15" s="51">
        <v>44897</v>
      </c>
      <c r="C15" s="5" t="s">
        <v>4645</v>
      </c>
      <c r="D15" s="5" t="s">
        <v>683</v>
      </c>
      <c r="E15" s="5" t="s">
        <v>655</v>
      </c>
    </row>
    <row r="16" spans="1:5">
      <c r="A16" s="1010">
        <v>2.2999999999999998</v>
      </c>
      <c r="B16" s="51">
        <v>44956</v>
      </c>
      <c r="C16" s="5" t="s">
        <v>5148</v>
      </c>
      <c r="D16" s="5" t="s">
        <v>658</v>
      </c>
      <c r="E16" s="5" t="s">
        <v>655</v>
      </c>
    </row>
    <row r="17" spans="1:5">
      <c r="A17" s="1010">
        <v>2.4</v>
      </c>
      <c r="B17" s="51">
        <v>44956</v>
      </c>
      <c r="C17" s="5" t="s">
        <v>4871</v>
      </c>
      <c r="D17" s="5" t="s">
        <v>658</v>
      </c>
      <c r="E17" s="5" t="s">
        <v>655</v>
      </c>
    </row>
    <row r="18" spans="1:5">
      <c r="A18" s="1010">
        <v>3</v>
      </c>
      <c r="B18" s="51">
        <v>44957</v>
      </c>
      <c r="C18" s="602" t="s">
        <v>4970</v>
      </c>
      <c r="D18" s="5" t="s">
        <v>678</v>
      </c>
      <c r="E18" s="5" t="s">
        <v>651</v>
      </c>
    </row>
    <row r="19" spans="1:5">
      <c r="A19" s="1010">
        <v>3</v>
      </c>
      <c r="B19" s="51">
        <v>44957</v>
      </c>
      <c r="C19" s="5" t="s">
        <v>687</v>
      </c>
      <c r="D19" s="5" t="s">
        <v>676</v>
      </c>
      <c r="E19" s="5" t="s">
        <v>661</v>
      </c>
    </row>
    <row r="20" spans="1:5">
      <c r="A20" s="1010">
        <v>3</v>
      </c>
      <c r="B20" s="51">
        <v>44970</v>
      </c>
      <c r="C20" s="5" t="s">
        <v>691</v>
      </c>
      <c r="D20" s="5" t="s">
        <v>676</v>
      </c>
      <c r="E20" s="5" t="s">
        <v>661</v>
      </c>
    </row>
    <row r="21" spans="1:5">
      <c r="A21" s="1010">
        <v>3</v>
      </c>
      <c r="B21" s="191">
        <v>44998</v>
      </c>
      <c r="C21" s="2" t="s">
        <v>692</v>
      </c>
      <c r="D21" s="5" t="s">
        <v>678</v>
      </c>
      <c r="E21" s="5" t="s">
        <v>661</v>
      </c>
    </row>
    <row r="22" spans="1:5">
      <c r="A22" s="1010" t="s">
        <v>666</v>
      </c>
      <c r="B22" s="191">
        <v>45078</v>
      </c>
      <c r="C22" s="5" t="s">
        <v>699</v>
      </c>
      <c r="D22" s="5" t="s">
        <v>678</v>
      </c>
      <c r="E22" s="5" t="s">
        <v>661</v>
      </c>
    </row>
    <row r="23" spans="1:5">
      <c r="A23" s="1012" t="s">
        <v>666</v>
      </c>
      <c r="B23" s="191">
        <v>45097</v>
      </c>
      <c r="C23" s="5" t="s">
        <v>700</v>
      </c>
      <c r="D23" s="5" t="s">
        <v>678</v>
      </c>
      <c r="E23" s="5" t="s">
        <v>661</v>
      </c>
    </row>
    <row r="24" spans="1:5">
      <c r="A24" s="1012" t="s">
        <v>666</v>
      </c>
      <c r="B24" s="1065">
        <v>45205</v>
      </c>
      <c r="C24" s="595" t="s">
        <v>701</v>
      </c>
      <c r="D24" s="595" t="s">
        <v>678</v>
      </c>
      <c r="E24" s="596" t="s">
        <v>661</v>
      </c>
    </row>
  </sheetData>
  <pageMargins left="0.7" right="0.7" top="0.75" bottom="0.75" header="0.3" footer="0.3"/>
  <headerFooter>
    <oddFooter>&amp;C_x000D_&amp;1#&amp;"Calibri"&amp;11&amp;KFF0000 Internal</oddFooter>
  </headerFooter>
  <tableParts count="1">
    <tablePart r:id="rId1"/>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3292C-2FDC-4ACF-A694-16658D367758}">
  <sheetPr codeName="Sheet5" filterMode="1"/>
  <dimension ref="A1:K57"/>
  <sheetViews>
    <sheetView zoomScaleNormal="100" workbookViewId="0">
      <pane ySplit="3" topLeftCell="A16" activePane="bottomLeft" state="frozen"/>
      <selection activeCell="C22" activeCellId="1" sqref="A1:AS1 C22"/>
      <selection pane="bottomLeft" activeCell="A46" sqref="A46:A57"/>
    </sheetView>
  </sheetViews>
  <sheetFormatPr defaultColWidth="9.15625" defaultRowHeight="14.4"/>
  <cols>
    <col min="1" max="1" width="28.26171875" bestFit="1" customWidth="1"/>
    <col min="2" max="2" width="27.15625" customWidth="1"/>
    <col min="3" max="3" width="69.68359375" customWidth="1"/>
    <col min="4" max="4" width="9" bestFit="1" customWidth="1"/>
    <col min="5" max="5" width="8.68359375" bestFit="1" customWidth="1"/>
    <col min="6" max="6" width="9.15625" bestFit="1" customWidth="1"/>
    <col min="7" max="7" width="24.578125" bestFit="1" customWidth="1"/>
    <col min="8" max="8" width="12.15625" bestFit="1" customWidth="1"/>
    <col min="9" max="9" width="8.68359375" bestFit="1" customWidth="1"/>
    <col min="10" max="10" width="16.26171875" customWidth="1"/>
    <col min="11" max="11" width="27.41796875" style="3" customWidth="1"/>
  </cols>
  <sheetData>
    <row r="1" spans="1:11">
      <c r="A1" s="199" t="s">
        <v>4509</v>
      </c>
      <c r="B1" s="1721" t="s">
        <v>4028</v>
      </c>
      <c r="C1" s="1722"/>
      <c r="D1" s="1723" t="s">
        <v>106</v>
      </c>
      <c r="E1" s="1769"/>
      <c r="F1" s="250">
        <v>5</v>
      </c>
      <c r="G1" s="200"/>
      <c r="H1" s="200" t="s">
        <v>74</v>
      </c>
      <c r="I1" s="270"/>
      <c r="J1" s="270"/>
      <c r="K1" s="522"/>
    </row>
    <row r="2" spans="1:11">
      <c r="A2" s="104"/>
      <c r="B2" s="105"/>
      <c r="C2" s="105"/>
      <c r="D2" s="105"/>
      <c r="E2" s="105"/>
      <c r="F2" s="105"/>
      <c r="G2" s="105"/>
      <c r="H2" s="105"/>
      <c r="I2" s="105"/>
      <c r="J2" s="105"/>
      <c r="K2" s="107"/>
    </row>
    <row r="3" spans="1:11">
      <c r="A3" s="62" t="s">
        <v>4510</v>
      </c>
      <c r="B3" s="63" t="s">
        <v>4511</v>
      </c>
      <c r="C3" s="63" t="s">
        <v>710</v>
      </c>
      <c r="D3" s="64" t="s">
        <v>711</v>
      </c>
      <c r="E3" s="64" t="s">
        <v>712</v>
      </c>
      <c r="F3" s="64" t="s">
        <v>713</v>
      </c>
      <c r="G3" s="65" t="s">
        <v>714</v>
      </c>
      <c r="H3" s="66" t="s">
        <v>715</v>
      </c>
      <c r="I3" s="64" t="s">
        <v>716</v>
      </c>
      <c r="J3" s="521" t="s">
        <v>717</v>
      </c>
      <c r="K3" s="520" t="s">
        <v>4512</v>
      </c>
    </row>
    <row r="4" spans="1:11" ht="59.25" hidden="1" customHeight="1">
      <c r="A4" s="1766" t="s">
        <v>4070</v>
      </c>
      <c r="B4" s="140" t="s">
        <v>5149</v>
      </c>
      <c r="C4" s="195" t="s">
        <v>5150</v>
      </c>
      <c r="D4" s="249" t="s">
        <v>48</v>
      </c>
      <c r="E4" s="249">
        <v>0</v>
      </c>
      <c r="F4" s="249">
        <v>255</v>
      </c>
      <c r="G4" s="196" t="s">
        <v>5151</v>
      </c>
      <c r="H4" s="249">
        <v>255</v>
      </c>
      <c r="I4" s="249">
        <v>8</v>
      </c>
      <c r="J4" s="249" t="s">
        <v>743</v>
      </c>
      <c r="K4" s="512">
        <v>1</v>
      </c>
    </row>
    <row r="5" spans="1:11" ht="59.25" hidden="1" customHeight="1">
      <c r="A5" s="1768"/>
      <c r="B5" s="117" t="s">
        <v>5152</v>
      </c>
      <c r="C5" s="197" t="s">
        <v>5153</v>
      </c>
      <c r="D5" s="223" t="s">
        <v>48</v>
      </c>
      <c r="E5" s="223">
        <v>0</v>
      </c>
      <c r="F5" s="223">
        <v>255</v>
      </c>
      <c r="G5" s="198" t="s">
        <v>5154</v>
      </c>
      <c r="H5" s="75">
        <v>255</v>
      </c>
      <c r="I5" s="223">
        <v>8</v>
      </c>
      <c r="J5" s="223" t="s">
        <v>743</v>
      </c>
      <c r="K5" s="552">
        <v>1</v>
      </c>
    </row>
    <row r="6" spans="1:11" ht="63.75" hidden="1" customHeight="1">
      <c r="A6" s="1766" t="s">
        <v>4106</v>
      </c>
      <c r="B6" s="303" t="s">
        <v>5155</v>
      </c>
      <c r="C6" s="304" t="s">
        <v>5156</v>
      </c>
      <c r="D6" s="305" t="s">
        <v>48</v>
      </c>
      <c r="E6" s="305" t="s">
        <v>48</v>
      </c>
      <c r="F6" s="305" t="s">
        <v>48</v>
      </c>
      <c r="G6" s="303" t="s">
        <v>48</v>
      </c>
      <c r="H6" s="305" t="s">
        <v>48</v>
      </c>
      <c r="I6" s="305">
        <v>8</v>
      </c>
      <c r="J6" s="305" t="s">
        <v>1538</v>
      </c>
      <c r="K6" s="512">
        <v>1</v>
      </c>
    </row>
    <row r="7" spans="1:11" ht="51.75" hidden="1" customHeight="1">
      <c r="A7" s="1767"/>
      <c r="B7" s="306" t="s">
        <v>5157</v>
      </c>
      <c r="C7" s="307" t="s">
        <v>5158</v>
      </c>
      <c r="D7" s="308" t="s">
        <v>48</v>
      </c>
      <c r="E7" s="308" t="s">
        <v>48</v>
      </c>
      <c r="F7" s="308" t="s">
        <v>48</v>
      </c>
      <c r="G7" s="309" t="s">
        <v>48</v>
      </c>
      <c r="H7" s="310" t="s">
        <v>48</v>
      </c>
      <c r="I7" s="308">
        <v>8</v>
      </c>
      <c r="J7" s="310" t="s">
        <v>1538</v>
      </c>
      <c r="K7" s="512">
        <v>1</v>
      </c>
    </row>
    <row r="8" spans="1:11" ht="46.5" hidden="1" customHeight="1">
      <c r="A8" s="1767"/>
      <c r="B8" s="309" t="s">
        <v>5159</v>
      </c>
      <c r="C8" s="307" t="s">
        <v>5160</v>
      </c>
      <c r="D8" s="308" t="s">
        <v>48</v>
      </c>
      <c r="E8" s="308" t="s">
        <v>48</v>
      </c>
      <c r="F8" s="308" t="s">
        <v>48</v>
      </c>
      <c r="G8" s="309" t="s">
        <v>48</v>
      </c>
      <c r="H8" s="308" t="s">
        <v>48</v>
      </c>
      <c r="I8" s="308">
        <v>8</v>
      </c>
      <c r="J8" s="308" t="s">
        <v>1538</v>
      </c>
      <c r="K8" s="512">
        <v>1</v>
      </c>
    </row>
    <row r="9" spans="1:11" ht="28.8" hidden="1">
      <c r="A9" s="1768"/>
      <c r="B9" s="311" t="s">
        <v>5161</v>
      </c>
      <c r="C9" s="312" t="s">
        <v>5162</v>
      </c>
      <c r="D9" s="313" t="s">
        <v>48</v>
      </c>
      <c r="E9" s="313" t="s">
        <v>48</v>
      </c>
      <c r="F9" s="313" t="s">
        <v>48</v>
      </c>
      <c r="G9" s="314" t="s">
        <v>48</v>
      </c>
      <c r="H9" s="315" t="s">
        <v>48</v>
      </c>
      <c r="I9" s="313">
        <v>8</v>
      </c>
      <c r="J9" s="315" t="s">
        <v>1538</v>
      </c>
      <c r="K9" s="552">
        <v>1</v>
      </c>
    </row>
    <row r="10" spans="1:11" ht="100.8" hidden="1">
      <c r="A10" s="1766" t="s">
        <v>4123</v>
      </c>
      <c r="B10" s="201" t="s">
        <v>5163</v>
      </c>
      <c r="C10" s="202" t="s">
        <v>5164</v>
      </c>
      <c r="D10" s="203" t="s">
        <v>48</v>
      </c>
      <c r="E10" s="204">
        <v>0</v>
      </c>
      <c r="F10" s="204">
        <v>255</v>
      </c>
      <c r="G10" s="205" t="s">
        <v>5165</v>
      </c>
      <c r="H10" s="203">
        <v>255</v>
      </c>
      <c r="I10" s="203">
        <v>8</v>
      </c>
      <c r="J10" s="203" t="s">
        <v>743</v>
      </c>
      <c r="K10" s="512">
        <v>1</v>
      </c>
    </row>
    <row r="11" spans="1:11" ht="219" hidden="1" customHeight="1">
      <c r="A11" s="1767"/>
      <c r="B11" s="274" t="s">
        <v>5166</v>
      </c>
      <c r="C11" s="275" t="s">
        <v>5167</v>
      </c>
      <c r="D11" s="276" t="s">
        <v>48</v>
      </c>
      <c r="E11" s="276">
        <v>0</v>
      </c>
      <c r="F11" s="276">
        <v>255</v>
      </c>
      <c r="G11" s="275" t="s">
        <v>5168</v>
      </c>
      <c r="H11" s="277">
        <v>255</v>
      </c>
      <c r="I11" s="277">
        <v>8</v>
      </c>
      <c r="J11" s="277" t="s">
        <v>743</v>
      </c>
      <c r="K11" s="512">
        <v>1</v>
      </c>
    </row>
    <row r="12" spans="1:11" ht="363.75" hidden="1" customHeight="1">
      <c r="A12" s="1768"/>
      <c r="B12" s="206" t="s">
        <v>5169</v>
      </c>
      <c r="C12" s="207" t="s">
        <v>5170</v>
      </c>
      <c r="D12" s="208" t="s">
        <v>48</v>
      </c>
      <c r="E12" s="209">
        <v>0</v>
      </c>
      <c r="F12" s="209">
        <v>255</v>
      </c>
      <c r="G12" s="210" t="s">
        <v>5171</v>
      </c>
      <c r="H12" s="211">
        <v>255</v>
      </c>
      <c r="I12" s="211">
        <v>8</v>
      </c>
      <c r="J12" s="211" t="s">
        <v>743</v>
      </c>
      <c r="K12" s="552">
        <v>1</v>
      </c>
    </row>
    <row r="13" spans="1:11" hidden="1">
      <c r="A13" s="1766" t="s">
        <v>4125</v>
      </c>
      <c r="B13" s="212" t="s">
        <v>5172</v>
      </c>
      <c r="C13" s="205" t="s">
        <v>5173</v>
      </c>
      <c r="D13" s="213" t="s">
        <v>48</v>
      </c>
      <c r="E13" s="213" t="s">
        <v>48</v>
      </c>
      <c r="F13" s="213" t="s">
        <v>48</v>
      </c>
      <c r="G13" s="214" t="s">
        <v>48</v>
      </c>
      <c r="H13" s="213" t="s">
        <v>48</v>
      </c>
      <c r="I13" s="203">
        <v>8</v>
      </c>
      <c r="J13" s="213" t="s">
        <v>1538</v>
      </c>
      <c r="K13" s="512">
        <v>1</v>
      </c>
    </row>
    <row r="14" spans="1:11" hidden="1">
      <c r="A14" s="1767"/>
      <c r="B14" s="278" t="s">
        <v>5174</v>
      </c>
      <c r="C14" s="275" t="s">
        <v>5175</v>
      </c>
      <c r="D14" s="277" t="s">
        <v>48</v>
      </c>
      <c r="E14" s="279" t="s">
        <v>48</v>
      </c>
      <c r="F14" s="279" t="s">
        <v>48</v>
      </c>
      <c r="G14" s="275" t="s">
        <v>48</v>
      </c>
      <c r="H14" s="277" t="s">
        <v>48</v>
      </c>
      <c r="I14" s="280">
        <v>8</v>
      </c>
      <c r="J14" s="277" t="s">
        <v>1538</v>
      </c>
      <c r="K14" s="512">
        <v>1</v>
      </c>
    </row>
    <row r="15" spans="1:11" hidden="1">
      <c r="A15" s="1768"/>
      <c r="B15" s="215" t="s">
        <v>5176</v>
      </c>
      <c r="C15" s="207" t="s">
        <v>5177</v>
      </c>
      <c r="D15" s="216" t="s">
        <v>48</v>
      </c>
      <c r="E15" s="216" t="s">
        <v>48</v>
      </c>
      <c r="F15" s="216" t="s">
        <v>48</v>
      </c>
      <c r="G15" s="217" t="s">
        <v>48</v>
      </c>
      <c r="H15" s="216" t="s">
        <v>48</v>
      </c>
      <c r="I15" s="211">
        <v>8</v>
      </c>
      <c r="J15" s="216" t="s">
        <v>1538</v>
      </c>
      <c r="K15" s="552">
        <v>1</v>
      </c>
    </row>
    <row r="16" spans="1:11" ht="43.2">
      <c r="A16" s="1766" t="s">
        <v>4127</v>
      </c>
      <c r="B16" s="201" t="s">
        <v>5178</v>
      </c>
      <c r="C16" s="205" t="s">
        <v>5179</v>
      </c>
      <c r="D16" s="203" t="s">
        <v>919</v>
      </c>
      <c r="E16" s="204">
        <v>0.4</v>
      </c>
      <c r="F16" s="204" t="s">
        <v>920</v>
      </c>
      <c r="G16" s="205" t="s">
        <v>5180</v>
      </c>
      <c r="H16" s="203" t="s">
        <v>920</v>
      </c>
      <c r="I16" s="218">
        <v>32</v>
      </c>
      <c r="J16" s="203" t="s">
        <v>922</v>
      </c>
      <c r="K16" s="512">
        <v>1</v>
      </c>
    </row>
    <row r="17" spans="1:11" ht="67.5" customHeight="1">
      <c r="A17" s="1767"/>
      <c r="B17" s="278" t="s">
        <v>5181</v>
      </c>
      <c r="C17" s="275" t="s">
        <v>5182</v>
      </c>
      <c r="D17" s="277" t="s">
        <v>919</v>
      </c>
      <c r="E17" s="279">
        <v>0</v>
      </c>
      <c r="F17" s="279" t="s">
        <v>920</v>
      </c>
      <c r="G17" s="275" t="s">
        <v>5044</v>
      </c>
      <c r="H17" s="277" t="s">
        <v>920</v>
      </c>
      <c r="I17" s="277">
        <v>32</v>
      </c>
      <c r="J17" s="277" t="s">
        <v>922</v>
      </c>
      <c r="K17" s="512">
        <v>1</v>
      </c>
    </row>
    <row r="18" spans="1:11" ht="121.5" customHeight="1">
      <c r="A18" s="1767"/>
      <c r="B18" s="278" t="s">
        <v>5183</v>
      </c>
      <c r="C18" s="275" t="s">
        <v>5184</v>
      </c>
      <c r="D18" s="277" t="s">
        <v>919</v>
      </c>
      <c r="E18" s="279">
        <v>0.6</v>
      </c>
      <c r="F18" s="279" t="s">
        <v>920</v>
      </c>
      <c r="G18" s="275" t="s">
        <v>5185</v>
      </c>
      <c r="H18" s="277" t="s">
        <v>920</v>
      </c>
      <c r="I18" s="277">
        <v>32</v>
      </c>
      <c r="J18" s="277" t="s">
        <v>922</v>
      </c>
      <c r="K18" s="512">
        <v>1</v>
      </c>
    </row>
    <row r="19" spans="1:11" ht="15" customHeight="1">
      <c r="A19" s="1767"/>
      <c r="B19" s="274" t="s">
        <v>5186</v>
      </c>
      <c r="C19" s="281" t="s">
        <v>5187</v>
      </c>
      <c r="D19" s="276" t="s">
        <v>919</v>
      </c>
      <c r="E19" s="276">
        <v>0</v>
      </c>
      <c r="F19" s="276" t="s">
        <v>920</v>
      </c>
      <c r="G19" s="281" t="s">
        <v>3329</v>
      </c>
      <c r="H19" s="276" t="s">
        <v>920</v>
      </c>
      <c r="I19" s="277">
        <v>32</v>
      </c>
      <c r="J19" s="276" t="s">
        <v>922</v>
      </c>
      <c r="K19" s="512">
        <v>1</v>
      </c>
    </row>
    <row r="20" spans="1:11" ht="15" customHeight="1">
      <c r="A20" s="1767"/>
      <c r="B20" s="274" t="s">
        <v>4526</v>
      </c>
      <c r="C20" s="281" t="s">
        <v>5188</v>
      </c>
      <c r="D20" s="276" t="s">
        <v>919</v>
      </c>
      <c r="E20" s="276">
        <v>0</v>
      </c>
      <c r="F20" s="276" t="s">
        <v>920</v>
      </c>
      <c r="G20" s="281" t="s">
        <v>5189</v>
      </c>
      <c r="H20" s="276" t="s">
        <v>920</v>
      </c>
      <c r="I20" s="277">
        <v>32</v>
      </c>
      <c r="J20" s="276" t="s">
        <v>922</v>
      </c>
      <c r="K20" s="512">
        <v>1</v>
      </c>
    </row>
    <row r="21" spans="1:11" ht="15" customHeight="1">
      <c r="A21" s="1767"/>
      <c r="B21" s="274" t="s">
        <v>5045</v>
      </c>
      <c r="C21" s="281" t="s">
        <v>5190</v>
      </c>
      <c r="D21" s="276" t="s">
        <v>919</v>
      </c>
      <c r="E21" s="276">
        <v>0</v>
      </c>
      <c r="F21" s="276" t="s">
        <v>920</v>
      </c>
      <c r="G21" s="281" t="s">
        <v>5044</v>
      </c>
      <c r="H21" s="276" t="s">
        <v>920</v>
      </c>
      <c r="I21" s="277">
        <v>32</v>
      </c>
      <c r="J21" s="276" t="s">
        <v>922</v>
      </c>
      <c r="K21" s="512">
        <v>1</v>
      </c>
    </row>
    <row r="22" spans="1:11" ht="33" customHeight="1">
      <c r="A22" s="1767"/>
      <c r="B22" s="278" t="s">
        <v>5191</v>
      </c>
      <c r="C22" s="275" t="s">
        <v>5192</v>
      </c>
      <c r="D22" s="277" t="s">
        <v>1035</v>
      </c>
      <c r="E22" s="276">
        <v>-100</v>
      </c>
      <c r="F22" s="279" t="s">
        <v>920</v>
      </c>
      <c r="G22" s="281" t="s">
        <v>4276</v>
      </c>
      <c r="H22" s="277" t="s">
        <v>920</v>
      </c>
      <c r="I22" s="277">
        <v>32</v>
      </c>
      <c r="J22" s="277" t="s">
        <v>922</v>
      </c>
      <c r="K22" s="512">
        <v>1</v>
      </c>
    </row>
    <row r="23" spans="1:11" ht="36.75" customHeight="1">
      <c r="A23" s="1767"/>
      <c r="B23" s="278" t="s">
        <v>5193</v>
      </c>
      <c r="C23" s="275" t="s">
        <v>5194</v>
      </c>
      <c r="D23" s="277" t="s">
        <v>1035</v>
      </c>
      <c r="E23" s="279">
        <v>0</v>
      </c>
      <c r="F23" s="279" t="s">
        <v>920</v>
      </c>
      <c r="G23" s="275" t="s">
        <v>5044</v>
      </c>
      <c r="H23" s="279" t="s">
        <v>920</v>
      </c>
      <c r="I23" s="277">
        <v>32</v>
      </c>
      <c r="J23" s="277" t="s">
        <v>922</v>
      </c>
      <c r="K23" s="512">
        <v>1</v>
      </c>
    </row>
    <row r="24" spans="1:11" ht="15" customHeight="1">
      <c r="A24" s="1767"/>
      <c r="B24" s="274" t="s">
        <v>5195</v>
      </c>
      <c r="C24" s="281" t="s">
        <v>5196</v>
      </c>
      <c r="D24" s="276" t="s">
        <v>1035</v>
      </c>
      <c r="E24" s="276">
        <v>-50</v>
      </c>
      <c r="F24" s="276" t="s">
        <v>920</v>
      </c>
      <c r="G24" s="281" t="s">
        <v>5197</v>
      </c>
      <c r="H24" s="276" t="s">
        <v>920</v>
      </c>
      <c r="I24" s="277">
        <v>32</v>
      </c>
      <c r="J24" s="276" t="s">
        <v>922</v>
      </c>
      <c r="K24" s="512">
        <v>1</v>
      </c>
    </row>
    <row r="25" spans="1:11" ht="33.75" customHeight="1">
      <c r="A25" s="1767"/>
      <c r="B25" s="274" t="s">
        <v>5198</v>
      </c>
      <c r="C25" s="281" t="s">
        <v>5199</v>
      </c>
      <c r="D25" s="276" t="s">
        <v>1035</v>
      </c>
      <c r="E25" s="276">
        <v>0</v>
      </c>
      <c r="F25" s="276" t="s">
        <v>920</v>
      </c>
      <c r="G25" s="281" t="s">
        <v>3324</v>
      </c>
      <c r="H25" s="276" t="s">
        <v>920</v>
      </c>
      <c r="I25" s="277">
        <v>32</v>
      </c>
      <c r="J25" s="276" t="s">
        <v>922</v>
      </c>
      <c r="K25" s="512">
        <v>1</v>
      </c>
    </row>
    <row r="26" spans="1:11" ht="15" customHeight="1">
      <c r="A26" s="1767"/>
      <c r="B26" s="274" t="s">
        <v>5200</v>
      </c>
      <c r="C26" s="281" t="s">
        <v>5201</v>
      </c>
      <c r="D26" s="276" t="s">
        <v>5202</v>
      </c>
      <c r="E26" s="276">
        <v>-10</v>
      </c>
      <c r="F26" s="276" t="s">
        <v>920</v>
      </c>
      <c r="G26" s="275" t="s">
        <v>5203</v>
      </c>
      <c r="H26" s="276" t="s">
        <v>920</v>
      </c>
      <c r="I26" s="277">
        <v>32</v>
      </c>
      <c r="J26" s="276" t="s">
        <v>922</v>
      </c>
      <c r="K26" s="512">
        <v>1</v>
      </c>
    </row>
    <row r="27" spans="1:11" ht="15" customHeight="1">
      <c r="A27" s="1767"/>
      <c r="B27" s="274" t="s">
        <v>5204</v>
      </c>
      <c r="C27" s="281" t="s">
        <v>5205</v>
      </c>
      <c r="D27" s="276" t="s">
        <v>5202</v>
      </c>
      <c r="E27" s="276">
        <v>0</v>
      </c>
      <c r="F27" s="276" t="s">
        <v>920</v>
      </c>
      <c r="G27" s="281" t="s">
        <v>5206</v>
      </c>
      <c r="H27" s="276" t="s">
        <v>920</v>
      </c>
      <c r="I27" s="277">
        <v>32</v>
      </c>
      <c r="J27" s="276" t="s">
        <v>922</v>
      </c>
      <c r="K27" s="512">
        <v>1</v>
      </c>
    </row>
    <row r="28" spans="1:11" ht="30.75" customHeight="1">
      <c r="A28" s="1767"/>
      <c r="B28" s="274" t="s">
        <v>5207</v>
      </c>
      <c r="C28" s="281" t="s">
        <v>5208</v>
      </c>
      <c r="D28" s="276" t="s">
        <v>5202</v>
      </c>
      <c r="E28" s="276">
        <v>-10</v>
      </c>
      <c r="F28" s="276" t="s">
        <v>920</v>
      </c>
      <c r="G28" s="275" t="s">
        <v>5203</v>
      </c>
      <c r="H28" s="276" t="s">
        <v>920</v>
      </c>
      <c r="I28" s="277">
        <v>32</v>
      </c>
      <c r="J28" s="276" t="s">
        <v>922</v>
      </c>
      <c r="K28" s="512">
        <v>1</v>
      </c>
    </row>
    <row r="29" spans="1:11" ht="27.75" customHeight="1">
      <c r="A29" s="1767"/>
      <c r="B29" s="274" t="s">
        <v>5209</v>
      </c>
      <c r="C29" s="281" t="s">
        <v>5210</v>
      </c>
      <c r="D29" s="276" t="s">
        <v>5202</v>
      </c>
      <c r="E29" s="276">
        <v>0</v>
      </c>
      <c r="F29" s="276" t="s">
        <v>920</v>
      </c>
      <c r="G29" s="281" t="s">
        <v>5206</v>
      </c>
      <c r="H29" s="276" t="s">
        <v>920</v>
      </c>
      <c r="I29" s="277">
        <v>32</v>
      </c>
      <c r="J29" s="276" t="s">
        <v>922</v>
      </c>
      <c r="K29" s="512">
        <v>1</v>
      </c>
    </row>
    <row r="30" spans="1:11" ht="27.75" customHeight="1">
      <c r="A30" s="1767"/>
      <c r="B30" s="278" t="s">
        <v>5211</v>
      </c>
      <c r="C30" s="275" t="s">
        <v>5212</v>
      </c>
      <c r="D30" s="277" t="s">
        <v>5202</v>
      </c>
      <c r="E30" s="276">
        <v>-12.7</v>
      </c>
      <c r="F30" s="279" t="s">
        <v>920</v>
      </c>
      <c r="G30" s="275" t="s">
        <v>5213</v>
      </c>
      <c r="H30" s="279" t="s">
        <v>920</v>
      </c>
      <c r="I30" s="277">
        <v>32</v>
      </c>
      <c r="J30" s="279" t="s">
        <v>922</v>
      </c>
      <c r="K30" s="512">
        <v>1</v>
      </c>
    </row>
    <row r="31" spans="1:11" ht="15" customHeight="1">
      <c r="A31" s="1767"/>
      <c r="B31" s="278" t="s">
        <v>5214</v>
      </c>
      <c r="C31" s="275" t="s">
        <v>5215</v>
      </c>
      <c r="D31" s="277" t="s">
        <v>5202</v>
      </c>
      <c r="E31" s="279">
        <v>0</v>
      </c>
      <c r="F31" s="279" t="s">
        <v>920</v>
      </c>
      <c r="G31" s="275" t="s">
        <v>5206</v>
      </c>
      <c r="H31" s="277" t="s">
        <v>920</v>
      </c>
      <c r="I31" s="277">
        <v>32</v>
      </c>
      <c r="J31" s="277" t="s">
        <v>922</v>
      </c>
      <c r="K31" s="512">
        <v>1</v>
      </c>
    </row>
    <row r="32" spans="1:11" ht="15" customHeight="1">
      <c r="A32" s="1767"/>
      <c r="B32" s="274" t="s">
        <v>5216</v>
      </c>
      <c r="C32" s="281" t="s">
        <v>5217</v>
      </c>
      <c r="D32" s="276" t="s">
        <v>5202</v>
      </c>
      <c r="E32" s="276">
        <v>-20</v>
      </c>
      <c r="F32" s="276" t="s">
        <v>920</v>
      </c>
      <c r="G32" s="275" t="s">
        <v>5218</v>
      </c>
      <c r="H32" s="276" t="s">
        <v>920</v>
      </c>
      <c r="I32" s="277">
        <v>32</v>
      </c>
      <c r="J32" s="276" t="s">
        <v>922</v>
      </c>
      <c r="K32" s="512">
        <v>1</v>
      </c>
    </row>
    <row r="33" spans="1:11" ht="15" customHeight="1">
      <c r="A33" s="1767"/>
      <c r="B33" s="274" t="s">
        <v>5219</v>
      </c>
      <c r="C33" s="281" t="s">
        <v>5220</v>
      </c>
      <c r="D33" s="276" t="s">
        <v>5202</v>
      </c>
      <c r="E33" s="276">
        <v>0</v>
      </c>
      <c r="F33" s="276" t="s">
        <v>920</v>
      </c>
      <c r="G33" s="281" t="s">
        <v>5206</v>
      </c>
      <c r="H33" s="276" t="s">
        <v>920</v>
      </c>
      <c r="I33" s="277">
        <v>32</v>
      </c>
      <c r="J33" s="276" t="s">
        <v>922</v>
      </c>
      <c r="K33" s="512">
        <v>1</v>
      </c>
    </row>
    <row r="34" spans="1:11" ht="15" customHeight="1">
      <c r="A34" s="1767"/>
      <c r="B34" s="278" t="s">
        <v>5221</v>
      </c>
      <c r="C34" s="275" t="s">
        <v>5222</v>
      </c>
      <c r="D34" s="277" t="s">
        <v>1035</v>
      </c>
      <c r="E34" s="279">
        <v>-120</v>
      </c>
      <c r="F34" s="279" t="s">
        <v>920</v>
      </c>
      <c r="G34" s="275" t="s">
        <v>5223</v>
      </c>
      <c r="H34" s="277" t="s">
        <v>920</v>
      </c>
      <c r="I34" s="277">
        <v>32</v>
      </c>
      <c r="J34" s="277" t="s">
        <v>922</v>
      </c>
      <c r="K34" s="512">
        <v>1</v>
      </c>
    </row>
    <row r="35" spans="1:11" ht="15" customHeight="1">
      <c r="A35" s="1767"/>
      <c r="B35" s="278" t="s">
        <v>5224</v>
      </c>
      <c r="C35" s="275" t="s">
        <v>5225</v>
      </c>
      <c r="D35" s="277" t="s">
        <v>1035</v>
      </c>
      <c r="E35" s="279">
        <v>0</v>
      </c>
      <c r="F35" s="279" t="s">
        <v>920</v>
      </c>
      <c r="G35" s="275" t="s">
        <v>5226</v>
      </c>
      <c r="H35" s="277" t="s">
        <v>920</v>
      </c>
      <c r="I35" s="277">
        <v>32</v>
      </c>
      <c r="J35" s="277" t="s">
        <v>922</v>
      </c>
      <c r="K35" s="512">
        <v>1</v>
      </c>
    </row>
    <row r="36" spans="1:11" ht="15" customHeight="1">
      <c r="A36" s="1767"/>
      <c r="B36" s="274" t="s">
        <v>5227</v>
      </c>
      <c r="C36" s="281" t="s">
        <v>5228</v>
      </c>
      <c r="D36" s="276" t="s">
        <v>1035</v>
      </c>
      <c r="E36" s="276">
        <v>-50</v>
      </c>
      <c r="F36" s="276" t="s">
        <v>920</v>
      </c>
      <c r="G36" s="281" t="s">
        <v>5197</v>
      </c>
      <c r="H36" s="276" t="s">
        <v>920</v>
      </c>
      <c r="I36" s="277">
        <v>32</v>
      </c>
      <c r="J36" s="276" t="s">
        <v>922</v>
      </c>
      <c r="K36" s="512">
        <v>1</v>
      </c>
    </row>
    <row r="37" spans="1:11" ht="15" customHeight="1">
      <c r="A37" s="1767"/>
      <c r="B37" s="274" t="s">
        <v>5229</v>
      </c>
      <c r="C37" s="281" t="s">
        <v>5230</v>
      </c>
      <c r="D37" s="276" t="s">
        <v>1035</v>
      </c>
      <c r="E37" s="276">
        <v>0</v>
      </c>
      <c r="F37" s="276" t="s">
        <v>920</v>
      </c>
      <c r="G37" s="281" t="s">
        <v>3324</v>
      </c>
      <c r="H37" s="276" t="s">
        <v>920</v>
      </c>
      <c r="I37" s="277">
        <v>32</v>
      </c>
      <c r="J37" s="276" t="s">
        <v>922</v>
      </c>
      <c r="K37" s="512">
        <v>1</v>
      </c>
    </row>
    <row r="38" spans="1:11" ht="35.25" customHeight="1">
      <c r="A38" s="1767"/>
      <c r="B38" s="278" t="s">
        <v>5231</v>
      </c>
      <c r="C38" s="275" t="s">
        <v>5232</v>
      </c>
      <c r="D38" s="277" t="s">
        <v>919</v>
      </c>
      <c r="E38" s="279">
        <v>-200</v>
      </c>
      <c r="F38" s="279" t="s">
        <v>920</v>
      </c>
      <c r="G38" s="275" t="s">
        <v>5233</v>
      </c>
      <c r="H38" s="277" t="s">
        <v>920</v>
      </c>
      <c r="I38" s="277">
        <v>32</v>
      </c>
      <c r="J38" s="277" t="s">
        <v>922</v>
      </c>
      <c r="K38" s="512">
        <v>1</v>
      </c>
    </row>
    <row r="39" spans="1:11" ht="15" customHeight="1">
      <c r="A39" s="1767"/>
      <c r="B39" s="278" t="s">
        <v>5234</v>
      </c>
      <c r="C39" s="275" t="s">
        <v>5235</v>
      </c>
      <c r="D39" s="277" t="s">
        <v>919</v>
      </c>
      <c r="E39" s="279">
        <v>0</v>
      </c>
      <c r="F39" s="279" t="s">
        <v>920</v>
      </c>
      <c r="G39" s="275" t="s">
        <v>5236</v>
      </c>
      <c r="H39" s="277" t="s">
        <v>920</v>
      </c>
      <c r="I39" s="277">
        <v>32</v>
      </c>
      <c r="J39" s="277" t="s">
        <v>922</v>
      </c>
      <c r="K39" s="512">
        <v>1</v>
      </c>
    </row>
    <row r="40" spans="1:11" ht="86.4">
      <c r="A40" s="1767"/>
      <c r="B40" s="274" t="s">
        <v>5237</v>
      </c>
      <c r="C40" s="275" t="s">
        <v>5238</v>
      </c>
      <c r="D40" s="276" t="s">
        <v>919</v>
      </c>
      <c r="E40" s="276">
        <v>-100</v>
      </c>
      <c r="F40" s="276" t="s">
        <v>920</v>
      </c>
      <c r="G40" s="281" t="s">
        <v>4276</v>
      </c>
      <c r="H40" s="276" t="s">
        <v>920</v>
      </c>
      <c r="I40" s="277">
        <v>32</v>
      </c>
      <c r="J40" s="276" t="s">
        <v>922</v>
      </c>
      <c r="K40" s="512">
        <v>1</v>
      </c>
    </row>
    <row r="41" spans="1:11" ht="15" customHeight="1">
      <c r="A41" s="1767"/>
      <c r="B41" s="274" t="s">
        <v>5239</v>
      </c>
      <c r="C41" s="281" t="s">
        <v>5240</v>
      </c>
      <c r="D41" s="276" t="s">
        <v>919</v>
      </c>
      <c r="E41" s="276">
        <v>0</v>
      </c>
      <c r="F41" s="276" t="s">
        <v>920</v>
      </c>
      <c r="G41" s="281" t="s">
        <v>4279</v>
      </c>
      <c r="H41" s="276" t="s">
        <v>920</v>
      </c>
      <c r="I41" s="277">
        <v>32</v>
      </c>
      <c r="J41" s="276" t="s">
        <v>922</v>
      </c>
      <c r="K41" s="512">
        <v>1</v>
      </c>
    </row>
    <row r="42" spans="1:11" ht="15" customHeight="1">
      <c r="A42" s="1767"/>
      <c r="B42" s="278" t="s">
        <v>5241</v>
      </c>
      <c r="C42" s="275" t="s">
        <v>5242</v>
      </c>
      <c r="D42" s="277" t="s">
        <v>1035</v>
      </c>
      <c r="E42" s="279">
        <v>-65</v>
      </c>
      <c r="F42" s="279" t="s">
        <v>920</v>
      </c>
      <c r="G42" s="275" t="s">
        <v>5243</v>
      </c>
      <c r="H42" s="277" t="s">
        <v>920</v>
      </c>
      <c r="I42" s="277">
        <v>32</v>
      </c>
      <c r="J42" s="277" t="s">
        <v>922</v>
      </c>
      <c r="K42" s="512">
        <v>1</v>
      </c>
    </row>
    <row r="43" spans="1:11" ht="15" customHeight="1">
      <c r="A43" s="1767"/>
      <c r="B43" s="278" t="s">
        <v>5244</v>
      </c>
      <c r="C43" s="275" t="s">
        <v>5245</v>
      </c>
      <c r="D43" s="277" t="s">
        <v>1035</v>
      </c>
      <c r="E43" s="279">
        <v>0</v>
      </c>
      <c r="F43" s="279" t="s">
        <v>920</v>
      </c>
      <c r="G43" s="275" t="s">
        <v>5246</v>
      </c>
      <c r="H43" s="277" t="s">
        <v>920</v>
      </c>
      <c r="I43" s="277">
        <v>32</v>
      </c>
      <c r="J43" s="277" t="s">
        <v>922</v>
      </c>
      <c r="K43" s="512">
        <v>1</v>
      </c>
    </row>
    <row r="44" spans="1:11" ht="33.75" customHeight="1">
      <c r="A44" s="1767"/>
      <c r="B44" s="274" t="s">
        <v>5247</v>
      </c>
      <c r="C44" s="281" t="s">
        <v>5248</v>
      </c>
      <c r="D44" s="276" t="s">
        <v>936</v>
      </c>
      <c r="E44" s="276">
        <v>-3.14</v>
      </c>
      <c r="F44" s="276" t="s">
        <v>920</v>
      </c>
      <c r="G44" s="281" t="s">
        <v>4515</v>
      </c>
      <c r="H44" s="276" t="s">
        <v>920</v>
      </c>
      <c r="I44" s="277">
        <v>32</v>
      </c>
      <c r="J44" s="276" t="s">
        <v>922</v>
      </c>
      <c r="K44" s="512">
        <v>1</v>
      </c>
    </row>
    <row r="45" spans="1:11" ht="32.25" customHeight="1">
      <c r="A45" s="1768"/>
      <c r="B45" s="215" t="s">
        <v>5249</v>
      </c>
      <c r="C45" s="217" t="s">
        <v>5250</v>
      </c>
      <c r="D45" s="216" t="s">
        <v>936</v>
      </c>
      <c r="E45" s="216">
        <v>0</v>
      </c>
      <c r="F45" s="216" t="s">
        <v>920</v>
      </c>
      <c r="G45" s="217" t="s">
        <v>5251</v>
      </c>
      <c r="H45" s="216" t="s">
        <v>920</v>
      </c>
      <c r="I45" s="211">
        <v>32</v>
      </c>
      <c r="J45" s="216" t="s">
        <v>922</v>
      </c>
      <c r="K45" s="552">
        <v>1</v>
      </c>
    </row>
    <row r="46" spans="1:11" ht="28.8">
      <c r="A46" s="1766" t="s">
        <v>4129</v>
      </c>
      <c r="B46" s="212" t="s">
        <v>5252</v>
      </c>
      <c r="C46" s="214" t="s">
        <v>5253</v>
      </c>
      <c r="D46" s="213" t="s">
        <v>1066</v>
      </c>
      <c r="E46" s="213">
        <v>0</v>
      </c>
      <c r="F46" s="219" t="s">
        <v>920</v>
      </c>
      <c r="G46" s="214" t="s">
        <v>5254</v>
      </c>
      <c r="H46" s="213" t="s">
        <v>920</v>
      </c>
      <c r="I46" s="203">
        <v>32</v>
      </c>
      <c r="J46" s="213" t="s">
        <v>922</v>
      </c>
      <c r="K46" s="512">
        <v>1</v>
      </c>
    </row>
    <row r="47" spans="1:11" ht="28.8">
      <c r="A47" s="1767"/>
      <c r="B47" s="274" t="s">
        <v>5255</v>
      </c>
      <c r="C47" s="281" t="s">
        <v>5256</v>
      </c>
      <c r="D47" s="276" t="s">
        <v>1066</v>
      </c>
      <c r="E47" s="282">
        <v>-2.234</v>
      </c>
      <c r="F47" s="283" t="s">
        <v>920</v>
      </c>
      <c r="G47" s="281" t="s">
        <v>5257</v>
      </c>
      <c r="H47" s="276" t="s">
        <v>920</v>
      </c>
      <c r="I47" s="277">
        <v>32</v>
      </c>
      <c r="J47" s="276" t="s">
        <v>922</v>
      </c>
      <c r="K47" s="512">
        <v>1</v>
      </c>
    </row>
    <row r="48" spans="1:11" ht="43.2">
      <c r="A48" s="1767"/>
      <c r="B48" s="274" t="s">
        <v>5258</v>
      </c>
      <c r="C48" s="275" t="s">
        <v>5259</v>
      </c>
      <c r="D48" s="276" t="s">
        <v>936</v>
      </c>
      <c r="E48" s="282">
        <v>-1.571</v>
      </c>
      <c r="F48" s="283" t="s">
        <v>920</v>
      </c>
      <c r="G48" s="281" t="s">
        <v>5260</v>
      </c>
      <c r="H48" s="276" t="s">
        <v>920</v>
      </c>
      <c r="I48" s="277">
        <v>32</v>
      </c>
      <c r="J48" s="276" t="s">
        <v>922</v>
      </c>
      <c r="K48" s="512">
        <v>1</v>
      </c>
    </row>
    <row r="49" spans="1:11" ht="28.8">
      <c r="A49" s="1767"/>
      <c r="B49" s="278" t="s">
        <v>5261</v>
      </c>
      <c r="C49" s="275" t="s">
        <v>5262</v>
      </c>
      <c r="D49" s="277" t="s">
        <v>936</v>
      </c>
      <c r="E49" s="279">
        <v>0</v>
      </c>
      <c r="F49" s="284" t="s">
        <v>920</v>
      </c>
      <c r="G49" s="275" t="s">
        <v>5263</v>
      </c>
      <c r="H49" s="277" t="s">
        <v>920</v>
      </c>
      <c r="I49" s="277">
        <v>32</v>
      </c>
      <c r="J49" s="277" t="s">
        <v>922</v>
      </c>
      <c r="K49" s="512">
        <v>1</v>
      </c>
    </row>
    <row r="50" spans="1:11" ht="43.2">
      <c r="A50" s="1767"/>
      <c r="B50" s="278" t="s">
        <v>5264</v>
      </c>
      <c r="C50" s="275" t="s">
        <v>5265</v>
      </c>
      <c r="D50" s="277" t="s">
        <v>936</v>
      </c>
      <c r="E50" s="285">
        <v>-1.571</v>
      </c>
      <c r="F50" s="284" t="s">
        <v>920</v>
      </c>
      <c r="G50" s="275" t="s">
        <v>5260</v>
      </c>
      <c r="H50" s="277" t="s">
        <v>920</v>
      </c>
      <c r="I50" s="277">
        <v>32</v>
      </c>
      <c r="J50" s="277" t="s">
        <v>922</v>
      </c>
      <c r="K50" s="512">
        <v>1</v>
      </c>
    </row>
    <row r="51" spans="1:11" ht="28.8">
      <c r="A51" s="1767"/>
      <c r="B51" s="274" t="s">
        <v>5266</v>
      </c>
      <c r="C51" s="281" t="s">
        <v>5267</v>
      </c>
      <c r="D51" s="276" t="s">
        <v>936</v>
      </c>
      <c r="E51" s="276">
        <v>0</v>
      </c>
      <c r="F51" s="283" t="s">
        <v>920</v>
      </c>
      <c r="G51" s="281" t="s">
        <v>5263</v>
      </c>
      <c r="H51" s="276" t="s">
        <v>920</v>
      </c>
      <c r="I51" s="277">
        <v>32</v>
      </c>
      <c r="J51" s="276" t="s">
        <v>922</v>
      </c>
      <c r="K51" s="512">
        <v>1</v>
      </c>
    </row>
    <row r="52" spans="1:11" ht="43.2">
      <c r="A52" s="1767"/>
      <c r="B52" s="274" t="s">
        <v>5268</v>
      </c>
      <c r="C52" s="275" t="s">
        <v>5269</v>
      </c>
      <c r="D52" s="276" t="s">
        <v>936</v>
      </c>
      <c r="E52" s="282">
        <v>-1.571</v>
      </c>
      <c r="F52" s="283" t="s">
        <v>920</v>
      </c>
      <c r="G52" s="281" t="s">
        <v>5260</v>
      </c>
      <c r="H52" s="276" t="s">
        <v>920</v>
      </c>
      <c r="I52" s="277">
        <v>32</v>
      </c>
      <c r="J52" s="276" t="s">
        <v>922</v>
      </c>
      <c r="K52" s="512">
        <v>1</v>
      </c>
    </row>
    <row r="53" spans="1:11" ht="28.8">
      <c r="A53" s="1767"/>
      <c r="B53" s="278" t="s">
        <v>5270</v>
      </c>
      <c r="C53" s="275" t="s">
        <v>5271</v>
      </c>
      <c r="D53" s="277" t="s">
        <v>936</v>
      </c>
      <c r="E53" s="279">
        <v>0</v>
      </c>
      <c r="F53" s="279" t="s">
        <v>920</v>
      </c>
      <c r="G53" s="275" t="s">
        <v>5263</v>
      </c>
      <c r="H53" s="277" t="s">
        <v>920</v>
      </c>
      <c r="I53" s="277">
        <v>32</v>
      </c>
      <c r="J53" s="277" t="s">
        <v>922</v>
      </c>
      <c r="K53" s="512">
        <v>1</v>
      </c>
    </row>
    <row r="54" spans="1:11" ht="43.15" customHeight="1">
      <c r="A54" s="1767"/>
      <c r="B54" s="274" t="s">
        <v>5272</v>
      </c>
      <c r="C54" s="281" t="s">
        <v>5273</v>
      </c>
      <c r="D54" s="276" t="s">
        <v>936</v>
      </c>
      <c r="E54" s="283">
        <v>-1.571</v>
      </c>
      <c r="F54" s="283" t="s">
        <v>920</v>
      </c>
      <c r="G54" s="281" t="s">
        <v>5260</v>
      </c>
      <c r="H54" s="276" t="s">
        <v>920</v>
      </c>
      <c r="I54" s="277">
        <v>32</v>
      </c>
      <c r="J54" s="276" t="s">
        <v>922</v>
      </c>
      <c r="K54" s="512">
        <v>1</v>
      </c>
    </row>
    <row r="55" spans="1:11" ht="57.6" customHeight="1">
      <c r="A55" s="1767"/>
      <c r="B55" s="274" t="s">
        <v>5274</v>
      </c>
      <c r="C55" s="281" t="s">
        <v>5275</v>
      </c>
      <c r="D55" s="276" t="s">
        <v>936</v>
      </c>
      <c r="E55" s="276">
        <v>0</v>
      </c>
      <c r="F55" s="276" t="s">
        <v>920</v>
      </c>
      <c r="G55" s="281" t="s">
        <v>5263</v>
      </c>
      <c r="H55" s="276" t="s">
        <v>920</v>
      </c>
      <c r="I55" s="277">
        <v>32</v>
      </c>
      <c r="J55" s="276" t="s">
        <v>922</v>
      </c>
      <c r="K55" s="512">
        <v>1</v>
      </c>
    </row>
    <row r="56" spans="1:11" ht="43.2">
      <c r="A56" s="1767"/>
      <c r="B56" s="274" t="s">
        <v>5276</v>
      </c>
      <c r="C56" s="275" t="s">
        <v>5277</v>
      </c>
      <c r="D56" s="277" t="s">
        <v>936</v>
      </c>
      <c r="E56" s="279">
        <v>-1.571</v>
      </c>
      <c r="F56" s="279" t="s">
        <v>920</v>
      </c>
      <c r="G56" s="286" t="s">
        <v>5260</v>
      </c>
      <c r="H56" s="277" t="s">
        <v>920</v>
      </c>
      <c r="I56" s="277">
        <v>32</v>
      </c>
      <c r="J56" s="277" t="s">
        <v>922</v>
      </c>
      <c r="K56" s="512">
        <v>1</v>
      </c>
    </row>
    <row r="57" spans="1:11" ht="44.25" customHeight="1">
      <c r="A57" s="1768"/>
      <c r="B57" s="215" t="s">
        <v>5278</v>
      </c>
      <c r="C57" s="217" t="s">
        <v>5279</v>
      </c>
      <c r="D57" s="211" t="s">
        <v>936</v>
      </c>
      <c r="E57" s="220">
        <v>0</v>
      </c>
      <c r="F57" s="220" t="s">
        <v>920</v>
      </c>
      <c r="G57" s="221" t="s">
        <v>5263</v>
      </c>
      <c r="H57" s="211" t="s">
        <v>920</v>
      </c>
      <c r="I57" s="211">
        <v>32</v>
      </c>
      <c r="J57" s="211" t="s">
        <v>922</v>
      </c>
      <c r="K57" s="552">
        <v>1</v>
      </c>
    </row>
  </sheetData>
  <autoFilter ref="A3:J57" xr:uid="{1DF3292C-2FDC-4ACF-A694-16658D367758}">
    <filterColumn colId="3">
      <filters>
        <filter val="m"/>
        <filter val="m/s"/>
        <filter val="m/s2"/>
        <filter val="rad"/>
        <filter val="rad/s"/>
      </filters>
    </filterColumn>
  </autoFilter>
  <mergeCells count="8">
    <mergeCell ref="A16:A45"/>
    <mergeCell ref="A46:A57"/>
    <mergeCell ref="B1:C1"/>
    <mergeCell ref="D1:E1"/>
    <mergeCell ref="A4:A5"/>
    <mergeCell ref="A6:A9"/>
    <mergeCell ref="A10:A12"/>
    <mergeCell ref="A13:A15"/>
  </mergeCells>
  <hyperlinks>
    <hyperlink ref="H1" location="AVI_Objects!A1" display="AVI_Objects" xr:uid="{F93B95A1-076E-4516-8B1A-E08942080C83}"/>
  </hyperlinks>
  <pageMargins left="0.7" right="0.7" top="0.75" bottom="0.75" header="0.3" footer="0.3"/>
  <pageSetup paperSize="9" orientation="portrait" r:id="rId1"/>
  <headerFooter>
    <oddFooter>&amp;C_x000D_&amp;1#&amp;"Calibri"&amp;11&amp;KFF0000 Internal</oddFooter>
  </headerFooter>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84406-6907-440B-B4B2-A644D5C20D39}">
  <sheetPr codeName="Sheet15"/>
  <dimension ref="A1:G35"/>
  <sheetViews>
    <sheetView zoomScaleNormal="100" workbookViewId="0">
      <pane ySplit="1" topLeftCell="A22" activePane="bottomLeft" state="frozen"/>
      <selection activeCell="C22" activeCellId="1" sqref="A1:AS1 C22"/>
      <selection pane="bottomLeft" activeCell="B35" sqref="B35"/>
    </sheetView>
  </sheetViews>
  <sheetFormatPr defaultColWidth="9.15625" defaultRowHeight="14.4"/>
  <cols>
    <col min="1" max="1" width="11" style="1025" bestFit="1" customWidth="1"/>
    <col min="2" max="2" width="9.83984375" style="302" bestFit="1" customWidth="1"/>
    <col min="3" max="3" width="69.15625" customWidth="1"/>
    <col min="4" max="4" width="17" customWidth="1"/>
    <col min="5" max="5" width="11.578125" bestFit="1" customWidth="1"/>
  </cols>
  <sheetData>
    <row r="1" spans="1:7">
      <c r="A1" s="1024" t="s">
        <v>644</v>
      </c>
      <c r="B1" s="677" t="s">
        <v>645</v>
      </c>
      <c r="C1" s="643" t="s">
        <v>646</v>
      </c>
      <c r="D1" s="643" t="s">
        <v>647</v>
      </c>
      <c r="E1" s="644" t="s">
        <v>793</v>
      </c>
    </row>
    <row r="2" spans="1:7">
      <c r="A2" s="629">
        <v>0.1</v>
      </c>
      <c r="B2" s="188">
        <v>44687</v>
      </c>
      <c r="C2" s="584" t="s">
        <v>4797</v>
      </c>
      <c r="D2" s="585" t="s">
        <v>3176</v>
      </c>
      <c r="E2" s="586" t="s">
        <v>655</v>
      </c>
    </row>
    <row r="3" spans="1:7">
      <c r="A3" s="1010">
        <v>0.1</v>
      </c>
      <c r="B3" s="51">
        <v>44694</v>
      </c>
      <c r="C3" s="5" t="s">
        <v>1590</v>
      </c>
      <c r="D3" s="5" t="s">
        <v>654</v>
      </c>
      <c r="E3" s="5" t="s">
        <v>655</v>
      </c>
    </row>
    <row r="4" spans="1:7" ht="15" customHeight="1">
      <c r="A4" s="1010">
        <v>0.2</v>
      </c>
      <c r="B4" s="51">
        <v>44706</v>
      </c>
      <c r="C4" s="576" t="s">
        <v>5280</v>
      </c>
      <c r="D4" s="5" t="s">
        <v>3176</v>
      </c>
      <c r="E4" s="5" t="s">
        <v>655</v>
      </c>
    </row>
    <row r="5" spans="1:7" ht="15" customHeight="1">
      <c r="A5" s="1010">
        <v>1</v>
      </c>
      <c r="B5" s="51">
        <v>44706</v>
      </c>
      <c r="C5" s="5" t="s">
        <v>651</v>
      </c>
      <c r="D5" s="5" t="s">
        <v>3176</v>
      </c>
      <c r="E5" s="5" t="s">
        <v>651</v>
      </c>
    </row>
    <row r="6" spans="1:7" ht="18" customHeight="1">
      <c r="A6" s="1010">
        <v>1</v>
      </c>
      <c r="B6" s="51">
        <v>44719</v>
      </c>
      <c r="C6" s="5" t="s">
        <v>660</v>
      </c>
      <c r="D6" s="5" t="s">
        <v>654</v>
      </c>
      <c r="E6" s="5" t="s">
        <v>661</v>
      </c>
      <c r="G6" s="94"/>
    </row>
    <row r="7" spans="1:7" ht="100.8">
      <c r="A7" s="1010">
        <v>1.1000000000000001</v>
      </c>
      <c r="B7" s="51">
        <v>44726</v>
      </c>
      <c r="C7" s="576" t="s">
        <v>5281</v>
      </c>
      <c r="D7" s="653" t="s">
        <v>3176</v>
      </c>
      <c r="E7" s="5" t="s">
        <v>655</v>
      </c>
    </row>
    <row r="8" spans="1:7" ht="16.149999999999999" customHeight="1">
      <c r="A8" s="1010">
        <v>1.1000000000000001</v>
      </c>
      <c r="B8" s="51">
        <v>44727</v>
      </c>
      <c r="C8" s="5" t="s">
        <v>5282</v>
      </c>
      <c r="D8" s="653" t="s">
        <v>654</v>
      </c>
      <c r="E8" s="5" t="s">
        <v>655</v>
      </c>
    </row>
    <row r="9" spans="1:7" ht="72">
      <c r="A9" s="1010">
        <v>1.2</v>
      </c>
      <c r="B9" s="51">
        <v>44727</v>
      </c>
      <c r="C9" s="613" t="s">
        <v>5283</v>
      </c>
      <c r="D9" s="5" t="s">
        <v>3176</v>
      </c>
      <c r="E9" s="5" t="s">
        <v>655</v>
      </c>
    </row>
    <row r="10" spans="1:7" ht="43.2">
      <c r="A10" s="1010">
        <v>1.2</v>
      </c>
      <c r="B10" s="51">
        <v>44739</v>
      </c>
      <c r="C10" s="576" t="s">
        <v>5284</v>
      </c>
      <c r="D10" s="5" t="s">
        <v>3176</v>
      </c>
      <c r="E10" s="5" t="s">
        <v>655</v>
      </c>
    </row>
    <row r="11" spans="1:7" ht="224.25" customHeight="1">
      <c r="A11" s="1010">
        <v>1.3</v>
      </c>
      <c r="B11" s="51">
        <v>44741</v>
      </c>
      <c r="C11" s="576" t="s">
        <v>5285</v>
      </c>
      <c r="D11" s="5" t="s">
        <v>3176</v>
      </c>
      <c r="E11" s="5" t="s">
        <v>655</v>
      </c>
    </row>
    <row r="12" spans="1:7" ht="20.25" customHeight="1">
      <c r="A12" s="1010">
        <v>1.3</v>
      </c>
      <c r="B12" s="51">
        <v>44741</v>
      </c>
      <c r="C12" s="5" t="s">
        <v>5286</v>
      </c>
      <c r="D12" s="5" t="s">
        <v>658</v>
      </c>
      <c r="E12" s="5" t="s">
        <v>655</v>
      </c>
    </row>
    <row r="13" spans="1:7" ht="16.149999999999999" customHeight="1">
      <c r="A13" s="1010">
        <v>2</v>
      </c>
      <c r="B13" s="51">
        <v>44741</v>
      </c>
      <c r="C13" s="5" t="s">
        <v>651</v>
      </c>
      <c r="D13" s="5" t="s">
        <v>3176</v>
      </c>
      <c r="E13" s="5" t="s">
        <v>651</v>
      </c>
    </row>
    <row r="14" spans="1:7" ht="15.75" customHeight="1">
      <c r="A14" s="1010">
        <v>2</v>
      </c>
      <c r="B14" s="654">
        <v>44742</v>
      </c>
      <c r="C14" s="5" t="s">
        <v>1362</v>
      </c>
      <c r="D14" s="5" t="s">
        <v>654</v>
      </c>
      <c r="E14" s="5" t="s">
        <v>661</v>
      </c>
    </row>
    <row r="15" spans="1:7" ht="15.75" customHeight="1">
      <c r="A15" s="1010">
        <v>2.1</v>
      </c>
      <c r="B15" s="654">
        <v>44889</v>
      </c>
      <c r="C15" s="5" t="s">
        <v>5287</v>
      </c>
      <c r="D15" s="5" t="s">
        <v>3176</v>
      </c>
      <c r="E15" s="5" t="s">
        <v>655</v>
      </c>
    </row>
    <row r="16" spans="1:7" ht="15.75" customHeight="1">
      <c r="A16" s="1010">
        <v>2.2000000000000002</v>
      </c>
      <c r="B16" s="51">
        <v>44895</v>
      </c>
      <c r="C16" s="5" t="s">
        <v>4333</v>
      </c>
      <c r="D16" s="5" t="s">
        <v>3176</v>
      </c>
      <c r="E16" s="5" t="s">
        <v>655</v>
      </c>
    </row>
    <row r="17" spans="1:5" ht="15.75" customHeight="1">
      <c r="A17" s="1010">
        <v>2.2000000000000002</v>
      </c>
      <c r="B17" s="654">
        <v>44895</v>
      </c>
      <c r="C17" s="5" t="s">
        <v>5288</v>
      </c>
      <c r="D17" s="5" t="s">
        <v>3176</v>
      </c>
      <c r="E17" s="5" t="s">
        <v>655</v>
      </c>
    </row>
    <row r="18" spans="1:5" ht="15.75" customHeight="1">
      <c r="A18" s="1010">
        <v>2.2999999999999998</v>
      </c>
      <c r="B18" s="654">
        <v>44897</v>
      </c>
      <c r="C18" s="5" t="s">
        <v>4645</v>
      </c>
      <c r="D18" s="5" t="s">
        <v>3176</v>
      </c>
      <c r="E18" s="5" t="s">
        <v>655</v>
      </c>
    </row>
    <row r="19" spans="1:5" ht="57.6">
      <c r="A19" s="1010">
        <v>2.4</v>
      </c>
      <c r="B19" s="654">
        <v>44904</v>
      </c>
      <c r="C19" s="576" t="s">
        <v>5289</v>
      </c>
      <c r="D19" s="5" t="s">
        <v>3176</v>
      </c>
      <c r="E19" s="5" t="s">
        <v>655</v>
      </c>
    </row>
    <row r="20" spans="1:5">
      <c r="A20" s="1010">
        <v>2.4</v>
      </c>
      <c r="B20" s="654">
        <v>44956</v>
      </c>
      <c r="C20" s="5" t="s">
        <v>3711</v>
      </c>
      <c r="D20" s="5" t="s">
        <v>658</v>
      </c>
      <c r="E20" s="5" t="s">
        <v>655</v>
      </c>
    </row>
    <row r="21" spans="1:5">
      <c r="A21" s="1010">
        <v>2.5</v>
      </c>
      <c r="B21" s="654">
        <v>44956</v>
      </c>
      <c r="C21" s="5" t="s">
        <v>5290</v>
      </c>
      <c r="D21" s="5" t="s">
        <v>3176</v>
      </c>
      <c r="E21" s="5" t="s">
        <v>655</v>
      </c>
    </row>
    <row r="22" spans="1:5">
      <c r="A22" s="1010">
        <v>2.5</v>
      </c>
      <c r="B22" s="654">
        <v>44956</v>
      </c>
      <c r="C22" s="5" t="s">
        <v>3711</v>
      </c>
      <c r="D22" s="5" t="s">
        <v>658</v>
      </c>
      <c r="E22" s="5" t="s">
        <v>655</v>
      </c>
    </row>
    <row r="23" spans="1:5">
      <c r="A23" s="1010">
        <v>3</v>
      </c>
      <c r="B23" s="654">
        <v>44956</v>
      </c>
      <c r="C23" s="5" t="s">
        <v>651</v>
      </c>
      <c r="D23" s="5" t="s">
        <v>3176</v>
      </c>
      <c r="E23" s="5" t="s">
        <v>651</v>
      </c>
    </row>
    <row r="24" spans="1:5">
      <c r="A24" s="1010">
        <v>3</v>
      </c>
      <c r="B24" s="51">
        <v>44957</v>
      </c>
      <c r="C24" s="5" t="s">
        <v>687</v>
      </c>
      <c r="D24" s="5" t="s">
        <v>676</v>
      </c>
      <c r="E24" s="5" t="s">
        <v>661</v>
      </c>
    </row>
    <row r="25" spans="1:5" ht="28.8">
      <c r="A25" s="1010">
        <v>3.1</v>
      </c>
      <c r="B25" s="654">
        <v>44967</v>
      </c>
      <c r="C25" s="613" t="s">
        <v>5291</v>
      </c>
      <c r="D25" s="5" t="s">
        <v>3176</v>
      </c>
      <c r="E25" s="5" t="s">
        <v>655</v>
      </c>
    </row>
    <row r="26" spans="1:5">
      <c r="A26" s="1010">
        <v>3.1</v>
      </c>
      <c r="B26" s="654">
        <v>44971</v>
      </c>
      <c r="C26" s="5" t="s">
        <v>5292</v>
      </c>
      <c r="D26" s="5" t="s">
        <v>678</v>
      </c>
      <c r="E26" s="5" t="s">
        <v>655</v>
      </c>
    </row>
    <row r="27" spans="1:5">
      <c r="A27" s="1010">
        <v>4</v>
      </c>
      <c r="B27" s="654">
        <v>44971</v>
      </c>
      <c r="C27" s="5" t="s">
        <v>651</v>
      </c>
      <c r="D27" s="5" t="s">
        <v>3176</v>
      </c>
      <c r="E27" s="5" t="s">
        <v>651</v>
      </c>
    </row>
    <row r="28" spans="1:5">
      <c r="A28" s="1010">
        <v>4.0999999999999996</v>
      </c>
      <c r="B28" s="654">
        <v>44977</v>
      </c>
      <c r="C28" s="576" t="s">
        <v>5293</v>
      </c>
      <c r="D28" s="5" t="s">
        <v>3176</v>
      </c>
      <c r="E28" s="5" t="s">
        <v>655</v>
      </c>
    </row>
    <row r="29" spans="1:5">
      <c r="A29" s="1010">
        <v>4.0999999999999996</v>
      </c>
      <c r="B29" s="654">
        <v>44977</v>
      </c>
      <c r="C29" s="5" t="s">
        <v>5294</v>
      </c>
      <c r="D29" s="5" t="s">
        <v>676</v>
      </c>
      <c r="E29" s="5" t="s">
        <v>655</v>
      </c>
    </row>
    <row r="30" spans="1:5">
      <c r="A30" s="1010">
        <v>5</v>
      </c>
      <c r="B30" s="654">
        <v>44977</v>
      </c>
      <c r="C30" s="5" t="s">
        <v>651</v>
      </c>
      <c r="D30" s="5" t="s">
        <v>3176</v>
      </c>
      <c r="E30" s="5" t="s">
        <v>651</v>
      </c>
    </row>
    <row r="31" spans="1:5">
      <c r="A31" s="1010">
        <v>5</v>
      </c>
      <c r="B31" s="654">
        <v>44977</v>
      </c>
      <c r="C31" s="5" t="s">
        <v>691</v>
      </c>
      <c r="D31" s="5" t="s">
        <v>676</v>
      </c>
      <c r="E31" s="5" t="s">
        <v>661</v>
      </c>
    </row>
    <row r="32" spans="1:5">
      <c r="A32" s="1010">
        <v>5</v>
      </c>
      <c r="B32" s="191">
        <v>44998</v>
      </c>
      <c r="C32" s="2" t="s">
        <v>692</v>
      </c>
      <c r="D32" s="5" t="s">
        <v>678</v>
      </c>
      <c r="E32" s="5" t="s">
        <v>661</v>
      </c>
    </row>
    <row r="33" spans="1:5">
      <c r="A33" s="1010" t="s">
        <v>690</v>
      </c>
      <c r="B33" s="191">
        <v>45078</v>
      </c>
      <c r="C33" s="5" t="s">
        <v>699</v>
      </c>
      <c r="D33" s="5" t="s">
        <v>678</v>
      </c>
      <c r="E33" s="5" t="s">
        <v>661</v>
      </c>
    </row>
    <row r="34" spans="1:5">
      <c r="A34" s="1012" t="s">
        <v>690</v>
      </c>
      <c r="B34" s="1065">
        <v>45097</v>
      </c>
      <c r="C34" s="5" t="s">
        <v>700</v>
      </c>
      <c r="D34" s="5" t="s">
        <v>678</v>
      </c>
      <c r="E34" s="5" t="s">
        <v>661</v>
      </c>
    </row>
    <row r="35" spans="1:5">
      <c r="A35" s="1012" t="s">
        <v>690</v>
      </c>
      <c r="B35" s="1065">
        <v>45205</v>
      </c>
      <c r="C35" s="595" t="s">
        <v>701</v>
      </c>
      <c r="D35" s="595" t="s">
        <v>678</v>
      </c>
      <c r="E35" s="596" t="s">
        <v>661</v>
      </c>
    </row>
  </sheetData>
  <pageMargins left="0.7" right="0.7" top="0.75" bottom="0.75" header="0.3" footer="0.3"/>
  <pageSetup paperSize="9" orientation="portrait" r:id="rId1"/>
  <headerFooter>
    <oddFooter>&amp;C_x000D_&amp;1#&amp;"Calibri"&amp;11&amp;KFF0000 Internal</oddFooter>
  </headerFooter>
  <tableParts count="1">
    <tablePart r:id="rId2"/>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70D16-69C0-4525-B5A4-96339AF2872C}">
  <sheetPr codeName="Sheet54"/>
  <dimension ref="A1:J4"/>
  <sheetViews>
    <sheetView zoomScaleNormal="100" workbookViewId="0">
      <pane ySplit="3" topLeftCell="A4" activePane="bottomLeft" state="frozen"/>
      <selection activeCell="C22" activeCellId="1" sqref="A1:AS1 C22"/>
      <selection pane="bottomLeft" activeCell="A4" sqref="A4"/>
    </sheetView>
  </sheetViews>
  <sheetFormatPr defaultColWidth="9.15625" defaultRowHeight="14.4"/>
  <cols>
    <col min="1" max="1" width="28.26171875" bestFit="1" customWidth="1"/>
    <col min="2" max="2" width="23.26171875" bestFit="1" customWidth="1"/>
    <col min="3" max="3" width="41.83984375" customWidth="1"/>
    <col min="4" max="4" width="9" bestFit="1" customWidth="1"/>
    <col min="5" max="5" width="8.68359375" bestFit="1" customWidth="1"/>
    <col min="6" max="6" width="9.15625" bestFit="1" customWidth="1"/>
    <col min="7" max="7" width="24.578125" bestFit="1" customWidth="1"/>
    <col min="8" max="8" width="11.578125" bestFit="1" customWidth="1"/>
    <col min="9" max="9" width="8.68359375" bestFit="1" customWidth="1"/>
    <col min="10" max="10" width="17" bestFit="1" customWidth="1"/>
  </cols>
  <sheetData>
    <row r="1" spans="1:10">
      <c r="A1" s="199" t="s">
        <v>4509</v>
      </c>
      <c r="B1" s="1721" t="s">
        <v>4246</v>
      </c>
      <c r="C1" s="1722"/>
      <c r="D1" s="1723" t="s">
        <v>106</v>
      </c>
      <c r="E1" s="1724"/>
      <c r="F1" s="250">
        <v>2</v>
      </c>
      <c r="G1" s="270"/>
      <c r="H1" s="270"/>
      <c r="I1" s="270"/>
      <c r="J1" s="271" t="s">
        <v>84</v>
      </c>
    </row>
    <row r="2" spans="1:10" ht="14.7" thickBot="1">
      <c r="A2" s="104"/>
      <c r="B2" s="105"/>
      <c r="C2" s="105"/>
      <c r="D2" s="105"/>
      <c r="E2" s="105"/>
      <c r="F2" s="105"/>
      <c r="G2" s="105"/>
      <c r="H2" s="105"/>
      <c r="I2" s="105"/>
      <c r="J2" s="948"/>
    </row>
    <row r="3" spans="1:10" ht="14.7" thickBot="1">
      <c r="A3" s="62" t="s">
        <v>4510</v>
      </c>
      <c r="B3" s="63" t="s">
        <v>4511</v>
      </c>
      <c r="C3" s="63" t="s">
        <v>710</v>
      </c>
      <c r="D3" s="64" t="s">
        <v>711</v>
      </c>
      <c r="E3" s="64" t="s">
        <v>712</v>
      </c>
      <c r="F3" s="64" t="s">
        <v>713</v>
      </c>
      <c r="G3" s="65" t="s">
        <v>714</v>
      </c>
      <c r="H3" s="66" t="s">
        <v>715</v>
      </c>
      <c r="I3" s="64" t="s">
        <v>716</v>
      </c>
      <c r="J3" s="67" t="s">
        <v>717</v>
      </c>
    </row>
    <row r="4" spans="1:10" ht="51.75" customHeight="1" thickBot="1">
      <c r="A4" s="141" t="s">
        <v>4320</v>
      </c>
      <c r="B4" s="139" t="s">
        <v>48</v>
      </c>
      <c r="C4" s="142" t="s">
        <v>5295</v>
      </c>
      <c r="D4" s="139" t="s">
        <v>48</v>
      </c>
      <c r="E4" s="139">
        <v>0</v>
      </c>
      <c r="F4" s="139" t="s">
        <v>920</v>
      </c>
      <c r="G4" s="139" t="s">
        <v>4661</v>
      </c>
      <c r="H4" s="139" t="s">
        <v>920</v>
      </c>
      <c r="I4" s="143">
        <v>32</v>
      </c>
      <c r="J4" s="265" t="s">
        <v>922</v>
      </c>
    </row>
  </sheetData>
  <autoFilter ref="A3:J3" xr:uid="{93670D16-69C0-4525-B5A4-96339AF2872C}"/>
  <mergeCells count="2">
    <mergeCell ref="B1:C1"/>
    <mergeCell ref="D1:E1"/>
  </mergeCells>
  <hyperlinks>
    <hyperlink ref="J1" location="AVI_Traffic_Lights!A1" display="AVI_Traffic_Lights" xr:uid="{3579C06A-739F-432C-8277-230D70425293}"/>
  </hyperlinks>
  <pageMargins left="0.7" right="0.7" top="0.75" bottom="0.75" header="0.3" footer="0.3"/>
  <pageSetup paperSize="9" orientation="portrait" r:id="rId1"/>
  <headerFooter>
    <oddFooter>&amp;C_x000D_&amp;1#&amp;"Calibri"&amp;11&amp;KFF0000 Internal</oddFooter>
  </headerFooter>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5B69D-E3EF-452E-81AB-A8F104162255}">
  <sheetPr codeName="Sheet55"/>
  <dimension ref="A1:E20"/>
  <sheetViews>
    <sheetView workbookViewId="0">
      <pane ySplit="1" topLeftCell="A2" activePane="bottomLeft" state="frozen"/>
      <selection pane="bottomLeft" activeCell="B12" sqref="B12"/>
    </sheetView>
  </sheetViews>
  <sheetFormatPr defaultColWidth="9.15625" defaultRowHeight="14.4"/>
  <cols>
    <col min="1" max="1" width="8.68359375" style="1014" bestFit="1" customWidth="1"/>
    <col min="2" max="2" width="14.26171875" style="40" customWidth="1"/>
    <col min="3" max="3" width="75.578125" customWidth="1"/>
    <col min="4" max="4" width="17.578125" bestFit="1" customWidth="1"/>
    <col min="5" max="5" width="9.68359375" bestFit="1" customWidth="1"/>
  </cols>
  <sheetData>
    <row r="1" spans="1:5">
      <c r="A1" s="1014" t="s">
        <v>644</v>
      </c>
      <c r="B1" s="40" t="s">
        <v>645</v>
      </c>
      <c r="C1" t="s">
        <v>646</v>
      </c>
      <c r="D1" t="s">
        <v>647</v>
      </c>
      <c r="E1" t="s">
        <v>648</v>
      </c>
    </row>
    <row r="2" spans="1:5" ht="28.8">
      <c r="A2" s="1010">
        <v>0.1</v>
      </c>
      <c r="B2" s="51">
        <v>44712</v>
      </c>
      <c r="C2" s="576" t="s">
        <v>5296</v>
      </c>
      <c r="D2" s="5" t="s">
        <v>683</v>
      </c>
      <c r="E2" s="5" t="s">
        <v>655</v>
      </c>
    </row>
    <row r="3" spans="1:5">
      <c r="A3" s="1010">
        <v>0.1</v>
      </c>
      <c r="B3" s="51">
        <v>44713</v>
      </c>
      <c r="C3" s="576" t="s">
        <v>4326</v>
      </c>
      <c r="D3" s="5" t="s">
        <v>658</v>
      </c>
      <c r="E3" s="5" t="s">
        <v>655</v>
      </c>
    </row>
    <row r="4" spans="1:5">
      <c r="A4" s="1010">
        <v>1</v>
      </c>
      <c r="B4" s="51">
        <v>44713</v>
      </c>
      <c r="C4" s="576" t="s">
        <v>651</v>
      </c>
      <c r="D4" s="5" t="s">
        <v>683</v>
      </c>
      <c r="E4" s="5" t="s">
        <v>651</v>
      </c>
    </row>
    <row r="5" spans="1:5">
      <c r="A5" s="1010">
        <v>1</v>
      </c>
      <c r="B5" s="51">
        <v>44719</v>
      </c>
      <c r="C5" s="613" t="s">
        <v>660</v>
      </c>
      <c r="D5" s="5" t="s">
        <v>654</v>
      </c>
      <c r="E5" s="5" t="s">
        <v>661</v>
      </c>
    </row>
    <row r="6" spans="1:5">
      <c r="A6" s="1010">
        <v>1.1000000000000001</v>
      </c>
      <c r="B6" s="654">
        <v>44895</v>
      </c>
      <c r="C6" s="5" t="s">
        <v>4333</v>
      </c>
      <c r="D6" s="5" t="s">
        <v>683</v>
      </c>
      <c r="E6" s="5" t="s">
        <v>655</v>
      </c>
    </row>
    <row r="7" spans="1:5">
      <c r="A7" s="1010">
        <v>1.2</v>
      </c>
      <c r="B7" s="51">
        <v>44897</v>
      </c>
      <c r="C7" s="576" t="s">
        <v>4645</v>
      </c>
      <c r="D7" s="5" t="s">
        <v>683</v>
      </c>
      <c r="E7" s="5" t="s">
        <v>655</v>
      </c>
    </row>
    <row r="8" spans="1:5">
      <c r="A8" s="1010">
        <v>1.2</v>
      </c>
      <c r="B8" s="51">
        <v>44956</v>
      </c>
      <c r="C8" s="613" t="s">
        <v>1378</v>
      </c>
      <c r="D8" s="5" t="s">
        <v>658</v>
      </c>
      <c r="E8" s="5" t="s">
        <v>655</v>
      </c>
    </row>
    <row r="9" spans="1:5">
      <c r="A9" s="1010" t="s">
        <v>659</v>
      </c>
      <c r="B9" s="51">
        <v>45078</v>
      </c>
      <c r="C9" s="576" t="s">
        <v>651</v>
      </c>
      <c r="D9" s="5" t="s">
        <v>678</v>
      </c>
      <c r="E9" s="5" t="s">
        <v>651</v>
      </c>
    </row>
    <row r="10" spans="1:5">
      <c r="A10" s="1010" t="s">
        <v>659</v>
      </c>
      <c r="B10" s="191">
        <v>45078</v>
      </c>
      <c r="C10" s="5" t="s">
        <v>699</v>
      </c>
      <c r="D10" s="5" t="s">
        <v>678</v>
      </c>
      <c r="E10" s="5" t="s">
        <v>661</v>
      </c>
    </row>
    <row r="11" spans="1:5">
      <c r="A11" s="1012" t="s">
        <v>659</v>
      </c>
      <c r="B11" s="1065">
        <v>45097</v>
      </c>
      <c r="C11" s="576" t="s">
        <v>700</v>
      </c>
      <c r="D11" s="5" t="s">
        <v>678</v>
      </c>
      <c r="E11" s="5" t="s">
        <v>661</v>
      </c>
    </row>
    <row r="12" spans="1:5">
      <c r="A12" s="1012" t="s">
        <v>659</v>
      </c>
      <c r="B12" s="1065">
        <v>45205</v>
      </c>
      <c r="C12" s="595" t="s">
        <v>701</v>
      </c>
      <c r="D12" s="595" t="s">
        <v>678</v>
      </c>
      <c r="E12" s="596" t="s">
        <v>661</v>
      </c>
    </row>
    <row r="13" spans="1:5">
      <c r="A13" s="1010"/>
      <c r="B13" s="51"/>
      <c r="C13" s="576"/>
      <c r="D13" s="5"/>
      <c r="E13" s="5"/>
    </row>
    <row r="14" spans="1:5">
      <c r="C14" s="40"/>
    </row>
    <row r="15" spans="1:5">
      <c r="C15" s="40"/>
    </row>
    <row r="16" spans="1:5">
      <c r="C16" s="40"/>
      <c r="D16" s="2"/>
    </row>
    <row r="17" spans="3:4">
      <c r="C17" s="42"/>
      <c r="D17" s="2"/>
    </row>
    <row r="18" spans="3:4">
      <c r="C18" s="40"/>
      <c r="D18" s="2"/>
    </row>
    <row r="19" spans="3:4">
      <c r="C19" s="40"/>
      <c r="D19" s="17"/>
    </row>
    <row r="20" spans="3:4">
      <c r="C20" s="40"/>
      <c r="D20" s="29"/>
    </row>
  </sheetData>
  <pageMargins left="0.7" right="0.7" top="0.75" bottom="0.75" header="0.3" footer="0.3"/>
  <headerFooter>
    <oddFooter>&amp;C_x000D_&amp;1#&amp;"Calibri"&amp;11&amp;KFF0000 Internal</oddFooter>
  </headerFooter>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ka0759a5942f41c695b775aef8208f3e xmlns="0c36092b-8ec2-40bd-b469-d1fe4f1e7785" xsi:nil="true"/>
    <TaxCatchAll xmlns="0c36092b-8ec2-40bd-b469-d1fe4f1e7785" xsi:nil="true"/>
    <le32960acc2343b2a783ebfbeb256c3d xmlns="0c36092b-8ec2-40bd-b469-d1fe4f1e7785" xsi:nil="true"/>
    <fddf08f74f1e4eb0b4a866c10db37afa xmlns="0c36092b-8ec2-40bd-b469-d1fe4f1e7785" xsi:nil="true"/>
    <lcf76f155ced4ddcb4097134ff3c332f xmlns="4eeb6f8c-feb2-49df-b6e7-78639e0761c7">
      <Terms xmlns="http://schemas.microsoft.com/office/infopath/2007/PartnerControls"/>
    </lcf76f155ced4ddcb4097134ff3c332f>
    <SharedWithUsers xmlns="3d665dce-c05e-47a2-8a7b-cc30a010f7b9">
      <UserInfo>
        <DisplayName>Wrobel, Kevin</DisplayName>
        <AccountId>239</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B5468B82E3D0D4BB000F3334A0A97B1" ma:contentTypeVersion="24" ma:contentTypeDescription="Create a new document." ma:contentTypeScope="" ma:versionID="12eecd7fdca302e2c9bdeabb7a70aeaf">
  <xsd:schema xmlns:xsd="http://www.w3.org/2001/XMLSchema" xmlns:xs="http://www.w3.org/2001/XMLSchema" xmlns:p="http://schemas.microsoft.com/office/2006/metadata/properties" xmlns:ns2="0c36092b-8ec2-40bd-b469-d1fe4f1e7785" xmlns:ns3="4eeb6f8c-feb2-49df-b6e7-78639e0761c7" xmlns:ns4="3d665dce-c05e-47a2-8a7b-cc30a010f7b9" targetNamespace="http://schemas.microsoft.com/office/2006/metadata/properties" ma:root="true" ma:fieldsID="c5530116827599601c657eaa3840d86a" ns2:_="" ns3:_="" ns4:_="">
    <xsd:import namespace="0c36092b-8ec2-40bd-b469-d1fe4f1e7785"/>
    <xsd:import namespace="4eeb6f8c-feb2-49df-b6e7-78639e0761c7"/>
    <xsd:import namespace="3d665dce-c05e-47a2-8a7b-cc30a010f7b9"/>
    <xsd:element name="properties">
      <xsd:complexType>
        <xsd:sequence>
          <xsd:element name="documentManagement">
            <xsd:complexType>
              <xsd:all>
                <xsd:element ref="ns2:TaxCatchAll" minOccurs="0"/>
                <xsd:element ref="ns2:TaxCatchAllLabel" minOccurs="0"/>
                <xsd:element ref="ns2:fddf08f74f1e4eb0b4a866c10db37afa" minOccurs="0"/>
                <xsd:element ref="ns2:ka0759a5942f41c695b775aef8208f3e" minOccurs="0"/>
                <xsd:element ref="ns2:le32960acc2343b2a783ebfbeb256c3d" minOccurs="0"/>
                <xsd:element ref="ns3:MediaServiceMetadata" minOccurs="0"/>
                <xsd:element ref="ns3:MediaServiceFastMetadata" minOccurs="0"/>
                <xsd:element ref="ns3:MediaServiceAutoTags" minOccurs="0"/>
                <xsd:element ref="ns3:MediaServiceOCR" minOccurs="0"/>
                <xsd:element ref="ns3:MediaServiceAutoKeyPoints" minOccurs="0"/>
                <xsd:element ref="ns3:MediaServiceKeyPoints" minOccurs="0"/>
                <xsd:element ref="ns3:MediaServiceDateTaken" minOccurs="0"/>
                <xsd:element ref="ns3:MediaServiceLocation" minOccurs="0"/>
                <xsd:element ref="ns4:SharedWithUsers" minOccurs="0"/>
                <xsd:element ref="ns4:SharedWithDetails" minOccurs="0"/>
                <xsd:element ref="ns3:MediaServiceGenerationTime" minOccurs="0"/>
                <xsd:element ref="ns3:MediaServiceEventHashCode" minOccurs="0"/>
                <xsd:element ref="ns3:MediaLengthInSeconds" minOccurs="0"/>
                <xsd:element ref="ns3:lcf76f155ced4ddcb4097134ff3c332f"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36092b-8ec2-40bd-b469-d1fe4f1e7785" elementFormDefault="qualified">
    <xsd:import namespace="http://schemas.microsoft.com/office/2006/documentManagement/types"/>
    <xsd:import namespace="http://schemas.microsoft.com/office/infopath/2007/PartnerControls"/>
    <xsd:element name="TaxCatchAll" ma:index="4" nillable="true" ma:displayName="Taxonomy Catch All Column" ma:description="" ma:hidden="true" ma:list="{7526bcb9-412e-4352-8b38-fe44ad696ca4}" ma:internalName="TaxCatchAll" ma:showField="CatchAllData" ma:web="19a6332c-36ad-4940-8771-0e56d0f22c2b">
      <xsd:complexType>
        <xsd:complexContent>
          <xsd:extension base="dms:MultiChoiceLookup">
            <xsd:sequence>
              <xsd:element name="Value" type="dms:Lookup" maxOccurs="unbounded" minOccurs="0" nillable="true"/>
            </xsd:sequence>
          </xsd:extension>
        </xsd:complexContent>
      </xsd:complexType>
    </xsd:element>
    <xsd:element name="TaxCatchAllLabel" ma:index="5" nillable="true" ma:displayName="Taxonomy Catch All Column1" ma:description="" ma:hidden="true" ma:list="{7526bcb9-412e-4352-8b38-fe44ad696ca4}" ma:internalName="TaxCatchAllLabel" ma:readOnly="true" ma:showField="CatchAllDataLabel" ma:web="19a6332c-36ad-4940-8771-0e56d0f22c2b">
      <xsd:complexType>
        <xsd:complexContent>
          <xsd:extension base="dms:MultiChoiceLookup">
            <xsd:sequence>
              <xsd:element name="Value" type="dms:Lookup" maxOccurs="unbounded" minOccurs="0" nillable="true"/>
            </xsd:sequence>
          </xsd:extension>
        </xsd:complexContent>
      </xsd:complexType>
    </xsd:element>
    <xsd:element name="fddf08f74f1e4eb0b4a866c10db37afa" ma:index="13" nillable="true" ma:displayName="emm_Division_0" ma:hidden="true" ma:internalName="fddf08f74f1e4eb0b4a866c10db37afa" ma:readOnly="false">
      <xsd:simpleType>
        <xsd:restriction base="dms:Note"/>
      </xsd:simpleType>
    </xsd:element>
    <xsd:element name="ka0759a5942f41c695b775aef8208f3e" ma:index="14" nillable="true" ma:displayName="emm_Function_0" ma:hidden="true" ma:internalName="ka0759a5942f41c695b775aef8208f3e" ma:readOnly="false">
      <xsd:simpleType>
        <xsd:restriction base="dms:Note"/>
      </xsd:simpleType>
    </xsd:element>
    <xsd:element name="le32960acc2343b2a783ebfbeb256c3d" ma:index="15" nillable="true" ma:displayName="emm_Language_0" ma:hidden="true" ma:internalName="le32960acc2343b2a783ebfbeb256c3d"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eeb6f8c-feb2-49df-b6e7-78639e0761c7" elementFormDefault="qualified">
    <xsd:import namespace="http://schemas.microsoft.com/office/2006/documentManagement/types"/>
    <xsd:import namespace="http://schemas.microsoft.com/office/infopath/2007/PartnerControls"/>
    <xsd:element name="MediaServiceMetadata" ma:index="16" nillable="true" ma:displayName="MediaServiceMetadata" ma:hidden="true" ma:internalName="MediaServiceMetadata" ma:readOnly="true">
      <xsd:simpleType>
        <xsd:restriction base="dms:Note"/>
      </xsd:simpleType>
    </xsd:element>
    <xsd:element name="MediaServiceFastMetadata" ma:index="17" nillable="true" ma:displayName="MediaServiceFastMetadata" ma:hidden="true" ma:internalName="MediaServiceFastMetadata" ma:readOnly="true">
      <xsd:simpleType>
        <xsd:restriction base="dms:Note"/>
      </xsd:simpleType>
    </xsd:element>
    <xsd:element name="MediaServiceAutoTags" ma:index="18" nillable="true" ma:displayName="Tags" ma:internalName="MediaServiceAutoTags"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ServiceDateTaken" ma:index="22" nillable="true" ma:displayName="MediaServiceDateTaken" ma:hidden="true" ma:internalName="MediaServiceDateTaken" ma:readOnly="true">
      <xsd:simpleType>
        <xsd:restriction base="dms:Text"/>
      </xsd:simpleType>
    </xsd:element>
    <xsd:element name="MediaServiceLocation" ma:index="23" nillable="true" ma:displayName="Location" ma:internalName="MediaServiceLocation" ma:readOnly="true">
      <xsd:simpleType>
        <xsd:restriction base="dms:Text"/>
      </xsd:simpleType>
    </xsd:element>
    <xsd:element name="MediaServiceGenerationTime" ma:index="26" nillable="true" ma:displayName="MediaServiceGenerationTime" ma:hidden="true" ma:internalName="MediaServiceGenerationTime" ma:readOnly="true">
      <xsd:simpleType>
        <xsd:restriction base="dms:Text"/>
      </xsd:simpleType>
    </xsd:element>
    <xsd:element name="MediaServiceEventHashCode" ma:index="27" nillable="true" ma:displayName="MediaServiceEventHashCode" ma:hidden="true" ma:internalName="MediaServiceEventHashCode" ma:readOnly="true">
      <xsd:simpleType>
        <xsd:restriction base="dms:Text"/>
      </xsd:simpleType>
    </xsd:element>
    <xsd:element name="MediaLengthInSeconds" ma:index="28" nillable="true" ma:displayName="MediaLengthInSeconds" ma:hidden="true" ma:internalName="MediaLengthInSeconds" ma:readOnly="true">
      <xsd:simpleType>
        <xsd:restriction base="dms:Unknown"/>
      </xsd:simpleType>
    </xsd:element>
    <xsd:element name="lcf76f155ced4ddcb4097134ff3c332f" ma:index="30" nillable="true" ma:taxonomy="true" ma:internalName="lcf76f155ced4ddcb4097134ff3c332f" ma:taxonomyFieldName="MediaServiceImageTags" ma:displayName="Image Tags" ma:readOnly="false" ma:fieldId="{5cf76f15-5ced-4ddc-b409-7134ff3c332f}" ma:taxonomyMulti="true" ma:sspId="9f8ee6ba-22ae-4b18-a96b-b6990d3e2b6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31"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d665dce-c05e-47a2-8a7b-cc30a010f7b9" elementFormDefault="qualified">
    <xsd:import namespace="http://schemas.microsoft.com/office/2006/documentManagement/types"/>
    <xsd:import namespace="http://schemas.microsoft.com/office/infopath/2007/PartnerControls"/>
    <xsd:element name="SharedWithUsers" ma:index="2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9"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haredContentType xmlns="Microsoft.SharePoint.Taxonomy.ContentTypeSync" SourceId="9f8ee6ba-22ae-4b18-a96b-b6990d3e2b67" ContentTypeId="0x01" PreviousValue="false"/>
</file>

<file path=customXml/itemProps1.xml><?xml version="1.0" encoding="utf-8"?>
<ds:datastoreItem xmlns:ds="http://schemas.openxmlformats.org/officeDocument/2006/customXml" ds:itemID="{AE49EF6C-1817-46B9-9084-42A9C8DC038D}">
  <ds:schemaRefs>
    <ds:schemaRef ds:uri="http://schemas.microsoft.com/sharepoint/v3/contenttype/forms"/>
  </ds:schemaRefs>
</ds:datastoreItem>
</file>

<file path=customXml/itemProps2.xml><?xml version="1.0" encoding="utf-8"?>
<ds:datastoreItem xmlns:ds="http://schemas.openxmlformats.org/officeDocument/2006/customXml" ds:itemID="{664C2535-5697-4793-BA1C-30C1E1F81908}">
  <ds:schemaRefs>
    <ds:schemaRef ds:uri="http://schemas.microsoft.com/office/2006/metadata/properties"/>
    <ds:schemaRef ds:uri="http://schemas.microsoft.com/office/infopath/2007/PartnerControls"/>
    <ds:schemaRef ds:uri="0c36092b-8ec2-40bd-b469-d1fe4f1e7785"/>
    <ds:schemaRef ds:uri="4eeb6f8c-feb2-49df-b6e7-78639e0761c7"/>
    <ds:schemaRef ds:uri="3d665dce-c05e-47a2-8a7b-cc30a010f7b9"/>
  </ds:schemaRefs>
</ds:datastoreItem>
</file>

<file path=customXml/itemProps3.xml><?xml version="1.0" encoding="utf-8"?>
<ds:datastoreItem xmlns:ds="http://schemas.openxmlformats.org/officeDocument/2006/customXml" ds:itemID="{F4886F40-3A04-47D0-A30B-E0B4A9D5DBD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36092b-8ec2-40bd-b469-d1fe4f1e7785"/>
    <ds:schemaRef ds:uri="4eeb6f8c-feb2-49df-b6e7-78639e0761c7"/>
    <ds:schemaRef ds:uri="3d665dce-c05e-47a2-8a7b-cc30a010f7b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2099295-F0FD-4FAB-BEE1-9AD29310BDDA}">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2</DocSecurity>
  <ScaleCrop>false</ScaleCrop>
  <HeadingPairs>
    <vt:vector size="4" baseType="variant">
      <vt:variant>
        <vt:lpstr>Worksheets</vt:lpstr>
      </vt:variant>
      <vt:variant>
        <vt:i4>92</vt:i4>
      </vt:variant>
      <vt:variant>
        <vt:lpstr>Named Ranges</vt:lpstr>
      </vt:variant>
      <vt:variant>
        <vt:i4>1</vt:i4>
      </vt:variant>
    </vt:vector>
  </HeadingPairs>
  <TitlesOfParts>
    <vt:vector size="93" baseType="lpstr">
      <vt:lpstr>Revision Map</vt:lpstr>
      <vt:lpstr>Summary_Payload</vt:lpstr>
      <vt:lpstr>Aptiv_Traffic_Info_Enum</vt:lpstr>
      <vt:lpstr>Aptiv_Traffic_Info_Enum_Rev</vt:lpstr>
      <vt:lpstr>AVI_Calibration</vt:lpstr>
      <vt:lpstr>AVI_Calibration_Rev</vt:lpstr>
      <vt:lpstr>AVI_Camera_Config</vt:lpstr>
      <vt:lpstr>AVI_Camera_Config_Rev</vt:lpstr>
      <vt:lpstr>AVI_Car_Sensor</vt:lpstr>
      <vt:lpstr>AVI_Car_Sensor_Rev</vt:lpstr>
      <vt:lpstr>AVI_Common</vt:lpstr>
      <vt:lpstr>AVI_Common_Rev</vt:lpstr>
      <vt:lpstr>AVI_Common_Function_Config</vt:lpstr>
      <vt:lpstr>AVI_Common_Function_Config_Rev</vt:lpstr>
      <vt:lpstr>AVI_Construction_Area</vt:lpstr>
      <vt:lpstr>AVI_Construction_Area_Rev</vt:lpstr>
      <vt:lpstr>AVI_Construction_Area_Debug</vt:lpstr>
      <vt:lpstr>AVI_Construction_Area_Debug_Rev</vt:lpstr>
      <vt:lpstr>AVI_Failsafe</vt:lpstr>
      <vt:lpstr>AVI_Failsafe_Rev</vt:lpstr>
      <vt:lpstr>AVI_FCF_CV</vt:lpstr>
      <vt:lpstr>AVI_FCF_CV_Rev</vt:lpstr>
      <vt:lpstr>AVI_FCF_CV_Config</vt:lpstr>
      <vt:lpstr>AVI_FCF_CV_Config_Rev</vt:lpstr>
      <vt:lpstr>AVI_FCF_VD</vt:lpstr>
      <vt:lpstr>AVI_FCF_VD_Rev</vt:lpstr>
      <vt:lpstr>AVI_FCF_VD_Config</vt:lpstr>
      <vt:lpstr>AVI_FCF_VD_Config_Rev</vt:lpstr>
      <vt:lpstr>AVI_FCF_VRU</vt:lpstr>
      <vt:lpstr>AVI_FCF_VRU_Rev</vt:lpstr>
      <vt:lpstr>AVI_FCF_VRU_Config</vt:lpstr>
      <vt:lpstr>AVI_FCF_VRU_Config_Rev</vt:lpstr>
      <vt:lpstr>AVI_Freespace</vt:lpstr>
      <vt:lpstr>AVI_Freespace_Rev</vt:lpstr>
      <vt:lpstr>AVI_Freespace_Debug</vt:lpstr>
      <vt:lpstr>AVI_Freespace_Debug_Rev</vt:lpstr>
      <vt:lpstr>AVI_HLB</vt:lpstr>
      <vt:lpstr>AVI_HLB_Rev</vt:lpstr>
      <vt:lpstr>AVI_HLB_Config</vt:lpstr>
      <vt:lpstr>AVI_HLB_Config_Rev</vt:lpstr>
      <vt:lpstr>AVI_Lanes_Adjacent</vt:lpstr>
      <vt:lpstr>AVI_Lanes_Adjacent_Rev</vt:lpstr>
      <vt:lpstr>AVI_Lanes_Adjacent_Debug</vt:lpstr>
      <vt:lpstr>AVI_Lanes_Adjacent_Debug_Rev</vt:lpstr>
      <vt:lpstr>AVI_Lanes_Applications</vt:lpstr>
      <vt:lpstr>AVI_Lanes_Applications_Rev</vt:lpstr>
      <vt:lpstr>AVI_LAP_Debug</vt:lpstr>
      <vt:lpstr>AVI_LAP_Debug_Rev</vt:lpstr>
      <vt:lpstr>AVI_Lanes_Host</vt:lpstr>
      <vt:lpstr>AVI_Lanes_Host_Rev</vt:lpstr>
      <vt:lpstr>AVI_Lanes_Host_Debug</vt:lpstr>
      <vt:lpstr>AVI_Lanes_Host_Debug_Rev</vt:lpstr>
      <vt:lpstr>AVI_Lanes_Road_Edge</vt:lpstr>
      <vt:lpstr>AVI_Lanes_Road_Edge_Rev</vt:lpstr>
      <vt:lpstr>AVI_Lanes_Road_Edge_Debug</vt:lpstr>
      <vt:lpstr>AVI_Lanes_Road_Edge_Debug_Rev</vt:lpstr>
      <vt:lpstr>AVI_Light_Scene_Reflectors</vt:lpstr>
      <vt:lpstr>AVI_Light_Scene_Reflectors_Rev</vt:lpstr>
      <vt:lpstr>AVI_LSR_Debug</vt:lpstr>
      <vt:lpstr>AVI_LSR_Debug_Rev</vt:lpstr>
      <vt:lpstr>AVI_Light_Scene_Vehicles</vt:lpstr>
      <vt:lpstr>AVI_Light_Scene_Vehicles_Rev</vt:lpstr>
      <vt:lpstr>AVI_LSV_Debug</vt:lpstr>
      <vt:lpstr>AVI_LSV_Debug_Rev</vt:lpstr>
      <vt:lpstr>AVI_Objects</vt:lpstr>
      <vt:lpstr>AVI_Objects_Rev</vt:lpstr>
      <vt:lpstr>AVI_Objects_Debug</vt:lpstr>
      <vt:lpstr>AVI_Objects_Debug_Rev</vt:lpstr>
      <vt:lpstr>AVI_Traffic_Lights</vt:lpstr>
      <vt:lpstr>AVI_Traffic_Lights_Rev</vt:lpstr>
      <vt:lpstr>AVI_Traffic_Lights_Debug</vt:lpstr>
      <vt:lpstr>AVI_Traffic_Lights_Debug_Rev</vt:lpstr>
      <vt:lpstr>AVI_Traffic_Signs</vt:lpstr>
      <vt:lpstr>AVI_Traffic_Signs_Rev</vt:lpstr>
      <vt:lpstr>AVI_Traffic_Signs_Debug</vt:lpstr>
      <vt:lpstr>AVI_Traffic_Signs_Debug_Rev</vt:lpstr>
      <vt:lpstr>Calibration_Definitions</vt:lpstr>
      <vt:lpstr>Calibration_Definitions_Rev</vt:lpstr>
      <vt:lpstr>Cross-FCN_Definitions</vt:lpstr>
      <vt:lpstr>Cross-FCN_Definitions_Rev</vt:lpstr>
      <vt:lpstr>Failsafe_Definitions</vt:lpstr>
      <vt:lpstr>Failsafe_Definitions_Rev</vt:lpstr>
      <vt:lpstr>FCF_Definitions</vt:lpstr>
      <vt:lpstr>FCF_Definitions_Rev</vt:lpstr>
      <vt:lpstr>Lanes_Definitions</vt:lpstr>
      <vt:lpstr>Lanes_Definitions_Rev</vt:lpstr>
      <vt:lpstr>Light_Scene_Definitions</vt:lpstr>
      <vt:lpstr>Light_Scene_Definitions_Rev</vt:lpstr>
      <vt:lpstr>Objects_Definitions</vt:lpstr>
      <vt:lpstr>Objects_Definitions_ Rev</vt:lpstr>
      <vt:lpstr>Traffic_Lights_Definitions</vt:lpstr>
      <vt:lpstr>Traffic_Lights_Definitions_Rev</vt:lpstr>
      <vt:lpstr>adjacent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Makuszynska, Agnieszka</dc:creator>
  <cp:keywords/>
  <dc:description/>
  <cp:lastModifiedBy>Bhattaram, Revanth</cp:lastModifiedBy>
  <cp:revision/>
  <dcterms:created xsi:type="dcterms:W3CDTF">2020-04-30T12:49:46Z</dcterms:created>
  <dcterms:modified xsi:type="dcterms:W3CDTF">2024-11-26T06:53:45Z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0x0101000B5468B82E3D0D4BB000F3334A0A97B1</vt:lpwstr>
  </property>
  <property fmtid="{D5CDD505-2E9C-101B-9397-08002B2CF9AE}" pid="3" name="emm_Function">
    <vt:lpwstr/>
  </property>
  <property fmtid="{D5CDD505-2E9C-101B-9397-08002B2CF9AE}" pid="4" name="emm_Division">
    <vt:lpwstr/>
  </property>
  <property fmtid="{D5CDD505-2E9C-101B-9397-08002B2CF9AE}" pid="5" name="emm_Language">
    <vt:lpwstr/>
  </property>
  <property fmtid="{D5CDD505-2E9C-101B-9397-08002B2CF9AE}" pid="6" name="Order">
    <vt:r8>174100</vt:r8>
  </property>
  <property fmtid="{D5CDD505-2E9C-101B-9397-08002B2CF9AE}" pid="7" name="xd_ProgID">
    <vt:lpwstr/>
  </property>
  <property fmtid="{D5CDD505-2E9C-101B-9397-08002B2CF9AE}" pid="8" name="TemplateUrl">
    <vt:lpwstr/>
  </property>
  <property fmtid="{D5CDD505-2E9C-101B-9397-08002B2CF9AE}" pid="9" name="_CopySource">
    <vt:lpwstr>https://spo.aptiv.com/sites/0304-RSE_2/ActiveSafetyTCK/FO_co-op/Shared Documents/VisionPlatform/Aptiv_Vision_Interface/older Versions/Aptiv_Vision_Interface.xlsx</vt:lpwstr>
  </property>
  <property fmtid="{D5CDD505-2E9C-101B-9397-08002B2CF9AE}" pid="10" name="WorkbookGuid">
    <vt:lpwstr>87aee669-bcb1-4b02-8cd7-183251dd84af</vt:lpwstr>
  </property>
  <property fmtid="{D5CDD505-2E9C-101B-9397-08002B2CF9AE}" pid="11" name="MediaServiceImageTags">
    <vt:lpwstr/>
  </property>
  <property fmtid="{D5CDD505-2E9C-101B-9397-08002B2CF9AE}" pid="12" name="MSIP_Label_e545d81b-0f42-495e-8347-551223c9dd3e_Enabled">
    <vt:lpwstr>true</vt:lpwstr>
  </property>
  <property fmtid="{D5CDD505-2E9C-101B-9397-08002B2CF9AE}" pid="13" name="MSIP_Label_e545d81b-0f42-495e-8347-551223c9dd3e_SetDate">
    <vt:lpwstr>2024-11-22T11:00:15Z</vt:lpwstr>
  </property>
  <property fmtid="{D5CDD505-2E9C-101B-9397-08002B2CF9AE}" pid="14" name="MSIP_Label_e545d81b-0f42-495e-8347-551223c9dd3e_Method">
    <vt:lpwstr>Privileged</vt:lpwstr>
  </property>
  <property fmtid="{D5CDD505-2E9C-101B-9397-08002B2CF9AE}" pid="15" name="MSIP_Label_e545d81b-0f42-495e-8347-551223c9dd3e_Name">
    <vt:lpwstr>Internal</vt:lpwstr>
  </property>
  <property fmtid="{D5CDD505-2E9C-101B-9397-08002B2CF9AE}" pid="16" name="MSIP_Label_e545d81b-0f42-495e-8347-551223c9dd3e_SiteId">
    <vt:lpwstr>6b1311e5-123f-49db-acdf-8847c2d00bed</vt:lpwstr>
  </property>
  <property fmtid="{D5CDD505-2E9C-101B-9397-08002B2CF9AE}" pid="17" name="MSIP_Label_e545d81b-0f42-495e-8347-551223c9dd3e_ActionId">
    <vt:lpwstr>c020dff6-497b-40c0-af3b-aa261679036b</vt:lpwstr>
  </property>
  <property fmtid="{D5CDD505-2E9C-101B-9397-08002B2CF9AE}" pid="18" name="MSIP_Label_e545d81b-0f42-495e-8347-551223c9dd3e_ContentBits">
    <vt:lpwstr>2</vt:lpwstr>
  </property>
</Properties>
</file>